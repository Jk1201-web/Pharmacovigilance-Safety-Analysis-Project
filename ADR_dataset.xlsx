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ACF86398-A96C-4FC3-A02A-D0FC27ACAAED}" xr6:coauthVersionLast="47" xr6:coauthVersionMax="47" xr10:uidLastSave="{00000000-0000-0000-0000-000000000000}"/>
  <bookViews>
    <workbookView xWindow="-108" yWindow="-108" windowWidth="23256" windowHeight="12456" xr2:uid="{106E08E6-F489-423E-B371-BEF1DE9A854C}"/>
  </bookViews>
  <sheets>
    <sheet name="FEDER Dataset" sheetId="3" r:id="rId1"/>
    <sheet name="MedDRA Mapping" sheetId="4" r:id="rId2"/>
    <sheet name="TOP Reported ADR's " sheetId="5" r:id="rId3"/>
    <sheet name="Signal_detection" sheetId="9" r:id="rId4"/>
    <sheet name="Narratives" sheetId="11" r:id="rId5"/>
    <sheet name="Dashboards" sheetId="14" r:id="rId6"/>
  </sheets>
  <definedNames>
    <definedName name="netropenia">'FEDER Dataset'!$3:$3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4" l="1"/>
  <c r="E3" i="4"/>
  <c r="E4" i="4"/>
  <c r="E5" i="4"/>
  <c r="E6" i="4"/>
  <c r="E7" i="4"/>
  <c r="E8" i="4"/>
  <c r="E9" i="4"/>
  <c r="E10" i="4"/>
  <c r="E11" i="4"/>
  <c r="E12" i="4"/>
  <c r="E13" i="4"/>
  <c r="E14" i="4"/>
  <c r="E15" i="4"/>
  <c r="E16" i="4"/>
  <c r="E17" i="4"/>
  <c r="E18" i="4"/>
  <c r="E19" i="4"/>
  <c r="E20" i="4"/>
  <c r="E21" i="4"/>
  <c r="E22" i="4"/>
  <c r="E23"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alcChain>
</file>

<file path=xl/sharedStrings.xml><?xml version="1.0" encoding="utf-8"?>
<sst xmlns="http://schemas.openxmlformats.org/spreadsheetml/2006/main" count="19471" uniqueCount="2543">
  <si>
    <t>Yes</t>
  </si>
  <si>
    <t>Hospitalization</t>
  </si>
  <si>
    <t>Unknown; Recovered; Recovering</t>
  </si>
  <si>
    <t>OCTREOTIDE ACETATE</t>
  </si>
  <si>
    <t>Novartis Pharmaceuticals Corporation</t>
  </si>
  <si>
    <t>Unknown</t>
  </si>
  <si>
    <t>Polypharmacy(6+)</t>
  </si>
  <si>
    <t>Middle-Aged(41-65)</t>
  </si>
  <si>
    <t>Female</t>
  </si>
  <si>
    <t>CA</t>
  </si>
  <si>
    <t>None</t>
  </si>
  <si>
    <t>Gambling disorder</t>
  </si>
  <si>
    <t>Recovered</t>
  </si>
  <si>
    <t>Parkinson^S Disease</t>
  </si>
  <si>
    <t>2-3 Drugs</t>
  </si>
  <si>
    <t>Male</t>
  </si>
  <si>
    <t>Hospitalization; Life-Threatening</t>
  </si>
  <si>
    <t>Unknown; Recovering</t>
  </si>
  <si>
    <t>BENEFIX</t>
  </si>
  <si>
    <t>Teen(13-18)</t>
  </si>
  <si>
    <t>JP</t>
  </si>
  <si>
    <t>Not Recovered</t>
  </si>
  <si>
    <t>Diabetes Mellitus</t>
  </si>
  <si>
    <t>Sanofi-Aventis U.S. Llc</t>
  </si>
  <si>
    <t>Insulin Analog [EPC]</t>
  </si>
  <si>
    <t>FR</t>
  </si>
  <si>
    <t>Cardiac disorder</t>
  </si>
  <si>
    <t>DOFETILIDE</t>
  </si>
  <si>
    <t>TIKOSYN</t>
  </si>
  <si>
    <t>Pfizer Laboratories Div Pfizer Inc</t>
  </si>
  <si>
    <t>Antiarrhythmic [EPC]</t>
  </si>
  <si>
    <t>Single</t>
  </si>
  <si>
    <t>US</t>
  </si>
  <si>
    <t>Obesity</t>
  </si>
  <si>
    <t>RISPERIDONE</t>
  </si>
  <si>
    <t>RISPERDAL</t>
  </si>
  <si>
    <t>Attention Deficit Hyperactivity Disorder</t>
  </si>
  <si>
    <t>Janssen Pharmaceuticals, Inc.</t>
  </si>
  <si>
    <t>Atypical Antipsychotic [EPC]</t>
  </si>
  <si>
    <t>Autism Spectrum Disorder</t>
  </si>
  <si>
    <t>4-5 Drugs</t>
  </si>
  <si>
    <t>Drug reaction with eosinophilia and systemic symptoms</t>
  </si>
  <si>
    <t>CARBAMAZEPINE</t>
  </si>
  <si>
    <t>CARBAMAZEPINE; EPITOL; CARBAMAZEPINE ER; TEGRETOL; TEGRETOL XR</t>
  </si>
  <si>
    <t>Torrent Pharmaceuticals Limited; Ascend Laboratories, Llc; Teva Pharmaceuticals Usa, Inc.; Chartwell Rx, Llc; Epic Pharma, Llc</t>
  </si>
  <si>
    <t>Mood Stabilizer [EPC]</t>
  </si>
  <si>
    <t>Child(3-12)</t>
  </si>
  <si>
    <t>PT</t>
  </si>
  <si>
    <t>Suicidal ideation</t>
  </si>
  <si>
    <t>Bipolar Disorder</t>
  </si>
  <si>
    <t>Death</t>
  </si>
  <si>
    <t>Completed suicide</t>
  </si>
  <si>
    <t>MIRTAZAPINE</t>
  </si>
  <si>
    <t>MIRTAZAPINE; REMERONSOLTAB; REMERON</t>
  </si>
  <si>
    <t>Insomnia</t>
  </si>
  <si>
    <t>Aurolife Pharma Llc; Sun Pharmaceutical Industries, Inc.; Square Pharmaceuticals Limited; Organon Llc; Aurobindo Pharma Limited</t>
  </si>
  <si>
    <t>GB</t>
  </si>
  <si>
    <t>Unknown; Recovered</t>
  </si>
  <si>
    <t>FINGOLIMOD HCL</t>
  </si>
  <si>
    <t>GILENYA</t>
  </si>
  <si>
    <t>Relapsing-Remitting Multiple Sclerosis</t>
  </si>
  <si>
    <t>Adult(19-40)</t>
  </si>
  <si>
    <t>Asthma</t>
  </si>
  <si>
    <t>Unknown; Not Recovered</t>
  </si>
  <si>
    <t>PANTOPRAZOLE</t>
  </si>
  <si>
    <t>PANTOPRAZOLE SODIUM; PANTOPRAZOLE</t>
  </si>
  <si>
    <t>Xlcare Pharmaceuticals Inc.; Quallent Pharmaceuticals Health Llc; Amneal Pharmaceuticals Llc; Camber Pharmaceuticals, Inc.; Northstar Rxllc</t>
  </si>
  <si>
    <t>Senior(66-80)</t>
  </si>
  <si>
    <t>Hospitalization; Life-Threatening; Disability</t>
  </si>
  <si>
    <t>Type 1 diabetes mellitus</t>
  </si>
  <si>
    <t>Unknown; Not Recovered; Recovered; Recovering</t>
  </si>
  <si>
    <t>Blood Cholesterol Increased</t>
  </si>
  <si>
    <t>Organon Llc</t>
  </si>
  <si>
    <t>Unknown; Recovered; Recovering; Fatal</t>
  </si>
  <si>
    <t>Hypertension</t>
  </si>
  <si>
    <t>Angiotensin 2 Receptor Blocker [EPC]</t>
  </si>
  <si>
    <t>Intestinal obstruction</t>
  </si>
  <si>
    <t>SANDOSTATIN LAR DEPOT</t>
  </si>
  <si>
    <t>RITUXIMAB</t>
  </si>
  <si>
    <t>RITUXAN</t>
  </si>
  <si>
    <t>Rheumatoid Arthritis</t>
  </si>
  <si>
    <t>Genentech, Inc.</t>
  </si>
  <si>
    <t>CD20-directed Cytolytic Antibody [EPC]</t>
  </si>
  <si>
    <t>Product Used For Unknown Indication</t>
  </si>
  <si>
    <t>Benzodiazepine [EPC]</t>
  </si>
  <si>
    <t>CONJUGATED ESTROGENS AND MEDROXYPROGESTERONE ACETATE</t>
  </si>
  <si>
    <t>PREMPRO</t>
  </si>
  <si>
    <t>Hormone Replacement Therapy</t>
  </si>
  <si>
    <t>Wyeth Pharmaceuticals Llc, A Subsidiary Of Pfizer Inc.</t>
  </si>
  <si>
    <t>Estrogen [EPC]</t>
  </si>
  <si>
    <t>SOMATROPIN</t>
  </si>
  <si>
    <t>NORDITROPIN; HUMATROPE; SEROSTIM; NUTROPIN AQ NUSPIN 10; NUTROPIN AQ NUSPIN 5</t>
  </si>
  <si>
    <t>Novo Nordisk; Eli Lilly And Company; Emd Serono, Inc.; Genentech, Inc.; Pfizer Laboratories Div Pfizer Inc</t>
  </si>
  <si>
    <t>Recombinant Human Growth Hormone [EPC]</t>
  </si>
  <si>
    <t>Recovered; Recovering</t>
  </si>
  <si>
    <t>Generalised Tonic-Clonic Seizure</t>
  </si>
  <si>
    <t>Anti-epileptic Agent [EPC]</t>
  </si>
  <si>
    <t>ACETAMINOPHEN; ACETAMINOPHEN 500MG; ACETAMINOPHEN TABLET EXTENDED RELEASE; PAIN RELIEVER</t>
  </si>
  <si>
    <t>AMAZON BASIC CARE ACETAMINOPHEN; PAIN RELIEF; MAXIMUM STRENGTH NON-ASPIRIN 100; MAXIMUM STRENGTH NON-ASPIRIN 250; INFANTS PAIN FEVER</t>
  </si>
  <si>
    <t>Amazon.Com Services Llc; Meijer, Inc.; Jhk Inc Dba American Safety &amp; First Aid; H E B; Sixarp, Llc</t>
  </si>
  <si>
    <t>Nonsteroidal Anti-inflammatory Drug [EPC]</t>
  </si>
  <si>
    <t>DE</t>
  </si>
  <si>
    <t>Gynaecomastia</t>
  </si>
  <si>
    <t>RALTEGRAVIR</t>
  </si>
  <si>
    <t>ISENTRESS</t>
  </si>
  <si>
    <t>Hiv Infection</t>
  </si>
  <si>
    <t>Merck Sharp &amp; Dohme Llc</t>
  </si>
  <si>
    <t>Thrombocytopenia</t>
  </si>
  <si>
    <t>Thiazide Diuretic [EPC]</t>
  </si>
  <si>
    <t>Myocardial infarction</t>
  </si>
  <si>
    <t>Neuroendocrine Tumour</t>
  </si>
  <si>
    <t>Corticosteroid [EPC]</t>
  </si>
  <si>
    <t>DOCETAXEL; DOCETAXEL ANHYDROUS</t>
  </si>
  <si>
    <t>DOCETAXEL; DOCIVYX; BEIZRAY</t>
  </si>
  <si>
    <t>Armas Pharmaceuticals Inc.; Jiangsu Hengrui Pharmaceuticals Co., Ltd.; Baxter Healthcare Corporation; Hospira, Inc.; Hikma Pharmaceuticals Usa Inc.</t>
  </si>
  <si>
    <t>Microtubule Inhibitor [EPC]</t>
  </si>
  <si>
    <t>IT</t>
  </si>
  <si>
    <t>Cardiotoxicity</t>
  </si>
  <si>
    <t>Unknown; Not Recovered; Recovered</t>
  </si>
  <si>
    <t>METOPROLOL TARTRATE; METOPROLOL</t>
  </si>
  <si>
    <t>METOPROLOL; METOPROLOL TARTRATE</t>
  </si>
  <si>
    <t>Baxter Healthcare Corporation; Fresenius Kabi Usa, Llc; Alembic Pharmaceuticals Inc.; Alembic Pharmaceuticals Limited</t>
  </si>
  <si>
    <t>AMOXICILLIN</t>
  </si>
  <si>
    <t>Pyrexia</t>
  </si>
  <si>
    <t>Hikma Pharmaceuticals Usa Inc.; Usantibiotics, Llc; American Health Packaging; Northstar Rx Llc; Rising Pharma Holdings, Inc.</t>
  </si>
  <si>
    <t>No</t>
  </si>
  <si>
    <t>Drug ineffective</t>
  </si>
  <si>
    <t>ETANERCEPT</t>
  </si>
  <si>
    <t>ENBREL</t>
  </si>
  <si>
    <t>Immunex Corporation</t>
  </si>
  <si>
    <t>Tumor Necrosis Factor Blocker [EPC]</t>
  </si>
  <si>
    <t>Hereditary Angioedema</t>
  </si>
  <si>
    <t>INSULIN GLARGINE</t>
  </si>
  <si>
    <t>LANTUS SOLOSTAR</t>
  </si>
  <si>
    <t>Type 2 Diabetes Mellitus</t>
  </si>
  <si>
    <t>OMALIZUMAB</t>
  </si>
  <si>
    <t>XOLAIR</t>
  </si>
  <si>
    <t>Anti-IgE [EPC]</t>
  </si>
  <si>
    <t>Depression</t>
  </si>
  <si>
    <t>Emotional disorder</t>
  </si>
  <si>
    <t>Unknown; Not Recovered; Recovering</t>
  </si>
  <si>
    <t>SODIUM OXYBATE</t>
  </si>
  <si>
    <t>XYREM</t>
  </si>
  <si>
    <t>Narcolepsy</t>
  </si>
  <si>
    <t>Jazz Pharmaceuticals, Inc.</t>
  </si>
  <si>
    <t>Multiple organ dysfunction syndrome</t>
  </si>
  <si>
    <t>SIMVASTATIN</t>
  </si>
  <si>
    <t>SIMVASTATIN; ZOCOR</t>
  </si>
  <si>
    <t>Accord Healthcare, Inc.; Northstar Rx Llc; Lupin Pharmaceuticals, Inc.; Micro Labs Limited; Xlcare Pharmaceuticals Inc.</t>
  </si>
  <si>
    <t>HMG-CoA Reductase Inhibitor [EPC]</t>
  </si>
  <si>
    <t>Multiple Sclerosis</t>
  </si>
  <si>
    <t>Hospitalization; Disability</t>
  </si>
  <si>
    <t>Blindness</t>
  </si>
  <si>
    <t>Eli Lilly And Company</t>
  </si>
  <si>
    <t>BR</t>
  </si>
  <si>
    <t>DICLOFENAC; DICLOFENAC SODIUM</t>
  </si>
  <si>
    <t>DICLOFENAC SODIUM; XICLO; DICLOFENAC</t>
  </si>
  <si>
    <t>Amneal Pharmaceuticals Llc; Encube Ethicals, Inc.; Strand Health Group; Amneal Pharmaceuticals Ny Llc; Scholl'S Wellness Company</t>
  </si>
  <si>
    <t>FINASTERIDE</t>
  </si>
  <si>
    <t>Alopecia</t>
  </si>
  <si>
    <t>5-alpha Reductase Inhibitor [EPC]</t>
  </si>
  <si>
    <t>Arthritis</t>
  </si>
  <si>
    <t>CONJUGATED ESTROGENS; ESTROGENS, CONJUGATED</t>
  </si>
  <si>
    <t>PREMARIN VAGINAL; PREMARIN</t>
  </si>
  <si>
    <t>Artificial Menopause</t>
  </si>
  <si>
    <t>Lower respiratory tract infection</t>
  </si>
  <si>
    <t>Schizophrenia</t>
  </si>
  <si>
    <t>Oppositional Defiant Disorder</t>
  </si>
  <si>
    <t>Peritonitis</t>
  </si>
  <si>
    <t>PEMBROLIZUMAB</t>
  </si>
  <si>
    <t>KEYTRUDA</t>
  </si>
  <si>
    <t>Metastatic Malignant Melanoma</t>
  </si>
  <si>
    <t>Programmed Death Receptor-1 Blocking Antibody [EPC]</t>
  </si>
  <si>
    <t>Foetal death</t>
  </si>
  <si>
    <t>Not Recovered; Recovered</t>
  </si>
  <si>
    <t>INTERFERON BETA-1A</t>
  </si>
  <si>
    <t>AVONEX</t>
  </si>
  <si>
    <t>Biogen Inc.</t>
  </si>
  <si>
    <t>Interferon beta [EPC]</t>
  </si>
  <si>
    <t>Drug-induced liver injury</t>
  </si>
  <si>
    <t>Colitis ulcerative</t>
  </si>
  <si>
    <t>ADALIMUMAB</t>
  </si>
  <si>
    <t>HUMIRA</t>
  </si>
  <si>
    <t>Colitis Ulcerative</t>
  </si>
  <si>
    <t>Cordavis Limited; Abbvie Inc.</t>
  </si>
  <si>
    <t>Blister</t>
  </si>
  <si>
    <t>Pancreatitis</t>
  </si>
  <si>
    <t>PONATINIB</t>
  </si>
  <si>
    <t>Chronic Myeloid Leukaemia (In Remission)</t>
  </si>
  <si>
    <t>ALPRAZOLAM</t>
  </si>
  <si>
    <t>ALPRAZOLAM; ALPRAZOLAM EXTENDED RELEASE; XANAX; XANAX XR; ALPRAZOLAM XR</t>
  </si>
  <si>
    <t>Actavis Pharma, Inc.; Aurobindo Pharma Limited; Mylan Pharmaceuticals Inc.; Ani Pharmaceuticals, Inc.; Endo Usa, Inc.</t>
  </si>
  <si>
    <t>Drug hypersensitivity</t>
  </si>
  <si>
    <t>PANTOPRAZOLE SODIUM; PANTOPRAZOLE; PANTOPRAZOLE SODIUM IN 0.9% SODIUM CHLORIDE; PANTOPRAZOLE SODIUM INJECTION</t>
  </si>
  <si>
    <t>PANTOPRAZOLE SODIUM; PROTONIX I.V.; PANTOPRAZOLE SODIUM I.V.; PROTONIX DELAYED-RELEASE</t>
  </si>
  <si>
    <t>Mylan Pharmaceuticals Inc.; Sun Pharmaceutical Industries Limited; Novadoz Pharmaceuticals Llc; Sun Pharmaceutical Industries, Inc.; Aurobindo Pharma Limited</t>
  </si>
  <si>
    <t>Elderly(81+)</t>
  </si>
  <si>
    <t>Death; Hospitalization</t>
  </si>
  <si>
    <t>Life-Threatening</t>
  </si>
  <si>
    <t>NL</t>
  </si>
  <si>
    <t>AMLODIPINE</t>
  </si>
  <si>
    <t>SDAMLO; NORLIQVA; KATERZIA</t>
  </si>
  <si>
    <t>Pangea Pharmaceuticals, Llc; Cmp Pharma, Inc.; Azurity Pharmaceuticals, Inc.</t>
  </si>
  <si>
    <t>Dihydropyridine Calcium Channel Blocker [EPC]; Calcium Channel Blocker [EPC]</t>
  </si>
  <si>
    <t>AMITRIPTYLINE</t>
  </si>
  <si>
    <t>Dyslipidaemia</t>
  </si>
  <si>
    <t>Pneumonia</t>
  </si>
  <si>
    <t>Recovering; Fatal; Unknown; Not Recovered; Recovered</t>
  </si>
  <si>
    <t>TOFACITINIB</t>
  </si>
  <si>
    <t>XELJANZ XR; XELJANZ</t>
  </si>
  <si>
    <t>Pfizer Laboratories Div Pfizer Inc; U.S. Pharmaceuticals</t>
  </si>
  <si>
    <t>Proton Pump Inhibitor [EPC]</t>
  </si>
  <si>
    <t>Ankylosing Spondylitis</t>
  </si>
  <si>
    <t>Acute Lymphocytic Leukaemia</t>
  </si>
  <si>
    <t>RS</t>
  </si>
  <si>
    <t>Anaphylactic shock</t>
  </si>
  <si>
    <t>Angioedema</t>
  </si>
  <si>
    <t>Off label use</t>
  </si>
  <si>
    <t>Combined Immunodeficiency</t>
  </si>
  <si>
    <t>Infant(0-2)</t>
  </si>
  <si>
    <t>Disability</t>
  </si>
  <si>
    <t>Intentional overdose</t>
  </si>
  <si>
    <t>QUETIAPINE</t>
  </si>
  <si>
    <t>QUETIAPINE; QUETIAPINE FUMARATE; QUETIAPINE EXTENDED-RELEASE; SEROQUEL XR; SEROQUEL</t>
  </si>
  <si>
    <t>Solco Healthcare U.S., Llc; Ascend Laboratories, Llc; Bluepoint Laboratories; Unichem Pharmaceuticals (Usa), Inc.; Aurobindo Pharma Limited</t>
  </si>
  <si>
    <t>Leukopenia</t>
  </si>
  <si>
    <t>METHOTREXATE SODIUM</t>
  </si>
  <si>
    <t>METHOTREXATE; METHOTREXATE SODIUM</t>
  </si>
  <si>
    <t>Fresenius Kabi Usa, Llc; Sun Pharmaceutical Industries, Inc.; Elite Laboratories, Inc.; Hikma Pharmaceuticals Usa Inc.</t>
  </si>
  <si>
    <t>Not Recovered; Recovered; Recovering</t>
  </si>
  <si>
    <t>RUXOLITINIB</t>
  </si>
  <si>
    <t>Incyte Corporation</t>
  </si>
  <si>
    <t>Kinase Inhibitor [EPC]; Janus Kinase Inhibitor [EPC]</t>
  </si>
  <si>
    <t>IN</t>
  </si>
  <si>
    <t>Incorrect route of product administration</t>
  </si>
  <si>
    <t>Dyspnoea</t>
  </si>
  <si>
    <t>Wound infection</t>
  </si>
  <si>
    <t>Psoriatic Arthropathy</t>
  </si>
  <si>
    <t>AR</t>
  </si>
  <si>
    <t>Hot Flush</t>
  </si>
  <si>
    <t>Bone marrow failure</t>
  </si>
  <si>
    <t>Pruritus</t>
  </si>
  <si>
    <t>Suicide attempt</t>
  </si>
  <si>
    <t>Rheumatoid arthritis</t>
  </si>
  <si>
    <t>Fatigue</t>
  </si>
  <si>
    <t>PALBOCICLIB</t>
  </si>
  <si>
    <t>IBRANCE</t>
  </si>
  <si>
    <t>Breast Cancer Metastatic</t>
  </si>
  <si>
    <t>Kinase Inhibitor [EPC]</t>
  </si>
  <si>
    <t>Prostate cancer</t>
  </si>
  <si>
    <t>MYCOPHENOLATE MOFETIL; MYCOPHENOLATE MOFETIL HYDROCHLORIDE</t>
  </si>
  <si>
    <t>MYCOPHENOLATE MOFETIL; MYHIBBIN; CELLCEPT</t>
  </si>
  <si>
    <t>Immunosuppression</t>
  </si>
  <si>
    <t>Endo Usa, Inc.; Onesource Specialty Pharma Limited; Bpi Labs Llc; Vistapharm, Llc; Lannett Company, Inc.</t>
  </si>
  <si>
    <t>PL</t>
  </si>
  <si>
    <t>Sepsis</t>
  </si>
  <si>
    <t>METHOTREXATE; JYLAMVO; TREXALL; RASUVO; XATMEP</t>
  </si>
  <si>
    <t>Systemic Lupus Erythematosus</t>
  </si>
  <si>
    <t>Chartwell Rx, Llc; Hospira, Inc.; Shorla Oncology Inc.; Teva Women'S Health, Inc.; Fresenius Kabi Usa, Llc</t>
  </si>
  <si>
    <t>Folate Analog Metabolic Inhibitor [EPC]</t>
  </si>
  <si>
    <t>Adverse drug reaction</t>
  </si>
  <si>
    <t>Alkylating Drug [EPC]</t>
  </si>
  <si>
    <t>Neuropathy peripheral</t>
  </si>
  <si>
    <t>Tachycardia</t>
  </si>
  <si>
    <t>Recovering</t>
  </si>
  <si>
    <t>Aggression</t>
  </si>
  <si>
    <t>Injury</t>
  </si>
  <si>
    <t>Fall</t>
  </si>
  <si>
    <t>JAKAFI</t>
  </si>
  <si>
    <t>Polycythaemia Vera</t>
  </si>
  <si>
    <t>Pulmonary hypertension</t>
  </si>
  <si>
    <t>Takeda Pharmaceuticals America, Inc.</t>
  </si>
  <si>
    <t>Dyspepsia</t>
  </si>
  <si>
    <t>Maternal exposure during pregnancy; Premature baby</t>
  </si>
  <si>
    <t>Maternal exposure during pregnancy</t>
  </si>
  <si>
    <t>Chest discomfort</t>
  </si>
  <si>
    <t>Asthenia</t>
  </si>
  <si>
    <t>Genzyme Corporation</t>
  </si>
  <si>
    <t>Neutropenia</t>
  </si>
  <si>
    <t>Penem Antibacterial [EPC]</t>
  </si>
  <si>
    <t>Cognitive disorder</t>
  </si>
  <si>
    <t>Waldenstrom^S Macroglobulinaemia</t>
  </si>
  <si>
    <t>.ALPHA.1-PROTEINASE INHIBITOR HUMAN</t>
  </si>
  <si>
    <t>Alpha-1 Antitrypsin Deficiency</t>
  </si>
  <si>
    <t>ES</t>
  </si>
  <si>
    <t>Condition aggravated</t>
  </si>
  <si>
    <t>XELJANZ XR</t>
  </si>
  <si>
    <t>HYDROMORPHONE HYDROCHLORIDE</t>
  </si>
  <si>
    <t>Small intestinal obstruction</t>
  </si>
  <si>
    <t>VEDOLIZUMAB</t>
  </si>
  <si>
    <t>ENTYVIO; ENTYVIO PEN</t>
  </si>
  <si>
    <t>Crohn^S Disease</t>
  </si>
  <si>
    <t>Integrin Receptor Antagonist [EPC]</t>
  </si>
  <si>
    <t>SITAGLIPTIN</t>
  </si>
  <si>
    <t>JANUVIA</t>
  </si>
  <si>
    <t>Therapeutic product effect decreased</t>
  </si>
  <si>
    <t>Hepatitis C</t>
  </si>
  <si>
    <t>Bradycardia</t>
  </si>
  <si>
    <t>Thrombosis</t>
  </si>
  <si>
    <t>Chronic Spontaneous Urticaria</t>
  </si>
  <si>
    <t>Epistaxis</t>
  </si>
  <si>
    <t>ALLOPURINOL</t>
  </si>
  <si>
    <t>ALLOPURINOL; ALOPRIM</t>
  </si>
  <si>
    <t>Accord Healthcare Inc.; Gland Pharma Limited; Sun Pharmaceutical Industries, Inc.; Heritage Pharmaceuticals Inc. D/B/A Avet Pharmaceuticals Inc.; Florida Pharmaceutical Products, Llc</t>
  </si>
  <si>
    <t>Xanthine Oxidase Inhibitor [EPC]</t>
  </si>
  <si>
    <t>PREGABALIN</t>
  </si>
  <si>
    <t>PREGABALIN; LYRICA; PREGABALIN EXTENDED RELEASE; LYRICA CR</t>
  </si>
  <si>
    <t>Camber Pharmaceuticals, Inc.; Indoco Remedies Limited; Alembic Pharmaceuticals Inc.; Alembic Pharmaceuticals Limited; Sun Pharmaceutical Industries, Inc.</t>
  </si>
  <si>
    <t>Illness</t>
  </si>
  <si>
    <t>Eczema</t>
  </si>
  <si>
    <t>Constipation</t>
  </si>
  <si>
    <t>VISMODEGIB</t>
  </si>
  <si>
    <t>ERIVEDGE</t>
  </si>
  <si>
    <t>Basal Cell Carcinoma</t>
  </si>
  <si>
    <t>Hedgehog Pathway Inhibitor [EPC]</t>
  </si>
  <si>
    <t>Gastric haemorrhage</t>
  </si>
  <si>
    <t>MESALAMINE</t>
  </si>
  <si>
    <t>MESALAMINE; CANASA; LIALDA; ROWASA; APRISO</t>
  </si>
  <si>
    <t>Teva Pharmaceuticals Usa, Inc.; Amneal Pharmaceuticals Llc; Sun Pharmaceutical Industries Inc.; Zydus Lifesciences Limited; Northstar Rxllc</t>
  </si>
  <si>
    <t>Aminosalicylate [EPC]</t>
  </si>
  <si>
    <t>SECUKINUMAB</t>
  </si>
  <si>
    <t>COSENTYX</t>
  </si>
  <si>
    <t>Interleukin-17A Antagonist [EPC]</t>
  </si>
  <si>
    <t>BELIMUMAB</t>
  </si>
  <si>
    <t>BENLYSTA</t>
  </si>
  <si>
    <t>Glaxosmithkline Llc</t>
  </si>
  <si>
    <t>B Lymphocyte Stimulator-specific Inhibitor [EPC]</t>
  </si>
  <si>
    <t>Drug interaction</t>
  </si>
  <si>
    <t>FLUCONAZOLE</t>
  </si>
  <si>
    <t>FLUCONAZOLE; DIFLUCAN</t>
  </si>
  <si>
    <t>Zydus Lifesciences Limited; Dr. Reddy'S Laboratories Limited; Chartwell Rx, Llc; Hospira, Inc; Rising Pharma Holdings, Inc.</t>
  </si>
  <si>
    <t>Azole Antifungal [EPC]</t>
  </si>
  <si>
    <t>Diarrhoea</t>
  </si>
  <si>
    <t>BOSUTINIB</t>
  </si>
  <si>
    <t>BOSULIF</t>
  </si>
  <si>
    <t>Chronic Myeloid Leukaemia</t>
  </si>
  <si>
    <t>Emotional distress</t>
  </si>
  <si>
    <t>Affective Disorder</t>
  </si>
  <si>
    <t>Gynaecomastia; Weight increased; Emotional disorder</t>
  </si>
  <si>
    <t>Encephalopathy</t>
  </si>
  <si>
    <t>Gynaecomastia; Emotional disorder</t>
  </si>
  <si>
    <t>CH</t>
  </si>
  <si>
    <t>Emotional disorder; Gynaecomastia; Weight increased</t>
  </si>
  <si>
    <t>CANAKINUMAB</t>
  </si>
  <si>
    <t>ILARIS</t>
  </si>
  <si>
    <t>Cryopyrin Associated Periodic Syndrome</t>
  </si>
  <si>
    <t>Cardiac arrest</t>
  </si>
  <si>
    <t>EZETIMIBE</t>
  </si>
  <si>
    <t>EZETIMIBE; ZETIA</t>
  </si>
  <si>
    <t>Glenmark Pharmaceuticals Inc., Usa; Marlex Pharmaceuticals, Inc.; Camber Pharmaceuticals, Inc.; Orient Pharma Co., Ltd.; Ohm Laboratories Inc.</t>
  </si>
  <si>
    <t>Dietary Cholesterol Absorption Inhibitor [EPC]</t>
  </si>
  <si>
    <t>Nephrolithiasis</t>
  </si>
  <si>
    <t>Female genital tract fistula</t>
  </si>
  <si>
    <t>Pancreatitis acute</t>
  </si>
  <si>
    <t>Dementia</t>
  </si>
  <si>
    <t>PIMAVANSERIN TARTRATE</t>
  </si>
  <si>
    <t>NUPLAZID</t>
  </si>
  <si>
    <t>Parkinson^S Disease Psychosis</t>
  </si>
  <si>
    <t>Acadia Pharmaceuticals Inc.</t>
  </si>
  <si>
    <t>BE</t>
  </si>
  <si>
    <t>Anaemia</t>
  </si>
  <si>
    <t>Sleep disorder</t>
  </si>
  <si>
    <t>LEVETIRACETAM; LEVETIRACETAM ORAL; LEVETIRACETAM INJECTION; LEVETIRACETAM IN SODIUM CHLORIDE</t>
  </si>
  <si>
    <t>LEVETIRACETAM; LEVETIRACETAM ER; ELEPSIA XR 1000 MG; ELEPSIA XR 1500 MG; KEPPRA</t>
  </si>
  <si>
    <t>Granules Pharmaceuticals Inc.; Westminster Pharmaceuticals, Llc; Tripoint Therapeutics, Llc; Northstar Rxllc; Major Pharmaceuticals</t>
  </si>
  <si>
    <t>Respiratory failure</t>
  </si>
  <si>
    <t>Lung Adenocarcinoma</t>
  </si>
  <si>
    <t>OCRELIZUMAB</t>
  </si>
  <si>
    <t>OCREVUS</t>
  </si>
  <si>
    <t>Angina pectoris</t>
  </si>
  <si>
    <t>NEVIRAPINE</t>
  </si>
  <si>
    <t>Aurobindo Pharma Limited; Camber Pharmaceuticals, Inc.; Mylan Pharmaceuticals Inc.; Macleods Pharmaceuticals Limited; Amneal Pharmaceuticals Llc</t>
  </si>
  <si>
    <t>Human Immunodeficiency Virus 1 Non-Nucleoside Analog Reverse Transcriptase Inhibitor [EPC]</t>
  </si>
  <si>
    <t>ELTROMBOPAG OLAMINE; ELTROMBOPAG</t>
  </si>
  <si>
    <t>ELTROMBOPAG OLAMINE; ELTROMBOPAG; PROMACTA</t>
  </si>
  <si>
    <t>Immune Thrombocytopenia</t>
  </si>
  <si>
    <t>Somerset Therapeutics, Llc; Amneal Pharmaceuticals Ny Llc; Camber Pharmaceuticals, Inc.; Avkare; Novadoz Pharmaceuticals Llc</t>
  </si>
  <si>
    <t>CO</t>
  </si>
  <si>
    <t>Seizure</t>
  </si>
  <si>
    <t>NILOTINIB</t>
  </si>
  <si>
    <t>TASIGNA</t>
  </si>
  <si>
    <t>Dehydration</t>
  </si>
  <si>
    <t>Gaucher^S Disease</t>
  </si>
  <si>
    <t>Hydrolytic Lysosomal Glucocerebroside-specific Enzyme [EPC]</t>
  </si>
  <si>
    <t>Death; Hospitalization; Life-Threatening</t>
  </si>
  <si>
    <t>Plasma cell myeloma</t>
  </si>
  <si>
    <t>PREDNISONE</t>
  </si>
  <si>
    <t>PREDNISONE; PREDNISONE DELAYED RELEASE; PREDNISONE TABLETS, USP, 5 MG; PREDNISONE TABLETS, USP, 10 MG; PREDNISONE TABLETS, USP, 20 MG</t>
  </si>
  <si>
    <t>Ani Pharmaceuticals, Inc.; Mylan Pharmaceuticals Inc.; Endo Usa, Inc.; Strides Pharma Science Limited; Hikma Pharmaceuticals Usa Inc.</t>
  </si>
  <si>
    <t>CYCLOSPORINE</t>
  </si>
  <si>
    <t>NEORAL; CYCLOSPORINE; CYCLOSPORINE, MODFIED; VERKAZIA; CYCLOSPORINE MODIFIED</t>
  </si>
  <si>
    <t>Novartis Pharmaceuticals Corporation; Teva Pharmaceuticals, Inc.; Apotex Corp.; Harrow Eye, Llc; Teva Pharmaceuticals Usa, Inc.</t>
  </si>
  <si>
    <t>Calcineurin Inhibitor Immunosuppressant [EPC]</t>
  </si>
  <si>
    <t>Anxiety</t>
  </si>
  <si>
    <t>Hypogammaglobulinaemia</t>
  </si>
  <si>
    <t>DK</t>
  </si>
  <si>
    <t>Infection</t>
  </si>
  <si>
    <t>Septic shock</t>
  </si>
  <si>
    <t>IBUPROFEN; IBUPROFEN CAPSULES 200 MG; IBUPROFEN TABLETS USP, 200MG; IBUPROFEN TABLET, FILM COATED; IBUPROFEN ORAL</t>
  </si>
  <si>
    <t>IBUPROFEN; CAREONE IBUPROFEN; GOOD REMEDIES IBUPROFEN 200 MG; CHILDRENS IBUPROFEN ORAL SUSPENSION, DYE FREE; LEADER CHILDRENS IBUPROFEN</t>
  </si>
  <si>
    <t>Dolgencorp Inc; American Sales Company; Strive Pharmaceuticals Inc.; Rite Aid Corporation; Good Sense (Geiss, Destin &amp; Dunn, Inc.)</t>
  </si>
  <si>
    <t>Atrial fibrillation</t>
  </si>
  <si>
    <t>PEGINTERFERON BETA-1A</t>
  </si>
  <si>
    <t>PLEGRIDY PEN; PLEGRIDY</t>
  </si>
  <si>
    <t>Immune-mediated adverse reaction</t>
  </si>
  <si>
    <t>Gastrointestinal disorder</t>
  </si>
  <si>
    <t>Ucb, Inc.</t>
  </si>
  <si>
    <t>Fatal</t>
  </si>
  <si>
    <t>Vision blurred</t>
  </si>
  <si>
    <t>Pain</t>
  </si>
  <si>
    <t>BEVACIZUMAB</t>
  </si>
  <si>
    <t>Vascular Endothelial Growth Factor Inhibitor [EPC]</t>
  </si>
  <si>
    <t>FI</t>
  </si>
  <si>
    <t>Disorientation</t>
  </si>
  <si>
    <t>Sleep Disorder</t>
  </si>
  <si>
    <t>Vertigo</t>
  </si>
  <si>
    <t>Dry skin</t>
  </si>
  <si>
    <t>Therapeutic product effect incomplete</t>
  </si>
  <si>
    <t>DIMETHYL FUMARATE</t>
  </si>
  <si>
    <t>TECFIDERA</t>
  </si>
  <si>
    <t>Tooth disorder</t>
  </si>
  <si>
    <t>Drug intolerance</t>
  </si>
  <si>
    <t>Acromegaly</t>
  </si>
  <si>
    <t>NATALIZUMAB</t>
  </si>
  <si>
    <t>TYSABRI</t>
  </si>
  <si>
    <t>Pulmonary oedema</t>
  </si>
  <si>
    <t>Breast Cancer Female</t>
  </si>
  <si>
    <t>Breast Cancer</t>
  </si>
  <si>
    <t>Headache</t>
  </si>
  <si>
    <t>Her2 Positive Breast Cancer</t>
  </si>
  <si>
    <t>Abdominal discomfort</t>
  </si>
  <si>
    <t>Dizziness</t>
  </si>
  <si>
    <t>Abdominal pain upper</t>
  </si>
  <si>
    <t>Decreased appetite</t>
  </si>
  <si>
    <t>Paraesthesia</t>
  </si>
  <si>
    <t>Abdominal distension</t>
  </si>
  <si>
    <t>Hypokalaemia</t>
  </si>
  <si>
    <t>Not Recovered; Recovering</t>
  </si>
  <si>
    <t>Bone cancer</t>
  </si>
  <si>
    <t>Renal impairment</t>
  </si>
  <si>
    <t>CARBIDOPA\LEVODOPA</t>
  </si>
  <si>
    <t>Platelet count decreased</t>
  </si>
  <si>
    <t>VELAGLUCERASE ALFA</t>
  </si>
  <si>
    <t>VPRIV</t>
  </si>
  <si>
    <t>NIVOLUMAB</t>
  </si>
  <si>
    <t>OPDIVO</t>
  </si>
  <si>
    <t>Non-Small Cell Lung Cancer</t>
  </si>
  <si>
    <t>E.R. Squibb &amp; Sons, L.L.C.</t>
  </si>
  <si>
    <t>Foetal exposure during pregnancy</t>
  </si>
  <si>
    <t>Foetal Exposure During Pregnancy</t>
  </si>
  <si>
    <t>OMEPRAZOLE; OMEPRAZOLE MAGNESIUM</t>
  </si>
  <si>
    <t>GOOD NEIGHBOR PHARMACY OMEPRAZOLE; OMEPRAZOLE/SODIUM BICARBONATE; KIRKLAND SIGNATURE OMEPRAZOLE; OMEPRAZOLE; FOSTER AND THRIVE OMEPRAZOLE</t>
  </si>
  <si>
    <t>Prophylaxis</t>
  </si>
  <si>
    <t>Amerisource Bergen; Strides Pharma Science Limited; Costco Wholesale Company; Innovus Pharmaceuticals, Inc.; Ohm Laboratories Inc.</t>
  </si>
  <si>
    <t>Loss of consciousness</t>
  </si>
  <si>
    <t>DUPILUMAB</t>
  </si>
  <si>
    <t>DUPIXENT</t>
  </si>
  <si>
    <t>Dermatitis Atopic</t>
  </si>
  <si>
    <t>Interleukin-4 Receptor alpha Antagonist [EPC]</t>
  </si>
  <si>
    <t>Cerebrovascular accident</t>
  </si>
  <si>
    <t>INSULIN GLARGINE-YFGN; INSULIN GLARGINE</t>
  </si>
  <si>
    <t>INSULIN GLARGINE; INSULIN GLARGINE SOLOSTAR; LANTUS SOLOSTAR; LANTUS; TOUJEO</t>
  </si>
  <si>
    <t>Biocon Biologics Inc.; Winthrop U.S.; Sanofi-Aventis U.S. Llc; Sanofi-Aventis U.S. Llc; Civica, Inc.</t>
  </si>
  <si>
    <t>Arthralgia</t>
  </si>
  <si>
    <t>Vomiting</t>
  </si>
  <si>
    <t>Acne</t>
  </si>
  <si>
    <t>Cellulitis</t>
  </si>
  <si>
    <t>AMLODIPINE BESYLATE</t>
  </si>
  <si>
    <t>AMLODIPINE BESYLATE; NORVASC; AMLODIPINE BESYLATE 2.5 MG; AMLODIPINE BESYLATE 5 MG; AMLODIPINE BESYLATE 10 MG</t>
  </si>
  <si>
    <t>Zydus Pharmaceuticals Usa Inc.; Viatris Specialty Llc; Cipla Usa Inc.; Quallent Pharmaceuticals Health Llc; Epic Pharma, Llc</t>
  </si>
  <si>
    <t>Impaired gastric emptying</t>
  </si>
  <si>
    <t>GABAPENTIN</t>
  </si>
  <si>
    <t>GABAPENTIN; NEURONTIN; RELGAABI; GRALISE; GABA 300-EZS</t>
  </si>
  <si>
    <t>Rising Pharma Holdings, Inc.; Precision Dose, Inc.; Ascend Laboratories, Llc; Parke-Davis Div Of Pfizer Inc; Creekwood Pharmaceuticals Llc</t>
  </si>
  <si>
    <t>Feeling hot</t>
  </si>
  <si>
    <t>IMATINIB MESYLATE</t>
  </si>
  <si>
    <t>GLEEVEC</t>
  </si>
  <si>
    <t>Myocardial ischaemia</t>
  </si>
  <si>
    <t>DEXAMETHASONE; DEXAMETHASONE 1.5 MG</t>
  </si>
  <si>
    <t>DEXAMETHASONE; OZURDEX; DEXAMETHASONE 1.5 MG; DEXYCU; MAXIDEX</t>
  </si>
  <si>
    <t>Zydus Lifesciences Limited; Allergan, Inc.; Apotex Corp.; Alvogen Inc.; Viona Pharmaceuticals Inc</t>
  </si>
  <si>
    <t>Neck pain</t>
  </si>
  <si>
    <t>NUSINERSEN</t>
  </si>
  <si>
    <t>SPINRAZA</t>
  </si>
  <si>
    <t>Spinal Muscular Atrophy</t>
  </si>
  <si>
    <t>Survival Motor Neuron-2-directed RNA Interaction [EPC]; Antisense Oligonucleotide [EPC]</t>
  </si>
  <si>
    <t>CARBOPLATIN</t>
  </si>
  <si>
    <t>CARBOPLATIN; KYXATA</t>
  </si>
  <si>
    <t>Apotex Corp.; Hospira, Inc.; Gland Pharma Limited; Teyro Labs Private Limited; Avyxa Pharma, Llc</t>
  </si>
  <si>
    <t>Platinum-based Drug [EPC]</t>
  </si>
  <si>
    <t>Osteomyelitis</t>
  </si>
  <si>
    <t>TERIFLUNOMIDE</t>
  </si>
  <si>
    <t>AUBAGIO</t>
  </si>
  <si>
    <t>Pyrimidine Synthesis Inhibitor [EPC]</t>
  </si>
  <si>
    <t>VENLAFAXINE; VENLAFAXINE HYDROCHLORIDE</t>
  </si>
  <si>
    <t>Zydus Lifesciences Limited; Modavar Pharmaceuticals Llc; Cadila Pharmaceuticals Limited; Sun Pharmaceutical Industries, Inc.; Alembic Pharmaceuticals Inc.</t>
  </si>
  <si>
    <t>Serotonin syndrome</t>
  </si>
  <si>
    <t>DESVENLAFAXINE SUCCINATE</t>
  </si>
  <si>
    <t>PRISTIQ EXTENDED-RELEASE</t>
  </si>
  <si>
    <t>INFLIXIMAB</t>
  </si>
  <si>
    <t>REMICADE</t>
  </si>
  <si>
    <t>Janssen Biotech, Inc.</t>
  </si>
  <si>
    <t>MEPOLIZUMAB</t>
  </si>
  <si>
    <t>NUCALA</t>
  </si>
  <si>
    <t>Interleukin-5 Antagonist [EPC]</t>
  </si>
  <si>
    <t>Bronchitis</t>
  </si>
  <si>
    <t>ALBUTEROL SULFATE; ALBUTEROL</t>
  </si>
  <si>
    <t>ALBUTEROL</t>
  </si>
  <si>
    <t>Nivagen Pharmaceuticals Inc; Aurobindo Pharma Limited; Amneal Pharmaceuticals Ny Llc; Rising Pharma Holdings, Inc.; Zydus Pharmaceuticals Usa Inc.</t>
  </si>
  <si>
    <t>TRAMADOL</t>
  </si>
  <si>
    <t>NIFEDIPINE</t>
  </si>
  <si>
    <t>NIFEDIPINE; PROCARDIA XL</t>
  </si>
  <si>
    <t>Cardiac Disorder</t>
  </si>
  <si>
    <t>Oceanside Pharmaceuticals; Zydus Lifesciences Limited; Elite Pharmaceutical Solution, Inc.; Alembic Pharmaceuticals Inc.; Heritage Pharmaceuticals Inc. D/B/A Avet Pharmaceuticals Inc.</t>
  </si>
  <si>
    <t>Dihydropyridine Calcium Channel Blocker [EPC]</t>
  </si>
  <si>
    <t>Toxic epidermal necrolysis</t>
  </si>
  <si>
    <t>Product dose omission issue</t>
  </si>
  <si>
    <t>Influenza</t>
  </si>
  <si>
    <t>Familial Mediterranean Fever</t>
  </si>
  <si>
    <t>AT</t>
  </si>
  <si>
    <t>Sinus disorder</t>
  </si>
  <si>
    <t>ZOLPIDEM TARTRATE</t>
  </si>
  <si>
    <t>ZOLPIDEM</t>
  </si>
  <si>
    <t>Aci Healthcare Usa, Inc</t>
  </si>
  <si>
    <t>SE</t>
  </si>
  <si>
    <t>IRINOTECAN</t>
  </si>
  <si>
    <t>Hypoacusis</t>
  </si>
  <si>
    <t>Cholangiocarcinoma</t>
  </si>
  <si>
    <t>TACROLIMUS; TACROLIMUS OINTMENT 0.1%; TACROLIMUS EXTENDED-RELEASE CAPSULES</t>
  </si>
  <si>
    <t>TACROLIMUS; PROGRAF; ENVARSUS XR</t>
  </si>
  <si>
    <t>Immunosuppressant Drug Therapy</t>
  </si>
  <si>
    <t>Glenmark Pharmaceuticals Inc., Usa; Accord Healthcare Inc.; Ascend Laboratories, Llc; Padagis Israel Pharmaceuticals Ltd; Northstar Rx Llc</t>
  </si>
  <si>
    <t>Hospitalisation</t>
  </si>
  <si>
    <t>Hallucination</t>
  </si>
  <si>
    <t>Osteoporosis</t>
  </si>
  <si>
    <t>Hepatotoxicity</t>
  </si>
  <si>
    <t>Deafness</t>
  </si>
  <si>
    <t>FLUOROURACIL CREAM, 0.5%; FLUOROURACIL</t>
  </si>
  <si>
    <t>FLUOROURACIL; TOLAK; EFUDEX; FAVLYXA</t>
  </si>
  <si>
    <t>Dr. Reddy'S Laboratories Inc.; Eugia Us Llc; Alembic Pharmaceuticals Inc.; Fresenius Kabi Usa, Llc; Bluepoint Laboratories</t>
  </si>
  <si>
    <t>Nucleoside Metabolic Inhibitor [EPC]</t>
  </si>
  <si>
    <t>Akathisia</t>
  </si>
  <si>
    <t>LANADELUMAB</t>
  </si>
  <si>
    <t>Anti-epileptic Agent [EPC]; Mood Stabilizer [EPC]</t>
  </si>
  <si>
    <t>AVASTIN</t>
  </si>
  <si>
    <t>Chronic kidney disease</t>
  </si>
  <si>
    <t>Prescribed underdose</t>
  </si>
  <si>
    <t>ALBUTEROL SULFATE</t>
  </si>
  <si>
    <t>ALBUTEROL SULFATE; ALBUTEROL; VENTOLIN HFA; ALBUTEROL SULFATE INHALATION; PROAIR DIGIHALER</t>
  </si>
  <si>
    <t>Chartwell Rx, Llc; American Health Packaging; Nivagen Pharmaceuticals Inc; Glaxosmithkline Llc; Luoxin Aurovitas Pharma (Chengdu) Co., Ltd.</t>
  </si>
  <si>
    <t>Hypertriglyceridaemia</t>
  </si>
  <si>
    <t>Crohn^s disease</t>
  </si>
  <si>
    <t>Lower limb fracture</t>
  </si>
  <si>
    <t>ALEMTUZUMAB</t>
  </si>
  <si>
    <t>CAMPATH; LEMTRADA</t>
  </si>
  <si>
    <t>CD52-directed Cytolytic Antibody [EPC]</t>
  </si>
  <si>
    <t>Emotional distress; Gynaecomastia; Off label use; Product use in unapproved indication</t>
  </si>
  <si>
    <t>Overdose</t>
  </si>
  <si>
    <t>CZ</t>
  </si>
  <si>
    <t>RENFLEXIS; INFLIXIMAB; REMICADE</t>
  </si>
  <si>
    <t>Organon Llc; Janssen Biotech, Inc.</t>
  </si>
  <si>
    <t>Urinary tract infection</t>
  </si>
  <si>
    <t>Congenital Anomaly</t>
  </si>
  <si>
    <t>Hip fracture</t>
  </si>
  <si>
    <t>Cystitis</t>
  </si>
  <si>
    <t>Ankylosing spondylitis</t>
  </si>
  <si>
    <t>Colorectal Cancer Metastatic</t>
  </si>
  <si>
    <t>Tooth abscess</t>
  </si>
  <si>
    <t>Aspergillus infection</t>
  </si>
  <si>
    <t>TRASTUZUMAB</t>
  </si>
  <si>
    <t>HERCEPTIN</t>
  </si>
  <si>
    <t>HER2/neu Receptor Antagonist [EPC]</t>
  </si>
  <si>
    <t>Sarcoidosis</t>
  </si>
  <si>
    <t>DENOSUMAB</t>
  </si>
  <si>
    <t>Amgen, Inc</t>
  </si>
  <si>
    <t>RANK Ligand Inhibitor [EPC]</t>
  </si>
  <si>
    <t>AZITHROMYCIN; AZITHROMYCIN MONOHYDRATE; AZITHROMYCIN DIHYDRATE</t>
  </si>
  <si>
    <t>AZITHROMYCIN</t>
  </si>
  <si>
    <t>Lupin Pharmaceuticals, Inc.; Alembic Pharmaceuticals Limited; Fresenius Kabi Usa, Llc; Eugia Us Llc; Lannett Company, Inc.</t>
  </si>
  <si>
    <t>Surgery</t>
  </si>
  <si>
    <t>Gastrointestinal infection</t>
  </si>
  <si>
    <t>TOCILIZUMAB</t>
  </si>
  <si>
    <t>TOFIDENCE; ACTEMRA; ACTEMRA ACTPEN; AVTOZMA; TOCILIZUMAB-ANOH</t>
  </si>
  <si>
    <t>Biogen Ma Inc; Organon Llc; Genentech, Inc.; Celltrion Usa, Inc.</t>
  </si>
  <si>
    <t>Interleukin-6 Receptor Antagonist [EPC]</t>
  </si>
  <si>
    <t>Encephalitis autoimmune</t>
  </si>
  <si>
    <t>Upper limb fracture</t>
  </si>
  <si>
    <t>Breast cancer</t>
  </si>
  <si>
    <t>HUMAN IMMUNOGLOBULIN G</t>
  </si>
  <si>
    <t>ASCENIV; QIVIGY KTHM</t>
  </si>
  <si>
    <t>Immunodeficiency Common Variable</t>
  </si>
  <si>
    <t>Adma Biologics, Inc.; Kedrion S.P.A.</t>
  </si>
  <si>
    <t>Human Immunoglobulin G [EPC]</t>
  </si>
  <si>
    <t>Aspiration</t>
  </si>
  <si>
    <t>Psoriasis</t>
  </si>
  <si>
    <t>PROLIA</t>
  </si>
  <si>
    <t>Osteoporosis Postmenopausal</t>
  </si>
  <si>
    <t>Migraine</t>
  </si>
  <si>
    <t>Stem Cell Transplant</t>
  </si>
  <si>
    <t>Inappropriate schedule of product administration</t>
  </si>
  <si>
    <t>LEUPROLIDE ACETATE</t>
  </si>
  <si>
    <t>LEUPROLIDE ACETATE; VABRINTY; FENSOLVI; LUTRATE DEPOT; ELIGARD</t>
  </si>
  <si>
    <t>Bulbospinal Muscular Atrophy Congenital</t>
  </si>
  <si>
    <t>Ubi Pharma Inc.; Uronova Pharmaceuticals, Inc.; Northstar Rxllc; Tolmar Inc.; Amneal Pharmaceuticals Llc</t>
  </si>
  <si>
    <t>Urinary retention</t>
  </si>
  <si>
    <t>Relapsing Multiple Sclerosis</t>
  </si>
  <si>
    <t>Myelofibrosis</t>
  </si>
  <si>
    <t>ACTEMRA</t>
  </si>
  <si>
    <t>Acute kidney injury</t>
  </si>
  <si>
    <t>Prophylaxis Against Transplant Rejection</t>
  </si>
  <si>
    <t>Intestinal stenosis</t>
  </si>
  <si>
    <t>INFLIXIMAB-DYYB</t>
  </si>
  <si>
    <t>INFLECTRA</t>
  </si>
  <si>
    <t>Mucosal inflammation</t>
  </si>
  <si>
    <t>PACLITAXEL; PACLITAXEL (AIBUMIN-BOUND)</t>
  </si>
  <si>
    <t>ABRAXANE; PACLITAXEL PACLITAXEL; PACLITAXEL PROTEIN-BOUND PARTICLES FOR INJECTABLE SUSPENSION (ALBUMIN-BOUND); PACLITAXEL PROTEIN BOUND PARTICLES ALBUMIN BOUND; PACLITAXEL</t>
  </si>
  <si>
    <t>Abraxis Bioscience, Llc; Heritage Pharmaceuticals Inc. D/B/A Avet Pharmaceuticals Inc.; Bluepoint Laboratories; Northstar Rx Llc; American Regent, Inc.</t>
  </si>
  <si>
    <t>IPILIMUMAB</t>
  </si>
  <si>
    <t>YERVOY</t>
  </si>
  <si>
    <t>Malignant Melanoma</t>
  </si>
  <si>
    <t>CTLA-4-directed Blocking Antibody [EPC]</t>
  </si>
  <si>
    <t>Cystic Fibrosis</t>
  </si>
  <si>
    <t>Vertex Pharmaceuticals Incorporated</t>
  </si>
  <si>
    <t>LANTUS</t>
  </si>
  <si>
    <t>Viral infection</t>
  </si>
  <si>
    <t>LEVOFLOXACIN; LEVOFLOXACIN IN 5% DEXTROSE</t>
  </si>
  <si>
    <t>LEVOFLOXACIN</t>
  </si>
  <si>
    <t>Sagent Pharmaceuticals; Gland Pharma Limited; Hikma Pharmaceuticals Usa Inc.; Advagen Pharma Limited; Hospira, Inc</t>
  </si>
  <si>
    <t>Fluoroquinolone Antibacterial [EPC]</t>
  </si>
  <si>
    <t>Chemical Submission</t>
  </si>
  <si>
    <t>HUMAN IMMUNOGLOBULIN G\HYALURONIDASE RECOMBINANT HUMAN</t>
  </si>
  <si>
    <t>Immunodeficiency</t>
  </si>
  <si>
    <t>MORPHINE SULFATE</t>
  </si>
  <si>
    <t>MORPHINE SULFATE; INFUMORPH 200; INFUMORPH 500; MORPHINE SULFATE EXTENDED RELEASE; MS CONTIN</t>
  </si>
  <si>
    <t>International Medication Systems, Limited; Hikma Pharmaceuticals Usa Inc.; Rhodes Pharmaceuticals L. P.; Hospira, Inc.; Fresenius Kabi, Usa Llc</t>
  </si>
  <si>
    <t>TRAMADOL HYDROCHLORIDE</t>
  </si>
  <si>
    <t>TRAMADOL HYDROCHLORIDE; TRAMADOL HYDROCHLORIDE EXTENDED-RELEASE; CONZIP</t>
  </si>
  <si>
    <t>Amneal Pharmaceuticals Ny Llc; Amneal Pharmaceuticals Llc; Lupin Pharmaceuticals, Inc.; Trigen Laboratories, Llc; Advagen Pharma Limited</t>
  </si>
  <si>
    <t>MYCOPHENOLIC ACID; MYCOPHENILIC ACID</t>
  </si>
  <si>
    <t>MYCOPHENOLIC ACID; MYFORTIC</t>
  </si>
  <si>
    <t>Concord Biotech Limited; Ascend Laboratories, Llc; Novartis Pharmaceuticals Corporation; Archis Pharma Llc; Twi Pharmaceuticals, Inc.</t>
  </si>
  <si>
    <t>Antimetabolite Immunosuppressant [EPC]</t>
  </si>
  <si>
    <t>Tremor</t>
  </si>
  <si>
    <t>BUDESONIDE</t>
  </si>
  <si>
    <t>BUDESONIDE; EOHILIA; PULMICORT RESPULES; TARPEYO; UCERIS</t>
  </si>
  <si>
    <t>Rite Aid Corporation; Walgreens; Rugby Laboratories; Oceanside Pharmaceuticals; Sun Pharmaceutical Industries, Inc.</t>
  </si>
  <si>
    <t>Toxicity to various agents</t>
  </si>
  <si>
    <t>Road traffic accident</t>
  </si>
  <si>
    <t>Delirium</t>
  </si>
  <si>
    <t>Prophylaxis Against Graft Versus Host Disease</t>
  </si>
  <si>
    <t>Type 2 diabetes mellitus</t>
  </si>
  <si>
    <t>ATORVASTATIN CALCIUM</t>
  </si>
  <si>
    <t>LIPITOR</t>
  </si>
  <si>
    <t>Parke-Davis Div Of Pfizer Inc; Viatris Specialty Llc</t>
  </si>
  <si>
    <t>Cardiac failure</t>
  </si>
  <si>
    <t>Disturbance in attention</t>
  </si>
  <si>
    <t>OXYCODONE HYDROCHLORIDE; OXYCODONE</t>
  </si>
  <si>
    <t>OXYCODONE HYDROCHLORIDE; OXYCONTIN; ROXICODONE; ROXYBOND; OXAYDO</t>
  </si>
  <si>
    <t>Camber Pharmaceuticals Inc; Novel Laboratories, Inc.; Purdue Pharma Lp; Amneal Pharmaceuticals Llc; Lupin Pharmaceuticals,Inc.</t>
  </si>
  <si>
    <t>RO</t>
  </si>
  <si>
    <t>ENZALUTAMIDE</t>
  </si>
  <si>
    <t>XTANDI</t>
  </si>
  <si>
    <t>Astellas Pharma Us, Inc.</t>
  </si>
  <si>
    <t>Androgen Receptor Inhibitor [EPC]</t>
  </si>
  <si>
    <t>Primary Immunodeficiency Syndrome</t>
  </si>
  <si>
    <t>Drug hypersensitivity; Rash</t>
  </si>
  <si>
    <t>Nasopharyngitis</t>
  </si>
  <si>
    <t>LAMOTRIGINE; LAMOTRIGINE EXTENDED-RELEASE; LAMOTRIGINE CHEWABLE DISPERSIBLE; LAMOTIRIGINE</t>
  </si>
  <si>
    <t>LAMOTRIGINE; LAMOTRIGINE EXTENDED-RELEASE; LAMICTAL; LAMICTAL ODT; LAMOTRIGINE KIT</t>
  </si>
  <si>
    <t>Actavis Pharma, Inc.; Dr. Reddys Laboratories Inc.; Yiling Pharmaceutical, Inc.; Aurobindo Pharma Limited; Par Health Usa, Llc</t>
  </si>
  <si>
    <t>Spinal operation</t>
  </si>
  <si>
    <t>Limb operation</t>
  </si>
  <si>
    <t>Haematoma</t>
  </si>
  <si>
    <t>LETROZOLE; LETROZOLE TABLETS</t>
  </si>
  <si>
    <t>LETROZOLE; FEMARA</t>
  </si>
  <si>
    <t>Accord Healthcare, Inc.; Dr. Reddy'S Laboratories Limited; Aurobindo Pharma Limited; Natco Pharma Limited; Teva Pharmaceuticals Usa, Inc.</t>
  </si>
  <si>
    <t>Aromatase Inhibitor [EPC]</t>
  </si>
  <si>
    <t>Skin cancer</t>
  </si>
  <si>
    <t>HYDROCORTISONE; ANTIPRURITIC (ANTI-ITCH); ANTI-ITCH CREAM; HYDROCORTISONE CREAM; HYDROCORTISONE 1%</t>
  </si>
  <si>
    <t>HYDROCORTISONE; DG HEALTH HYDROCORTISONE; RITE AID ANTI-ITCH; MEDIBALM; PROCTOSOL-HC</t>
  </si>
  <si>
    <t>Trifecta Pharmaceuticals Usa Llc; Dolgencorp, Llc; Rite Aid Corporation; Balmrx, Llc; Sun Pharmaceutical Industries, Inc.</t>
  </si>
  <si>
    <t>CUBICIN</t>
  </si>
  <si>
    <t>COVID-19</t>
  </si>
  <si>
    <t>IDURSULFASE</t>
  </si>
  <si>
    <t>ELAPRASE</t>
  </si>
  <si>
    <t>Mucopolysaccharidosis Ii</t>
  </si>
  <si>
    <t>Hydrolytic Lysosomal Glycosaminoglycan-specific Enzyme [EPC]</t>
  </si>
  <si>
    <t>Type 1 Diabetes Mellitus</t>
  </si>
  <si>
    <t>Novo Nordisk</t>
  </si>
  <si>
    <t>Death; Disability; Congenital Anomaly</t>
  </si>
  <si>
    <t>RISPERIDONE; UZEDY; PERSERIS; RYKINDO EXTENDED-RELEASE MICROSPHERES; RISPERDAL</t>
  </si>
  <si>
    <t>Amneal Pharmaceuticals Llc; Lupin Pharmaceuticals, Inc.; Amneal Pharmaceuticals Ny Llc; Janssen Pharmaceutical, Inc.; Jubilant Cadista Pharmacuticals Inc.</t>
  </si>
  <si>
    <t>Urticaria</t>
  </si>
  <si>
    <t>HUMAN C1-ESTERASE INHIBITOR</t>
  </si>
  <si>
    <t>Adenocarcinoma</t>
  </si>
  <si>
    <t>USTEKINUMAB</t>
  </si>
  <si>
    <t>STELARA</t>
  </si>
  <si>
    <t>Interleukin-12 Antagonist [EPC]; Interleukin-23 Antagonist [EPC]</t>
  </si>
  <si>
    <t>Withdrawal syndrome</t>
  </si>
  <si>
    <t>EVEROLIMUS; EVEROLIMUS TABLETS</t>
  </si>
  <si>
    <t>EVEROLIMUS; AFINITOR; AFINITOR DISPERZ; TORPENZ; ZORTRESS</t>
  </si>
  <si>
    <t>Biocon Pharma Inc.; Hikma Pharmaceuticals Usa Inc.; Teva Pharmaceuticals Usa, Inc.; Natco Pharma Limited; Novartis Pharmaceuticals Corporation</t>
  </si>
  <si>
    <t>Kinase Inhibitor [EPC]; mTOR Inhibitor Immunosuppressant [EPC]</t>
  </si>
  <si>
    <t>Hot flush</t>
  </si>
  <si>
    <t>Stress</t>
  </si>
  <si>
    <t>Plasma Cell Myeloma</t>
  </si>
  <si>
    <t>Proteasome Inhibitor [EPC]</t>
  </si>
  <si>
    <t>Nosocomial infection</t>
  </si>
  <si>
    <t>Cataract</t>
  </si>
  <si>
    <t>Back Pain</t>
  </si>
  <si>
    <t>Febrile neutropenia</t>
  </si>
  <si>
    <t>Chronic Lymphocytic Leukaemia</t>
  </si>
  <si>
    <t>Transient ischaemic attack</t>
  </si>
  <si>
    <t>Cough</t>
  </si>
  <si>
    <t>Dermatitis</t>
  </si>
  <si>
    <t>Cholestasis</t>
  </si>
  <si>
    <t>AU</t>
  </si>
  <si>
    <t>Weight decreased</t>
  </si>
  <si>
    <t>Pain in extremity</t>
  </si>
  <si>
    <t>Status epilepticus</t>
  </si>
  <si>
    <t>Infusion related reaction</t>
  </si>
  <si>
    <t>Mental impairment</t>
  </si>
  <si>
    <t>METHSUXIMIDE</t>
  </si>
  <si>
    <t>CELONTIN</t>
  </si>
  <si>
    <t>Parke-Davis Div Of Pfizer Inc</t>
  </si>
  <si>
    <t>Bipolar disorder</t>
  </si>
  <si>
    <t>Agranulocytosis</t>
  </si>
  <si>
    <t>POSACONAZOLE; POSACONAZOLE DELAYED-RELEASE</t>
  </si>
  <si>
    <t>POSACONAZOLE; NOXAFIL</t>
  </si>
  <si>
    <t>Antifungal Prophylaxis</t>
  </si>
  <si>
    <t>Northstar Rxllc; Glenmark Pharmaceuticals Inc., Usa; Amneal Pharmaceuticals Ny Llc; Camber Pharmaceuticals, Inc.; Specgx Llc</t>
  </si>
  <si>
    <t>Disease progression</t>
  </si>
  <si>
    <t>Parkinson^s disease</t>
  </si>
  <si>
    <t>Premature baby</t>
  </si>
  <si>
    <t>Gait disturbance</t>
  </si>
  <si>
    <t>Diabetes mellitus</t>
  </si>
  <si>
    <t>Malaise</t>
  </si>
  <si>
    <t>Central Nervous System Lymphoma</t>
  </si>
  <si>
    <t>XYNTHA</t>
  </si>
  <si>
    <t>Factor Viii Deficiency</t>
  </si>
  <si>
    <t>Haemolysis</t>
  </si>
  <si>
    <t>Weight increased</t>
  </si>
  <si>
    <t>Therapy non-responder</t>
  </si>
  <si>
    <t>Second primary malignancy</t>
  </si>
  <si>
    <t>Femur fracture</t>
  </si>
  <si>
    <t>Neoplasm malignant</t>
  </si>
  <si>
    <t>ETOPOSIDE</t>
  </si>
  <si>
    <t>ETOPOSIDE; AVOPEF</t>
  </si>
  <si>
    <t>Accord Healthcare Inc.; Hikma Pharmaceuticals Usa Inc.; Bluepoint Laboratories; Avyxa Pharma, Llc; Meitheal Pharmaceuticals Inc.</t>
  </si>
  <si>
    <t>Topoisomerase Inhibitor [EPC]</t>
  </si>
  <si>
    <t>EMTRICITABINE AND TENOFOVIR DISOPROXIL FUMARATE</t>
  </si>
  <si>
    <t>TRUVADA</t>
  </si>
  <si>
    <t>Gilead Sciences, Inc</t>
  </si>
  <si>
    <t>Human Immunodeficiency Virus Nucleoside Analog Reverse Transcriptase Inhibitor [EPC]</t>
  </si>
  <si>
    <t>Multiple fractures</t>
  </si>
  <si>
    <t>Blood pressure increased</t>
  </si>
  <si>
    <t>Haemorrhage</t>
  </si>
  <si>
    <t>Multiple sclerosis</t>
  </si>
  <si>
    <t>Primary Progressive Multiple Sclerosis</t>
  </si>
  <si>
    <t>Emotional disorder; Gynaecomastia; Weight increased; Drug ineffective</t>
  </si>
  <si>
    <t>Progressive multifocal leukoencephalopathy</t>
  </si>
  <si>
    <t>Unknown; Recovering; Fatal</t>
  </si>
  <si>
    <t>Atrial Fibrillation</t>
  </si>
  <si>
    <t>Biomarin Pharmaceutical Inc.</t>
  </si>
  <si>
    <t>CLOZAPINE</t>
  </si>
  <si>
    <t>CLOZARIL</t>
  </si>
  <si>
    <t>Hls Therapeutics (Usa), Inc.</t>
  </si>
  <si>
    <t>Sinusitis</t>
  </si>
  <si>
    <t>CLOPIDOGREL; CLOPIDOGREL BISULFATE</t>
  </si>
  <si>
    <t>CLOPIDOGREL; PLAVIX</t>
  </si>
  <si>
    <t>Northstar Rxllc; Teva Pharmaceuticals Usa, Inc.; Amneal Pharmaceuticals Llc; Torrent Pharmaceuticals Limited; Macleods Pharmaceuticals Limited</t>
  </si>
  <si>
    <t>P2Y12 Platelet Inhibitor [EPC]</t>
  </si>
  <si>
    <t>Pulmonary mass</t>
  </si>
  <si>
    <t>Prostate Cancer</t>
  </si>
  <si>
    <t>NIRAPARIB</t>
  </si>
  <si>
    <t>ZEJULA</t>
  </si>
  <si>
    <t>Ovarian Cancer</t>
  </si>
  <si>
    <t>Cardiomegaly</t>
  </si>
  <si>
    <t>Phosphodiesterase 4 Inhibitor [EPC]</t>
  </si>
  <si>
    <t>Deafness unilateral</t>
  </si>
  <si>
    <t>Muckle-Wells Syndrome</t>
  </si>
  <si>
    <t>ACYCLOVIR</t>
  </si>
  <si>
    <t>ACYCLOVIR; ACYCLOVIR SUSPENSION; AVACLYR; ZOVIRAX</t>
  </si>
  <si>
    <t>Zydus Pharmaceuticals (Usa) Inc.; Sun Pharmaceutical Industries, Inc.; Camber Pharmaceuticals, Inc.; Padagis Israel Pharmaceuticals Ltd; Northstar Rx Llc</t>
  </si>
  <si>
    <t>Herpes Simplex Virus Nucleoside Analog DNA Polymerase Inhibitor [EPC]; Herpes Zoster Virus Nucleoside Analog DNA Polymerase Inhibitor [EPC]; Herpesvirus Nucleoside Analog DNA Polymerase Inhibitor [EPC]</t>
  </si>
  <si>
    <t>Graft Versus Host Disease</t>
  </si>
  <si>
    <t>ATRIPLA</t>
  </si>
  <si>
    <t>TENOFOVIR DISOPROXIL FUMARATE</t>
  </si>
  <si>
    <t>VIREAD</t>
  </si>
  <si>
    <t>Gilead Sciences, Inc.</t>
  </si>
  <si>
    <t>Blood glucose increased</t>
  </si>
  <si>
    <t>Limb injury</t>
  </si>
  <si>
    <t>Skin lesion</t>
  </si>
  <si>
    <t>IXAZOMIB</t>
  </si>
  <si>
    <t>NINLARO</t>
  </si>
  <si>
    <t>Bronchopulmonary aspergillosis</t>
  </si>
  <si>
    <t>TW</t>
  </si>
  <si>
    <t>General physical health deterioration</t>
  </si>
  <si>
    <t>Pfizer Laboratories Div Pfizer Inc; Viatris Specialty Llc</t>
  </si>
  <si>
    <t>Heart rate irregular</t>
  </si>
  <si>
    <t>Diffuse Large B-Cell Lymphoma</t>
  </si>
  <si>
    <t>Secondary Progressive Multiple Sclerosis</t>
  </si>
  <si>
    <t>Nervous system disorder</t>
  </si>
  <si>
    <t>IL</t>
  </si>
  <si>
    <t>End stage renal disease</t>
  </si>
  <si>
    <t>Polymyositis</t>
  </si>
  <si>
    <t>Haematochezia</t>
  </si>
  <si>
    <t>EMICIZUMAB</t>
  </si>
  <si>
    <t>HEMLIBRA</t>
  </si>
  <si>
    <t>Neurotoxicity</t>
  </si>
  <si>
    <t>ONTRUZANT; HERCEPTIN; HERZUMA</t>
  </si>
  <si>
    <t>Organon Llc; Genentech, Inc.; Cephalon, Inc.</t>
  </si>
  <si>
    <t>Chronic Inflammatory Demyelinating Polyradiculoneuropathy</t>
  </si>
  <si>
    <t>Suicide Attempt</t>
  </si>
  <si>
    <t>Gallbladder disorder</t>
  </si>
  <si>
    <t>RIBOCICLIB</t>
  </si>
  <si>
    <t>KISQALI</t>
  </si>
  <si>
    <t>Rectal haemorrhage</t>
  </si>
  <si>
    <t>OXALIPLATIN</t>
  </si>
  <si>
    <t>Meitheal Pharmaceuticals Inc.; Fosun Pharma Usa Inc.; Gland Pharma Limited; Camber Pharmaceuticals, Inc.; Sagent Pharmaceuticals</t>
  </si>
  <si>
    <t>TEDUGLUTIDE</t>
  </si>
  <si>
    <t>GATTEX</t>
  </si>
  <si>
    <t>Short-Bowel Syndrome</t>
  </si>
  <si>
    <t>GLP-2 Analog [EPC]</t>
  </si>
  <si>
    <t>PARATHYROID HORMONE</t>
  </si>
  <si>
    <t>NATPARA (PARATHYROID HORMONE)</t>
  </si>
  <si>
    <t>Hypoparathyroidism</t>
  </si>
  <si>
    <t>Parathyroid Hormone [EPC]</t>
  </si>
  <si>
    <t>SK</t>
  </si>
  <si>
    <t>Anal fistula</t>
  </si>
  <si>
    <t>HYDROMORPHONE HYDROCHLORIDE; DILAUDID</t>
  </si>
  <si>
    <t>Hikma Pharmaceuticals Usa Inc.; Specgx Llc; Camber Pharmaceuticals, Inc.; Trigen Laboratories, Llc; Aurolife Pharma, Llc</t>
  </si>
  <si>
    <t>Hernia</t>
  </si>
  <si>
    <t>Drug dependence</t>
  </si>
  <si>
    <t>Kyowa Kirin, Inc.</t>
  </si>
  <si>
    <t>CAPECITABINE</t>
  </si>
  <si>
    <t>CAPECITABINE; CAPECITABINE 150MG; XELODA; CAPECITABINE 500MG</t>
  </si>
  <si>
    <t>Cipla Usa Inc.; Bluepoint Laboratories; Dr. Reddy'S Laboratories Limited; Northstar Rxllc; Teva Pharmaceuticals Usa, Inc.</t>
  </si>
  <si>
    <t>Anaphylactic reaction</t>
  </si>
  <si>
    <t>Herpes zoster</t>
  </si>
  <si>
    <t>Bladder Cancer</t>
  </si>
  <si>
    <t>Inflammatory bowel disease</t>
  </si>
  <si>
    <t>Pulmonary embolism</t>
  </si>
  <si>
    <t>Adverse event</t>
  </si>
  <si>
    <t>METFORMIN; METFORMIN ER 500 MG; METFORMIN ER 750 MG</t>
  </si>
  <si>
    <t>METFORMIN HYDROCHLORIDE; METFORMIN</t>
  </si>
  <si>
    <t>Mylan Pharmaceuticals Inc.; Ingenus Pharmaceuticals, Llc; Granules Pharmaceuticals Inc.</t>
  </si>
  <si>
    <t>PROCARDIA XL</t>
  </si>
  <si>
    <t>Obsessive-Compulsive Disorder</t>
  </si>
  <si>
    <t>FLUDARABINE PHOSPHATE</t>
  </si>
  <si>
    <t>FLUDARABINE</t>
  </si>
  <si>
    <t>Allogenic Stem Cell Transplantation</t>
  </si>
  <si>
    <t>Fresenius Kabi Usa, Llc</t>
  </si>
  <si>
    <t>BUROSUMAB</t>
  </si>
  <si>
    <t>CRYSVITA</t>
  </si>
  <si>
    <t>Hereditary Hypophosphataemic Rickets</t>
  </si>
  <si>
    <t>Hyponatraemia</t>
  </si>
  <si>
    <t>Meningitis viral</t>
  </si>
  <si>
    <t>Respiratory tract infection</t>
  </si>
  <si>
    <t>Chest pain</t>
  </si>
  <si>
    <t>Intentional self-injury</t>
  </si>
  <si>
    <t>Dry eye</t>
  </si>
  <si>
    <t>Lupus Nephritis</t>
  </si>
  <si>
    <t>Drug ineffective for unapproved indication</t>
  </si>
  <si>
    <t>Uveitis</t>
  </si>
  <si>
    <t>Oestrogen Replacement Therapy</t>
  </si>
  <si>
    <t>ELEXACAFTOR, TEZACAFTOR, AND IVACAFTOR</t>
  </si>
  <si>
    <t>TRIKAFTA</t>
  </si>
  <si>
    <t>Myasthenia Gravis</t>
  </si>
  <si>
    <t>Pyoderma gangrenosum</t>
  </si>
  <si>
    <t>Influenza like illness</t>
  </si>
  <si>
    <t>United Therapeutics Corporation</t>
  </si>
  <si>
    <t>APIXABAN</t>
  </si>
  <si>
    <t>Amneal Pharmaceuticals Of New York Llc; Indoco Remedies Limited; Macleods Pharmaceuticals Limited</t>
  </si>
  <si>
    <t>Factor Xa Inhibitor [EPC]</t>
  </si>
  <si>
    <t>Rib fracture</t>
  </si>
  <si>
    <t>BORTEZOMIB</t>
  </si>
  <si>
    <t>BORTEZOMIB; BORUZU; VELCADE</t>
  </si>
  <si>
    <t>Bluepoint Laboratories; Zydus Pharmaceuticals Usa Inc.; Somerset Therapeutics Llc; Amneal Pharmaceuticals Llc; Maia Pharmaceuticals, Inc.</t>
  </si>
  <si>
    <t>PEGVISOMANT</t>
  </si>
  <si>
    <t>SOMAVERT</t>
  </si>
  <si>
    <t>Pharmacia &amp; Upjohn Company Llc</t>
  </si>
  <si>
    <t>Vascular device infection</t>
  </si>
  <si>
    <t>Malignant neoplasm progression</t>
  </si>
  <si>
    <t>Metastatic Renal Cell Carcinoma</t>
  </si>
  <si>
    <t>HU</t>
  </si>
  <si>
    <t>Arthropathy</t>
  </si>
  <si>
    <t>ADALIMUMAB; ADALIMUMAB-AATY; ADALIMUMAB-ADAZ; ADALIMUMAB-FKJP</t>
  </si>
  <si>
    <t>HUMIRA; ADALIMUMAB</t>
  </si>
  <si>
    <t>Cordavis Limited; Celltrion Usa, Inc.; Abbvie Inc.; Sandoz Inc; Biocon Biologics Inc</t>
  </si>
  <si>
    <t>ELIGARD</t>
  </si>
  <si>
    <t>Tolmar Inc.</t>
  </si>
  <si>
    <t>AMOXICILLIN\CLAVULANIC ACID</t>
  </si>
  <si>
    <t>Fracture</t>
  </si>
  <si>
    <t>Neovascular Age-Related Macular Degeneration</t>
  </si>
  <si>
    <t>Abortion spontaneous</t>
  </si>
  <si>
    <t>Rash</t>
  </si>
  <si>
    <t>Boehringer Ingelheim Pharmaceuticals, Inc.</t>
  </si>
  <si>
    <t>Sodium-Glucose Cotransporter 2 Inhibitor [EPC]</t>
  </si>
  <si>
    <t>Hormone Receptor Positive Breast Cancer</t>
  </si>
  <si>
    <t>Blindness unilateral</t>
  </si>
  <si>
    <t>Burkitt^S Lymphoma Stage Iv</t>
  </si>
  <si>
    <t>Immune System Disorder</t>
  </si>
  <si>
    <t>Hospitalization; Congenital Anomaly</t>
  </si>
  <si>
    <t>LEVOTHYROXINE SODIUM; LEVOTHYROXINE SODIUM ANHYDROUS</t>
  </si>
  <si>
    <t>LEVOTHYROXINE SODIUM; EUTHYROX; TIROSINT; LEVO-T; LEVOXYL</t>
  </si>
  <si>
    <t>Lupin Pharmaceuticals, Inc.; Aurobindo Pharma Limited; Xlcare Pharmaceuticals, Inc.; Provell Pharmaceuticals, Llc; Ibsa Pharma Inc.</t>
  </si>
  <si>
    <t>ADVATE</t>
  </si>
  <si>
    <t>INSULIN LISPRO</t>
  </si>
  <si>
    <t>HUMALOG MIX75/25; HUMALOG MIX75/25 KWIKPEN; HUMALOG KWIKPEN; HUMALOG JUNIOR KWIKPEN; HUMALOG</t>
  </si>
  <si>
    <t>Dependence</t>
  </si>
  <si>
    <t>Contusion</t>
  </si>
  <si>
    <t>Balance disorder</t>
  </si>
  <si>
    <t>Endocarditis</t>
  </si>
  <si>
    <t>ASPIRIN; ASPIRIN 81 MG; ASPIRIN 325 MG</t>
  </si>
  <si>
    <t>BAYER GENUINE ASPIRIN; ASPIRIN; ENTERIC ASPIRIN; ADULT LOW DOSE ASPIRIN; CHEWABLE ASPIRIN</t>
  </si>
  <si>
    <t>Unifirst First Aid Corporation; Topco Associates, Llc; Walgreen Company; Chain Drug Marketing Association Inc; Advanced Rx Llc</t>
  </si>
  <si>
    <t>Nonsteroidal Anti-inflammatory Drug [EPC]; Platelet Aggregation Inhibitor [EPC]</t>
  </si>
  <si>
    <t>Memory impairment</t>
  </si>
  <si>
    <t>Abscess oral</t>
  </si>
  <si>
    <t>Abdominal abscess</t>
  </si>
  <si>
    <t>Neoplasm Malignant</t>
  </si>
  <si>
    <t>PRIVIGEN</t>
  </si>
  <si>
    <t>Disease recurrence</t>
  </si>
  <si>
    <t>Analgesic Therapy</t>
  </si>
  <si>
    <t>IMIGLUCERASE</t>
  </si>
  <si>
    <t>CEREZYME</t>
  </si>
  <si>
    <t>LACOSAMIDE</t>
  </si>
  <si>
    <t>Shoulder fracture</t>
  </si>
  <si>
    <t>Lung neoplasm malignant</t>
  </si>
  <si>
    <t>DEFIBROTIDE SODIUM</t>
  </si>
  <si>
    <t>DEFITELIO</t>
  </si>
  <si>
    <t>Venoocclusive Liver Disease</t>
  </si>
  <si>
    <t>EMPAGLIFLOZIN</t>
  </si>
  <si>
    <t>JARDIANCE</t>
  </si>
  <si>
    <t>AXICABTAGENE CILOLEUCEL</t>
  </si>
  <si>
    <t>YESCARTA</t>
  </si>
  <si>
    <t>Kite Pharma, Inc.</t>
  </si>
  <si>
    <t>CD19-directed Chimeric Antigen Receptor [EPC]; Genetically-modified Autologous T Cells [EPC]</t>
  </si>
  <si>
    <t>Back pain</t>
  </si>
  <si>
    <t>Unknown; Recovered; Fatal</t>
  </si>
  <si>
    <t>Device breakage</t>
  </si>
  <si>
    <t>PEGVALIASE-PQPZ</t>
  </si>
  <si>
    <t>PALYNZIQ</t>
  </si>
  <si>
    <t>Phenylalanine Metabolizing Enzyme [EPC]</t>
  </si>
  <si>
    <t>COVID-19 pneumonia</t>
  </si>
  <si>
    <t>Rash; Drug hypersensitivity</t>
  </si>
  <si>
    <t>METHADONE HYDROCHLORIDE</t>
  </si>
  <si>
    <t>Renal injury</t>
  </si>
  <si>
    <t>OXYCODONE HYDROCHLORIDE</t>
  </si>
  <si>
    <t>OXYCONTIN</t>
  </si>
  <si>
    <t>Purdue Pharma Lp</t>
  </si>
  <si>
    <t>TAFAMIDIS</t>
  </si>
  <si>
    <t>VYNDAMAX</t>
  </si>
  <si>
    <t>RIVAROXABAN</t>
  </si>
  <si>
    <t>APREMILAST</t>
  </si>
  <si>
    <t>OTEZLA</t>
  </si>
  <si>
    <t>Localised infection</t>
  </si>
  <si>
    <t>PEMETREXED DISODIUM</t>
  </si>
  <si>
    <t>ALIMTA</t>
  </si>
  <si>
    <t>Death; Hospitalization; Life-Threatening; Disability</t>
  </si>
  <si>
    <t>Pemphigus</t>
  </si>
  <si>
    <t>Cytomegalovirus chorioretinitis</t>
  </si>
  <si>
    <t>Respiratory distress</t>
  </si>
  <si>
    <t>Fulminant type 1 diabetes mellitus</t>
  </si>
  <si>
    <t>Peripheral swelling</t>
  </si>
  <si>
    <t>ROSUVASTATIN CALCIUM</t>
  </si>
  <si>
    <t>Zhejiang Yongtai Pharmaceutical Co., Ltd.; Quallent Pharmaceuticals Health Llc; Novadoz Pharmaceuticals Llc; Rising Pharma Holdings, Inc.; Umedica Laboratories Usa Inc.</t>
  </si>
  <si>
    <t>Nasal Polyps</t>
  </si>
  <si>
    <t>U.S. Pharmaceuticals; Pfizer Laboratories Div Pfizer Inc</t>
  </si>
  <si>
    <t>Chronic obstructive pulmonary disease</t>
  </si>
  <si>
    <t>Systemic lupus erythematosus</t>
  </si>
  <si>
    <t>Hepatic enzyme increased</t>
  </si>
  <si>
    <t>PEXIDARTINIB HYDROCHLORIDE</t>
  </si>
  <si>
    <t>TURALIO</t>
  </si>
  <si>
    <t>Giant Cell Tumour Of Tendon Sheath</t>
  </si>
  <si>
    <t>Daiichi Sankyo Inc.</t>
  </si>
  <si>
    <t>Selective Igg Subclass Deficiency</t>
  </si>
  <si>
    <t>Hysterectomy</t>
  </si>
  <si>
    <t>Heart rate increased</t>
  </si>
  <si>
    <t>Middle insomnia</t>
  </si>
  <si>
    <t>Hypergammaglobulinaemia</t>
  </si>
  <si>
    <t>Bell^s palsy</t>
  </si>
  <si>
    <t>Diverticulitis</t>
  </si>
  <si>
    <t>Chronic Obstructive Pulmonary Disease</t>
  </si>
  <si>
    <t>Knee arthroplasty</t>
  </si>
  <si>
    <t>Cerebral haemorrhage</t>
  </si>
  <si>
    <t>XARELTO</t>
  </si>
  <si>
    <t>Upper respiratory tract infection</t>
  </si>
  <si>
    <t>Congenital Hypogammaglobulinaemia</t>
  </si>
  <si>
    <t>Pleural effusion</t>
  </si>
  <si>
    <t>Cardiac flutter</t>
  </si>
  <si>
    <t>Takayasu^S Arteritis</t>
  </si>
  <si>
    <t>Pain Management</t>
  </si>
  <si>
    <t>Macular degeneration</t>
  </si>
  <si>
    <t>Glaucoma</t>
  </si>
  <si>
    <t>Therapeutic response decreased</t>
  </si>
  <si>
    <t>Dacryostenosis acquired</t>
  </si>
  <si>
    <t>Amyloidosis</t>
  </si>
  <si>
    <t>Type Iia Hyperlipidaemia</t>
  </si>
  <si>
    <t>Interleukin-23 Antagonist [EPC]</t>
  </si>
  <si>
    <t>LEFLUNOMIDE</t>
  </si>
  <si>
    <t>LEFLUNOMIDE; ARAVA</t>
  </si>
  <si>
    <t>Chartwell Rx, Llc; Alembic Pharmaceuticals Limited; Lupin Pharmaceuticals, Inc.; Aurobindo Pharma Limited; Heritage Pharmaceuticals Inc. D/B/A Avet Pharmaceuticals Inc.</t>
  </si>
  <si>
    <t>Antirheumatic Agent [EPC]</t>
  </si>
  <si>
    <t>Hepatic function abnormal</t>
  </si>
  <si>
    <t>Death; Life-Threatening</t>
  </si>
  <si>
    <t>Pulmonary thrombosis</t>
  </si>
  <si>
    <t>CN</t>
  </si>
  <si>
    <t>LT</t>
  </si>
  <si>
    <t>Pulmonary Arterial Hypertension</t>
  </si>
  <si>
    <t>Head injury</t>
  </si>
  <si>
    <t>Colon cancer</t>
  </si>
  <si>
    <t>Breast mass</t>
  </si>
  <si>
    <t>SUMATRIPTAN SUCCINATE</t>
  </si>
  <si>
    <t>SUMATRIPTAN SUCCINATE; ZEMBRACE SYMTOUCH; SUMATRIPTAN; ONZETRA XSAIL</t>
  </si>
  <si>
    <t>Dr. Reddy'S Laboratories Limited; Upsher-Smith Laboratories, Llc; Mylan Pharmaceuticals Inc.; Aurobindo Pharma Limited; Dr. Reddys Laboratories Inc.,</t>
  </si>
  <si>
    <t>Eye operation</t>
  </si>
  <si>
    <t>Secondary Immunodeficiency</t>
  </si>
  <si>
    <t>Hereditary angioedema</t>
  </si>
  <si>
    <t>Pancytopenia</t>
  </si>
  <si>
    <t>PK</t>
  </si>
  <si>
    <t>Wrong product administered</t>
  </si>
  <si>
    <t>Pneumocystis jirovecii pneumonia</t>
  </si>
  <si>
    <t>ABATACEPT</t>
  </si>
  <si>
    <t>ORENCIA</t>
  </si>
  <si>
    <t>Selective T Cell Costimulation Modulator [EPC]</t>
  </si>
  <si>
    <t>Epstein-Barr virus infection</t>
  </si>
  <si>
    <t>TREPROSTINIL</t>
  </si>
  <si>
    <t>REMODULIN</t>
  </si>
  <si>
    <t>Prostacycline Vasodilator [EPC]</t>
  </si>
  <si>
    <t>SULFASALAZINE</t>
  </si>
  <si>
    <t>AZULFIDINE EN-TABS; SULFASALAZINE; AZULFIDINE</t>
  </si>
  <si>
    <t>Pfizer Laboratories Div Pfizer Inc; Chartwell Rx, Llc.; Sunrise Pharmaceutical, Inc.; Mylan Pharmaceuticals Inc.; Teva Pharmaceuticals Usa, Inc.</t>
  </si>
  <si>
    <t>QUETIAPINE FUMARATE; QUETIAPINE</t>
  </si>
  <si>
    <t>QUETIAPINE FUMARATE</t>
  </si>
  <si>
    <t>Aurobindo Pharma Limited; Alembic Pharmaceuticals Limited; Hikma Pharmaceuticals Usa Inc.; Bluepoint Laboratories; Accord Healthcare Inc.</t>
  </si>
  <si>
    <t>Lymphoma</t>
  </si>
  <si>
    <t>Product storage error</t>
  </si>
  <si>
    <t>ZOLEDRONIC ACID</t>
  </si>
  <si>
    <t>ZOLEDRONIC ACID; RECLAST</t>
  </si>
  <si>
    <t>Fresenius Kabi Usa, Llc; Dr. Reddy'S Laboratories Limited; Dr. Reddy'S Laboratories Inc.; Auromedics Pharma Llc; Mylan Institutional Llc</t>
  </si>
  <si>
    <t>White blood cell count decreased</t>
  </si>
  <si>
    <t>CASPOFUNGIN ACETATE</t>
  </si>
  <si>
    <t>Spinal pain</t>
  </si>
  <si>
    <t>ETONOGESTREL</t>
  </si>
  <si>
    <t>NEXPLANON</t>
  </si>
  <si>
    <t>Progestin [EPC]</t>
  </si>
  <si>
    <t>Chemotherapy</t>
  </si>
  <si>
    <t>Contrast Agent for Ultrasound Imaging [EPC]</t>
  </si>
  <si>
    <t>Liver Transplant</t>
  </si>
  <si>
    <t>DABRAFENIB</t>
  </si>
  <si>
    <t>TAFINLAR</t>
  </si>
  <si>
    <t>HR</t>
  </si>
  <si>
    <t>Intestinal resection</t>
  </si>
  <si>
    <t>Lung Adenocarcinoma Stage Iv</t>
  </si>
  <si>
    <t>Euglycaemic diabetic ketoacidosis</t>
  </si>
  <si>
    <t>Dermatomyositis</t>
  </si>
  <si>
    <t>RU</t>
  </si>
  <si>
    <t>IMIPENEM AND CILASTATIN SODIUM; IMIPENEM AND CILASTATIN</t>
  </si>
  <si>
    <t>IMIPENEM AND CILASTATIN</t>
  </si>
  <si>
    <t>Fresenius Kabi Usa, Llc; Wg Critical Care, Llc</t>
  </si>
  <si>
    <t>Menopause</t>
  </si>
  <si>
    <t>Neutrophil count decreased</t>
  </si>
  <si>
    <t>Growth Hormone Deficiency</t>
  </si>
  <si>
    <t>Ischaemic stroke</t>
  </si>
  <si>
    <t>Haemorrhage intracranial</t>
  </si>
  <si>
    <t>CISPLATIN</t>
  </si>
  <si>
    <t>Teva Parenteral Medicines, Inc.; Wg Critical Care, Llc; Hikma Pharmaceuticals Usa Inc.; Sagent Pharmaceuticals; Bluepoint Laboratories</t>
  </si>
  <si>
    <t>MY</t>
  </si>
  <si>
    <t>Haemarthrosis</t>
  </si>
  <si>
    <t>Stomatitis</t>
  </si>
  <si>
    <t>GEMCITABINE HYDROCHLORIDE</t>
  </si>
  <si>
    <t>GEMCITABINE; GEMCITABINE HYDROCHLORIDE</t>
  </si>
  <si>
    <t>Meitheal Pharmaceuticals Inc.; Armas Pharmaceuticals Inc.; Sagent Pharmaceuticals; Northstar Rx Llc; Mylan Institutional Llc</t>
  </si>
  <si>
    <t>Sumitomo Pharma America, Inc.</t>
  </si>
  <si>
    <t>Burkitt^S Lymphoma</t>
  </si>
  <si>
    <t>HIZENTRA</t>
  </si>
  <si>
    <t>Product use issue</t>
  </si>
  <si>
    <t>AXITINIB</t>
  </si>
  <si>
    <t>INLYTA</t>
  </si>
  <si>
    <t>GUSELKUMAB</t>
  </si>
  <si>
    <t>TREMFYA</t>
  </si>
  <si>
    <t>Anger</t>
  </si>
  <si>
    <t>Synovitis</t>
  </si>
  <si>
    <t>Colitis ulcerative; Off label use</t>
  </si>
  <si>
    <t>Glioblastoma</t>
  </si>
  <si>
    <t>Non-Small Cell Lung Cancer Recurrent</t>
  </si>
  <si>
    <t>Mood altered</t>
  </si>
  <si>
    <t>RIBAVIRIN</t>
  </si>
  <si>
    <t>VIRAZOLE; RIBAVIRIN</t>
  </si>
  <si>
    <t>Chronic Hepatitis C</t>
  </si>
  <si>
    <t>Bausch Health Us, Llc; Navinta Llc; Aurobindo Pharma Limited; Oceanside Pharmaceuticals; Cameron Pharmaceuticals</t>
  </si>
  <si>
    <t>Nucleoside Analog Antiviral [EPC]</t>
  </si>
  <si>
    <t>Musculoskeletal chest pain</t>
  </si>
  <si>
    <t>Palmar-plantar erythrodysaesthesia syndrome</t>
  </si>
  <si>
    <t>RHEUMATREX</t>
  </si>
  <si>
    <t>Polyarthritis</t>
  </si>
  <si>
    <t>DULAGLUTIDE</t>
  </si>
  <si>
    <t>TRULICITY</t>
  </si>
  <si>
    <t>GLP-1 Receptor Agonist [EPC]</t>
  </si>
  <si>
    <t>AFLIBERCEPT</t>
  </si>
  <si>
    <t>EYLEA</t>
  </si>
  <si>
    <t>Regeneron Pharmaceuticals, Inc.</t>
  </si>
  <si>
    <t>No adverse event</t>
  </si>
  <si>
    <t>Nitroimidazole Antimicrobial [EPC]</t>
  </si>
  <si>
    <t>Vasculitis</t>
  </si>
  <si>
    <t>OLANZAPINE</t>
  </si>
  <si>
    <t>OLANZAPINE; ZYPREXA; ZYPREXA ZYDIS; ZYPREXA INTRAMUSCULAR; OLANZAPINE INTRAMUSCULAR</t>
  </si>
  <si>
    <t>Hisun Pharmaceuticals Usa, Inc.; Sandoz Inc; Hec Pharm Usa Inc.; Dr. Reddy'S Laboratories Inc.; Upsher-Smith Laboratories, Llc</t>
  </si>
  <si>
    <t>NZ</t>
  </si>
  <si>
    <t>TOLVAPTAN</t>
  </si>
  <si>
    <t>TOLVAPTAN; JYNARQUE; SAMSCA</t>
  </si>
  <si>
    <t>Apotex Corp.; Novadoz Pharmaceuticals Llc; Lupin Pharmaceuticals, Inc.; Otsuka America Pharmaceutical, Inc.; Camber Pharmaceuticals, Inc.</t>
  </si>
  <si>
    <t>Vasopressin V2 Receptor Antagonist [EPC]</t>
  </si>
  <si>
    <t>Osteoarthritis</t>
  </si>
  <si>
    <t>Cerebral infarction</t>
  </si>
  <si>
    <t>Hepatocellular Carcinoma</t>
  </si>
  <si>
    <t>POSACONAZOLE</t>
  </si>
  <si>
    <t>NOXAFIL</t>
  </si>
  <si>
    <t>Hormone Receptor Positive Her2 Negative Breast Cancer</t>
  </si>
  <si>
    <t>Recovered; Recovering; Fatal</t>
  </si>
  <si>
    <t>Nasal congestion</t>
  </si>
  <si>
    <t>METRONIDAZOLE; METRONIDAZOLE TOPICAL</t>
  </si>
  <si>
    <t>METRONIDAZOLE; METRONIDAZOLE VAGINAL; FLAGYL; NUVESSA; VANDAZOLE</t>
  </si>
  <si>
    <t>Amici Pharma Inc; Oceanside Pharmaceuticals; Baxter Healthcare Corporation; Saptalis Pharmaceuticals Llc; Teva Pharmaceuticals Usa, Inc.</t>
  </si>
  <si>
    <t>METHADOSE; METHADOSE SUGAR-FREE</t>
  </si>
  <si>
    <t>Specgx Llc</t>
  </si>
  <si>
    <t>Hepatic encephalopathy</t>
  </si>
  <si>
    <t>Anaesthesia</t>
  </si>
  <si>
    <t>General Anesthetic [EPC]</t>
  </si>
  <si>
    <t>VORICONAZOLE</t>
  </si>
  <si>
    <t>VORICONAZOLE; VFEND</t>
  </si>
  <si>
    <t>Eugia Us Llc; Meitheal Pharmaceuticals Inc.; Solco Healthcare U.S., Llc; Zhejiang Poly Pharm Co., Ltd.; Zydus Lifesciences Limited</t>
  </si>
  <si>
    <t>Primary Amyloidosis</t>
  </si>
  <si>
    <t>Peripheral T-Cell Lymphoma Unspecified</t>
  </si>
  <si>
    <t>Transitional Cell Carcinoma</t>
  </si>
  <si>
    <t>METFORMIN HYDROCHLORIDE; METFORMIN; METFORMIN HYDROCHLORIDE EXTENDED-RELEASE TABLETS; METFORMIN HYDROCHLORIDE TABLET; METFORMIN HYDROCHLORIDE TABLETS</t>
  </si>
  <si>
    <t>METFORMIN HYDROCHLORIDE; METFORMIN HYDROCHLORIDE ORAL SOLUTION; METFORMIN HYDROCHLORIDE ER; METFORMIN HYDROCHLORIDE EXTENDED RELEASE; GLUMETZA</t>
  </si>
  <si>
    <t>Granules Pharmaceuticals Inc.; Trupharma, Llc; Unichem Pharmaceuticals (Usa), Inc.; Westminster Pharmaceuticals, Llc; Lupin Pharmaceuticals, Inc.</t>
  </si>
  <si>
    <t>Kidney infection</t>
  </si>
  <si>
    <t>Phosphorus Metabolism Disorder</t>
  </si>
  <si>
    <t>ENTYVIO</t>
  </si>
  <si>
    <t>Ocular hyperaemia</t>
  </si>
  <si>
    <t>Foot operation</t>
  </si>
  <si>
    <t>Paralysis</t>
  </si>
  <si>
    <t>Deep Vein Thrombosis</t>
  </si>
  <si>
    <t>Coronavirus infection</t>
  </si>
  <si>
    <t>Diabetes mellitus inadequate control</t>
  </si>
  <si>
    <t>CANNABIDIOL</t>
  </si>
  <si>
    <t>EPIDIOLEX</t>
  </si>
  <si>
    <t>Heavy menstrual bleeding</t>
  </si>
  <si>
    <t>Substance Use</t>
  </si>
  <si>
    <t>ERENUMAB-AOOE</t>
  </si>
  <si>
    <t>AIMOVIG</t>
  </si>
  <si>
    <t>Amgen Inc</t>
  </si>
  <si>
    <t>Choking</t>
  </si>
  <si>
    <t>Ventricular septal defect</t>
  </si>
  <si>
    <t>GLASSIA</t>
  </si>
  <si>
    <t>Foot fracture</t>
  </si>
  <si>
    <t>Cardiac Failure Chronic</t>
  </si>
  <si>
    <t>Eating disorder</t>
  </si>
  <si>
    <t>Skin fissures</t>
  </si>
  <si>
    <t>Hemiparesis</t>
  </si>
  <si>
    <t>Oropharyngeal discomfort</t>
  </si>
  <si>
    <t>Acute respiratory distress syndrome</t>
  </si>
  <si>
    <t>Pathogen resistance</t>
  </si>
  <si>
    <t>Head discomfort</t>
  </si>
  <si>
    <t>EMTRICITABINE, RILPIVIRINE HYDROCHLORIDE, AND TENOFOVIR DISOPROXIL FUMARATE</t>
  </si>
  <si>
    <t>COMPLERA</t>
  </si>
  <si>
    <t>Squamous cell carcinoma of skin</t>
  </si>
  <si>
    <t>CETIRIZINE HYDROCHLORIDE; CETIRIZINE; CETIRIZINE HYDROCHLORIDE ALLERGY; CETIRIZINE HYDROCHLORIDE TABLETS</t>
  </si>
  <si>
    <t>BETR REMEDIES ALL DAY ALLERGY RELIEF; CAREONE ALLERGY RELIEF; CURIST ALLERGY RELIEF; DG HEALTH ALL DAY ALLERGY; ZYRTEC HIVES</t>
  </si>
  <si>
    <t>Live Betr Llc; American Sales Company; Little Pharma, Inc.; Dolgencorp Inc; Kenvue Brands Llc</t>
  </si>
  <si>
    <t>Haemophilia</t>
  </si>
  <si>
    <t>PEMETREXED; PEMETREXED DISODIUM</t>
  </si>
  <si>
    <t>AXTLE; PEMETREXED; PEMFEXY</t>
  </si>
  <si>
    <t>Avyxa Pharma, Llc; Sagent Pharmaceuticals; Meitheal Pharmaceuticals Inc.; Zydus Lifesciences Limited; Qilu Pharmaceutical Co., Ltd.</t>
  </si>
  <si>
    <t>Metastatic malignant melanoma</t>
  </si>
  <si>
    <t>International normalised ratio increased</t>
  </si>
  <si>
    <t>Injection site bruising</t>
  </si>
  <si>
    <t>Rectal Adenocarcinoma</t>
  </si>
  <si>
    <t>Hormone Level Abnormal</t>
  </si>
  <si>
    <t>Premature delivery</t>
  </si>
  <si>
    <t>Thinking abnormal</t>
  </si>
  <si>
    <t>Cardiac operation</t>
  </si>
  <si>
    <t>Sleep disorder due to a general medical condition</t>
  </si>
  <si>
    <t>Sjogren^s syndrome</t>
  </si>
  <si>
    <t>Lung Squamous Cell Carcinoma Stage Iii</t>
  </si>
  <si>
    <t>DASATINIB</t>
  </si>
  <si>
    <t>SPRYCEL</t>
  </si>
  <si>
    <t>Spinal disorder</t>
  </si>
  <si>
    <t>Developmental hip dysplasia</t>
  </si>
  <si>
    <t>ISOTRETINOIN</t>
  </si>
  <si>
    <t>ISOTRETINOIN; ZENATANE; ABSORICA LD; ABSORICA; CLARAVIS</t>
  </si>
  <si>
    <t>Upsher-Smith Laboratories, Llc; Zydus Pharmaceuticals Usa Inc.; Bluepoint Laboratories; Aurobindo Pharma Limited; Amneal Pharmaceuticals Ny Llc</t>
  </si>
  <si>
    <t>Retinoid [EPC]</t>
  </si>
  <si>
    <t>Prostaglandin Analog [EPC]</t>
  </si>
  <si>
    <t>TRANEXAMIC ACID</t>
  </si>
  <si>
    <t>TRANEXAMIC ACID; TRANEXAMIC ACID IN SODIUM CHLORIDE; CYKLOKAPRON</t>
  </si>
  <si>
    <t>Ani Pharmaceuticals, Inc.; Nexus Pharmaceuticals Llc; Advagen Pharma Limited; Micro Labs Limited; Heritage Pharmaceuticals Inc. D/B/A Avet Pharmaceuticals Inc.</t>
  </si>
  <si>
    <t>Antifibrinolytic Agent [EPC]</t>
  </si>
  <si>
    <t>SULFAMETHOXAZOLE\TRIMETHOPRIM</t>
  </si>
  <si>
    <t>Vulvovaginal Dryness</t>
  </si>
  <si>
    <t>Herpes Zoster</t>
  </si>
  <si>
    <t>BISOPROLOL FUMARATE</t>
  </si>
  <si>
    <t>BISOPROLOL</t>
  </si>
  <si>
    <t>Trupharma, Llc</t>
  </si>
  <si>
    <t>Upper gastrointestinal haemorrhage</t>
  </si>
  <si>
    <t>Overweight</t>
  </si>
  <si>
    <t>Gynaecomastia; Emotional disorder; Off label use; Product use in unapproved indication</t>
  </si>
  <si>
    <t>Tourette^S Disorder</t>
  </si>
  <si>
    <t>Sudden cardiac death</t>
  </si>
  <si>
    <t>Rectal cancer</t>
  </si>
  <si>
    <t>Heart Transplant</t>
  </si>
  <si>
    <t>ROPINIROLE</t>
  </si>
  <si>
    <t>Actavis Pharma, Inc.; Glenmark Pharmaceuticals Inc., Usa; Elite Laboratories, Inc.; Accord Healthcare Inc.; Alembic Pharmaceuticals Limited</t>
  </si>
  <si>
    <t>Nonergot Dopamine Agonist [EPC]</t>
  </si>
  <si>
    <t>Hand fracture</t>
  </si>
  <si>
    <t>PROAIR HFA</t>
  </si>
  <si>
    <t>Sinus tachycardia</t>
  </si>
  <si>
    <t>ALBUMIN HUMAN</t>
  </si>
  <si>
    <t>ALBUMINEX</t>
  </si>
  <si>
    <t>Bpl</t>
  </si>
  <si>
    <t>PEGINTRON</t>
  </si>
  <si>
    <t>Atrioventricular block complete</t>
  </si>
  <si>
    <t>Arrhythmia</t>
  </si>
  <si>
    <t>Intentional product use issue</t>
  </si>
  <si>
    <t>Labour Induction</t>
  </si>
  <si>
    <t>LISINOPRIL</t>
  </si>
  <si>
    <t>LISINOPRIL; QBRELIS; ZESTRIL</t>
  </si>
  <si>
    <t>Chartwell Rx, Llc; Quallent Pharmaceuticals Health Llc; Azurity Pharmaceuticals, Inc.; Heritage Pharmaceuticals Inc. D/B/A Avet Pharmaceuticals Inc.(780779901); Solco Healthcare U.S., Llc</t>
  </si>
  <si>
    <t>Pulmonary Hypertension</t>
  </si>
  <si>
    <t>Haemorrhage Prophylaxis</t>
  </si>
  <si>
    <t>Glucose Tolerance Impaired</t>
  </si>
  <si>
    <t>Device dislocation</t>
  </si>
  <si>
    <t>Premature rupture of membranes</t>
  </si>
  <si>
    <t>Treatment failure</t>
  </si>
  <si>
    <t>Bausch Health Us, Llc</t>
  </si>
  <si>
    <t>CLOBETASOL PROPIONATE; CLOBETASOL PROPIONATE OINTMENT USP, 0.05%</t>
  </si>
  <si>
    <t>CLOBETASOL PROPIONATE; CLOBETASOL PROPIONATE EMOLLIENT FORMULATION; CLOBETASOL PROPIONATE ANDA; IMPOYZ; BYQLOVI</t>
  </si>
  <si>
    <t>Alembic Pharmaceuticals Inc.; Xiromed, Llc; Aurobindo Pharma Limited; Lupin Pharmaceuticals,Inc.; Padagis Israel Pharmaceuticals Ltd</t>
  </si>
  <si>
    <t>CLINDAMYCIN PHOSPHATE; CLINDAMYCIN</t>
  </si>
  <si>
    <t>CLINDAMYCIN; CLINDAGEL</t>
  </si>
  <si>
    <t>Sagent Pharmaceuticals; Bausch Health Us, Llc</t>
  </si>
  <si>
    <t>Respiratory Failure</t>
  </si>
  <si>
    <t>Tachypnoea</t>
  </si>
  <si>
    <t>LIALDA</t>
  </si>
  <si>
    <t>AMIFAMPRIDINE PHOSPHATE</t>
  </si>
  <si>
    <t>FIRDAPSE</t>
  </si>
  <si>
    <t>Myasthenic Syndrome</t>
  </si>
  <si>
    <t>Catalyst Pharmaceuticals, Inc.</t>
  </si>
  <si>
    <t>Antiviral Treatment</t>
  </si>
  <si>
    <t>Antiplatelet Therapy</t>
  </si>
  <si>
    <t>Pelvic operation</t>
  </si>
  <si>
    <t>Brain Neoplasm</t>
  </si>
  <si>
    <t>Hospitalization; Life-Threatening; Disability; Congenital Anomaly</t>
  </si>
  <si>
    <t>TEMOZOLOMIDE</t>
  </si>
  <si>
    <t>MEPERIDINE HYDROCHLORIDE</t>
  </si>
  <si>
    <t>Rash vesicular</t>
  </si>
  <si>
    <t>SEVOFLURANE</t>
  </si>
  <si>
    <t>SEVOFLURANE; ULTANE; SOJOURN; SEVOFLURANE, (VOLATILE FOR INHALATION)</t>
  </si>
  <si>
    <t>Piramal Critical Care Inc; Abbvie Inc.; Baxter Healthcare Corporation; Baxter Healthcare Company; Shandong New Time Pharmaceutical Co., Ltd.</t>
  </si>
  <si>
    <t>Cystitis haemorrhagic</t>
  </si>
  <si>
    <t>Chronic Myeloid Leukaemia Recurrent</t>
  </si>
  <si>
    <t>Osteoporosis; Bone density decreased</t>
  </si>
  <si>
    <t>Ileal ulcer</t>
  </si>
  <si>
    <t>Mycobacterium avium complex infection</t>
  </si>
  <si>
    <t>ESKETAMINE HYDROCHLORIDE</t>
  </si>
  <si>
    <t>SPRAVATO</t>
  </si>
  <si>
    <t>Janssen Pharmaceuticals Inc.</t>
  </si>
  <si>
    <t>Body temperature increased</t>
  </si>
  <si>
    <t>C-reactive protein increased</t>
  </si>
  <si>
    <t>ETONOGESTREL AND ETHINYL ESTRADIOL</t>
  </si>
  <si>
    <t>Estrogen [EPC]; Progestin [EPC]</t>
  </si>
  <si>
    <t>Peritonsillar abscess</t>
  </si>
  <si>
    <t>Drug ineffective; Drug hypersensitivity; Urticaria</t>
  </si>
  <si>
    <t>Pulmonary Embolism</t>
  </si>
  <si>
    <t>Spinal pain; Chills; Night sweats; Vision blurred; Dental fistula</t>
  </si>
  <si>
    <t>Urosepsis</t>
  </si>
  <si>
    <t>Not Recovered; Fatal</t>
  </si>
  <si>
    <t>Pregnancy on oral contraceptive</t>
  </si>
  <si>
    <t>Eye allergy</t>
  </si>
  <si>
    <t>Illness; Off label use</t>
  </si>
  <si>
    <t>Heart rate abnormal</t>
  </si>
  <si>
    <t>Dermatitis Contact</t>
  </si>
  <si>
    <t>Mixed liver injury</t>
  </si>
  <si>
    <t>ZOCOR</t>
  </si>
  <si>
    <t>Hypophagia</t>
  </si>
  <si>
    <t>Femoral neck fracture</t>
  </si>
  <si>
    <t>BUPIVACAINE HYDROCHLORIDE</t>
  </si>
  <si>
    <t>BUPIVACAINE HYDROCHLORIDE; SENSORCAINE MPF; BUPIVACAINE HCL; BUPIVACINE HCL; MARVONA SUIK</t>
  </si>
  <si>
    <t>Northstar Rx Llc; Fresenius Kabi Usa, Llc; Xellia Pharmaceuticals Usa Llc; Huons Co., Ltd.; Brookfield Pharmaceuticals, Llc.</t>
  </si>
  <si>
    <t>Impaired quality of life</t>
  </si>
  <si>
    <t>DASATINIB; PHYRAGO; SPRYCEL</t>
  </si>
  <si>
    <t>Teva Pharmaceuticals, Inc.; Apotex Corp.; Dr.Reddys Laboratories Inc; Alembic Pharmaceuticals Limited; Cycle Pharmaceuticals Ltd</t>
  </si>
  <si>
    <t>Sudden hearing loss</t>
  </si>
  <si>
    <t>Immune-mediated enterocolitis</t>
  </si>
  <si>
    <t>Gait inability</t>
  </si>
  <si>
    <t>Prostate infection</t>
  </si>
  <si>
    <t>Muscle haemorrhage</t>
  </si>
  <si>
    <t>Hodgkin^S Disease</t>
  </si>
  <si>
    <t>VANDETANIB</t>
  </si>
  <si>
    <t>CAPRELSA</t>
  </si>
  <si>
    <t>Thyroid Cancer</t>
  </si>
  <si>
    <t>Liver function test increased</t>
  </si>
  <si>
    <t>Neuroblastoma</t>
  </si>
  <si>
    <t>BLINATUMOMAB</t>
  </si>
  <si>
    <t>BLINCYTO</t>
  </si>
  <si>
    <t>Throat irritation</t>
  </si>
  <si>
    <t>Throat cancer</t>
  </si>
  <si>
    <t>Essential Thrombocythaemia</t>
  </si>
  <si>
    <t>ERELZI</t>
  </si>
  <si>
    <t>Ligament rupture</t>
  </si>
  <si>
    <t>Tumour pseudoprogression</t>
  </si>
  <si>
    <t>Pneumothorax</t>
  </si>
  <si>
    <t>Tendon rupture</t>
  </si>
  <si>
    <t>Abortion spontaneous; Maternal exposure during pregnancy</t>
  </si>
  <si>
    <t>VIMPAT</t>
  </si>
  <si>
    <t>Arthritis bacterial</t>
  </si>
  <si>
    <t>Tumour lysis syndrome</t>
  </si>
  <si>
    <t>CLARITHROMYCIN</t>
  </si>
  <si>
    <t>Lannett Company, Inc.; Solaris Pharma Corporation; Rising Pharma Holdings, Inc.; Actavis Pharma, Inc.; Sandoz Inc</t>
  </si>
  <si>
    <t>Macrolide Antimicrobial [EPC]</t>
  </si>
  <si>
    <t>Pancreatic carcinoma</t>
  </si>
  <si>
    <t>Bladder Transitional Cell Carcinoma</t>
  </si>
  <si>
    <t>Trismus</t>
  </si>
  <si>
    <t>Thyroid Disorder</t>
  </si>
  <si>
    <t>Diabetes insipidus</t>
  </si>
  <si>
    <t>MEPERIDINE HYDROCHLORIDE; DEMEROL</t>
  </si>
  <si>
    <t>Genus Lifesciences Inc.; Hospira, Inc.; Hikma Pharmaceuticals Usa Inc.; Epic Pharma, Llc</t>
  </si>
  <si>
    <t>LIRAGLUTIDE</t>
  </si>
  <si>
    <t>VICTOZA</t>
  </si>
  <si>
    <t>Febrile Neutropenia</t>
  </si>
  <si>
    <t>EC</t>
  </si>
  <si>
    <t>Hyperhidrosis</t>
  </si>
  <si>
    <t>FINASTERIDE; PROSCAR; PROPECIA</t>
  </si>
  <si>
    <t>Aurobindo Pharma Limited; Rising Pharma Holdings, Inc.; Accord Healthcare, Inc.; Camber Pharmaceuticals, Inc.; Ascend Laboratories, Llc</t>
  </si>
  <si>
    <t>Anal cancer</t>
  </si>
  <si>
    <t>Colon Cancer Metastatic</t>
  </si>
  <si>
    <t>Chronic cutaneous lupus erythematosus</t>
  </si>
  <si>
    <t>Mast cell activation syndrome</t>
  </si>
  <si>
    <t>ANTI-THYMOCYTE GLOBULIN (RABBIT) NOS</t>
  </si>
  <si>
    <t>Drug resistance</t>
  </si>
  <si>
    <t>ATENOLOL</t>
  </si>
  <si>
    <t>TENORMIN; ATENOLOL</t>
  </si>
  <si>
    <t>Almatica Pharma Llc; Aurobindo Pharma Limited; Unichem Pharmaceuticals (Usa), Inc.; Rising Pharma Holdings, Inc.; Zydus Lifesciences Limited</t>
  </si>
  <si>
    <t>beta-Adrenergic Blocker [EPC]</t>
  </si>
  <si>
    <t>SITAGLIPTIN AND METFORMIN HYDROCHLORIDE</t>
  </si>
  <si>
    <t>JANUMET; JANUMET XR</t>
  </si>
  <si>
    <t>Drug hypersensitivity; Dyspnoea</t>
  </si>
  <si>
    <t>Mucormycosis</t>
  </si>
  <si>
    <t>CETIRIZINE; CETIRIZINE HYDROCHLORIDE; CETIIRIZINE</t>
  </si>
  <si>
    <t>CETIRIZINE HCL; CETIRIZINE HYDROCHLORIDE; CETIRIZINE; ZERVIATE; CETIRIZINE HYDROCHLORIDE HIVES RELIEF</t>
  </si>
  <si>
    <t>Geri-Care Pharmaceutical Corp; Amneal Pharmaceuticals Llc; Major Pharmaceuticals; Harrow Eye, Llc; Glenmark Therapeutics Inc., Usa</t>
  </si>
  <si>
    <t>Histamine-1 Receptor Antagonist [EPC]</t>
  </si>
  <si>
    <t>Tumour Necrosis Factor Receptor-Associated Periodic Syndrome</t>
  </si>
  <si>
    <t>Metastases to central nervous system</t>
  </si>
  <si>
    <t>Central nervous system lymphoma</t>
  </si>
  <si>
    <t>HK</t>
  </si>
  <si>
    <t>Abscess</t>
  </si>
  <si>
    <t>Fungaemia</t>
  </si>
  <si>
    <t>Actinic keratosis</t>
  </si>
  <si>
    <t>Skin infection</t>
  </si>
  <si>
    <t>Photosensitivity reaction</t>
  </si>
  <si>
    <t>Infection Prophylaxis</t>
  </si>
  <si>
    <t>ELETRIPTAN</t>
  </si>
  <si>
    <t>Gastrointestinal obstruction</t>
  </si>
  <si>
    <t>Radiographic Contrast Agent [EPC]</t>
  </si>
  <si>
    <t>Burkitt^s lymphoma</t>
  </si>
  <si>
    <t>Cervical dysplasia</t>
  </si>
  <si>
    <t>General Anaesthesia</t>
  </si>
  <si>
    <t>Lymphopenia</t>
  </si>
  <si>
    <t>Cholangitis sclerosing</t>
  </si>
  <si>
    <t>IMATINIB</t>
  </si>
  <si>
    <t>IMATINIB MESYLATE; IMATINIB</t>
  </si>
  <si>
    <t>Mylan Pharmaceuticals Inc.; Dr.Reddy'S Laboratories Inc</t>
  </si>
  <si>
    <t>Selective Iga Immunodeficiency</t>
  </si>
  <si>
    <t>Hyperglycaemic hyperosmolar nonketotic syndrome</t>
  </si>
  <si>
    <t>Immune-mediated cholangitis</t>
  </si>
  <si>
    <t>UMECLIDINIUM BROMIDE AND VILANTEROL TRIFENATATE</t>
  </si>
  <si>
    <t>ANORO ELLIPTA</t>
  </si>
  <si>
    <t>MELPHALAN HYDROCHLORIDE; MELPHALAN</t>
  </si>
  <si>
    <t>MELPHALAN; EVOMELA</t>
  </si>
  <si>
    <t>Fresenius Kabi Usa, Llc; Acrotech Biopharma Inc</t>
  </si>
  <si>
    <t>Abscess intestinal</t>
  </si>
  <si>
    <t>Pneumonia; Off label use</t>
  </si>
  <si>
    <t>TIOTROPIUM BROMIDE</t>
  </si>
  <si>
    <t>SPIRIVA HANDIHALER</t>
  </si>
  <si>
    <t>Subacute cutaneous lupus erythematosus</t>
  </si>
  <si>
    <t>Petit Mal Epilepsy</t>
  </si>
  <si>
    <t>Hyperthyroidism</t>
  </si>
  <si>
    <t>HYDROCHLOROTHIAZIDE\VALSARTAN</t>
  </si>
  <si>
    <t>Catheter site infection</t>
  </si>
  <si>
    <t>Croup infectious</t>
  </si>
  <si>
    <t>Skin hyperpigmentation</t>
  </si>
  <si>
    <t>Blood potassium decreased</t>
  </si>
  <si>
    <t>Maternal exposure before pregnancy</t>
  </si>
  <si>
    <t>Hair texture abnormal</t>
  </si>
  <si>
    <t>DOLUTEGRAVIR</t>
  </si>
  <si>
    <t>Gaucher^S Disease Type I</t>
  </si>
  <si>
    <t>Throat tightness</t>
  </si>
  <si>
    <t>Labyrinthitis</t>
  </si>
  <si>
    <t>Malabsorption</t>
  </si>
  <si>
    <t>Fanconi syndrome acquired</t>
  </si>
  <si>
    <t>Obesity; Gynaecomastia; Emotional disorder; Off label use</t>
  </si>
  <si>
    <t>Parkinson^s disease; Dizziness</t>
  </si>
  <si>
    <t>ZIDOVUDINE</t>
  </si>
  <si>
    <t>ZIDOVUDINE; RETROVIR</t>
  </si>
  <si>
    <t>Aurobindo Pharma Limited; Camber Pharmaceuticals, Inc.; Viiv Healthcare Company</t>
  </si>
  <si>
    <t>TEMOZOLOMIDE; TEMODAR</t>
  </si>
  <si>
    <t>Accord Healthcare Inc.; Camber Pharmaceuticals, Inc.; Rising Pharma Holdings, Inc.; Merck Sharp &amp; Dohme Llc; Devatis, Inc.</t>
  </si>
  <si>
    <t>Gynaecomastia; Emotional disorder; Weight increased</t>
  </si>
  <si>
    <t>Senile Osteoporosis</t>
  </si>
  <si>
    <t>Immune-mediated myasthenia gravis</t>
  </si>
  <si>
    <t>Blood phosphorus increased</t>
  </si>
  <si>
    <t>Tension</t>
  </si>
  <si>
    <t>Lacrimation increased</t>
  </si>
  <si>
    <t>Tonsillitis</t>
  </si>
  <si>
    <t>Oesophagitis</t>
  </si>
  <si>
    <t>Chest injury</t>
  </si>
  <si>
    <t>IVABRADINE</t>
  </si>
  <si>
    <t>IVABRADINE; CORLANOR</t>
  </si>
  <si>
    <t>Zydus Pharmaceuticals Usa Inc.; Novadoz Pharmaceuticals Llc; Alembic Pharmaceuticals Limited; Amgen Inc; Alembic Pharmaceuticals Inc.</t>
  </si>
  <si>
    <t>Immune-mediated lung disease</t>
  </si>
  <si>
    <t>Drug ineffective; No adverse event</t>
  </si>
  <si>
    <t>Brain operation</t>
  </si>
  <si>
    <t>Haemophagocytic Lymphohistiocytosis</t>
  </si>
  <si>
    <t>AMISULPRIDE</t>
  </si>
  <si>
    <t>BARHEMSYS</t>
  </si>
  <si>
    <t>Acacia Pharma Ltd</t>
  </si>
  <si>
    <t>Dopamine-2 Receptor Antagonist [EPC]</t>
  </si>
  <si>
    <t>Chronic kidney disease; Renal failure; Acute kidney injury; Tooth loss; Bone density decreased</t>
  </si>
  <si>
    <t>METYROSINE</t>
  </si>
  <si>
    <t>DEMSER</t>
  </si>
  <si>
    <t>Blood Catecholamines Increased</t>
  </si>
  <si>
    <t>Catecholamine Synthesis Inhibitor [EPC]</t>
  </si>
  <si>
    <t>TELMISARTAN</t>
  </si>
  <si>
    <t>TELMISARTAN; MICARDIS</t>
  </si>
  <si>
    <t>Aurobindo Pharma Limited; Alembic Pharmaceuticals Limited; Modavar Pharmaceuticals Llc; Amneal Pharmaceuticals Of New York Llc; Boehringer Ingelheim Pharmaceuticals, Inc.</t>
  </si>
  <si>
    <t>Colorectal cancer</t>
  </si>
  <si>
    <t>Diabetic metabolic decompensation</t>
  </si>
  <si>
    <t>Venoocclusive liver disease</t>
  </si>
  <si>
    <t>Life-Threatening; Congenital Anomaly</t>
  </si>
  <si>
    <t>Schizoaffective Disorder</t>
  </si>
  <si>
    <t>Candida Infection</t>
  </si>
  <si>
    <t>Chronic graft versus host disease</t>
  </si>
  <si>
    <t>Congenital cystic kidney disease</t>
  </si>
  <si>
    <t>Epstein-Barr Virus Infection Reactivation</t>
  </si>
  <si>
    <t>Platelet count increased</t>
  </si>
  <si>
    <t>WARFARIN</t>
  </si>
  <si>
    <t>WARFARIN SODIUM</t>
  </si>
  <si>
    <t>Exelan Pharmaceuticals Inc.; Amneal Pharmaceuticals Llc</t>
  </si>
  <si>
    <t>Drug hypersensitivity; Nausea; Vomiting</t>
  </si>
  <si>
    <t>ALENDRONATE SODIUM</t>
  </si>
  <si>
    <t>FOSAMAX</t>
  </si>
  <si>
    <t>OSELTAMIVIR; OSELTAMIVIR PHOSPHATE</t>
  </si>
  <si>
    <t>OSELTAMIVIR PHOSPHATE; OSELTAMIVIR</t>
  </si>
  <si>
    <t>Amneal Pharmaceuticals Ny Llc; Alembic Pharmaceuticals Limited; Avkare; Laurus Labs Limited; Alembic Pharmaceuticals Inc.</t>
  </si>
  <si>
    <t>SILDENAFIL CITRATE</t>
  </si>
  <si>
    <t>Pituitary apoplexy</t>
  </si>
  <si>
    <t>Prostaglandin E1 Analog [EPC]</t>
  </si>
  <si>
    <t>ROCURONIUM BROMIDE</t>
  </si>
  <si>
    <t>ROCURONIUM BROMIDE; ROCURONIUM</t>
  </si>
  <si>
    <t>Baxter Healthcare Corporation; Eugia Us Llc; Be Pharmaceuticals Inc.; Meitheal Pharmaceuticals Inc.; Xgen Pharmaceuticals Djb, Inc.</t>
  </si>
  <si>
    <t>Application site scar</t>
  </si>
  <si>
    <t>No adverse event; Product dose omission issue</t>
  </si>
  <si>
    <t>Death; Adverse event</t>
  </si>
  <si>
    <t>Chronic myelomonocytic leukaemia</t>
  </si>
  <si>
    <t>Squamous Cell Carcinoma Of Head And Neck</t>
  </si>
  <si>
    <t>Addison^S Disease</t>
  </si>
  <si>
    <t>Lupus nephritis</t>
  </si>
  <si>
    <t>Antibiotic Prophylaxis</t>
  </si>
  <si>
    <t>Drug hypersensitivity; Liver function test increased</t>
  </si>
  <si>
    <t>Lung Adenocarcinoma Stage Iii</t>
  </si>
  <si>
    <t>Chalazion</t>
  </si>
  <si>
    <t>Headache; Sinusitis</t>
  </si>
  <si>
    <t>Klebsiella Infection</t>
  </si>
  <si>
    <t>LOSARTAN</t>
  </si>
  <si>
    <t>LOSARTAN POTASSIUM</t>
  </si>
  <si>
    <t>Granules Pharmaceuticals Inc.; Granules India Ltd</t>
  </si>
  <si>
    <t>SACUBITRIL\VALSARTAN</t>
  </si>
  <si>
    <t>Oral lichen planus</t>
  </si>
  <si>
    <t>DIPHENHYDRAMINE HYDROCHLORIDE; DIPHENHYDRAMINE HYDROCHLORIDE CAPSULE, LIQUID FILLED</t>
  </si>
  <si>
    <t>UP AND UP NIGHTTIME SLEEP AID; DIPHENHYDRAMINE HYDROCHLORIDE; QUALITY CHOICE NIGHTTIME SLEEP AID; ALLERGY CHILDRENS; CHILDRENS ALLERGY</t>
  </si>
  <si>
    <t>Target Corporation; Epic Pharma, Llc; Quality Choice (Chain Drug Marketing Association); Meijer Distribution Inc; Discount Drug Mart</t>
  </si>
  <si>
    <t>Plagiocephaly; Foetal exposure during pregnancy</t>
  </si>
  <si>
    <t>Plagiocephaly</t>
  </si>
  <si>
    <t>Antifungal Treatment</t>
  </si>
  <si>
    <t>Brain Stem Glioma</t>
  </si>
  <si>
    <t>TEMODAL</t>
  </si>
  <si>
    <t>Renal injury; Osteoporosis; Osteonecrosis; Chronic kidney disease; Multiple fractures</t>
  </si>
  <si>
    <t>Acinetobacter infection</t>
  </si>
  <si>
    <t>CEFTOLOZANE AND TAZOBACTAM</t>
  </si>
  <si>
    <t>ZERBAXA</t>
  </si>
  <si>
    <t>Philadelphia Positive Chronic Myeloid Leukaemia</t>
  </si>
  <si>
    <t>Skin toxicity</t>
  </si>
  <si>
    <t>Delivery</t>
  </si>
  <si>
    <t>LURASIDONE HYDROCHLORIDE</t>
  </si>
  <si>
    <t>LATUDA</t>
  </si>
  <si>
    <t>Traumatic lung injury</t>
  </si>
  <si>
    <t>Fanconi syndrome</t>
  </si>
  <si>
    <t>BCG LIVE</t>
  </si>
  <si>
    <t>Virologic failure</t>
  </si>
  <si>
    <t>ERYTHROMYCIN</t>
  </si>
  <si>
    <t>ERYTHROMYCIN; ERY-TAB; ERYTHROMYCIN ETHYLSUCCINATE; ERY</t>
  </si>
  <si>
    <t>Torrent Pharmaceuticals Limited; Dr. Reddy'S Labratories Inc.; Zydus Pharmaceuticals Usa Inc.; Arbor Pharmaceuticals, Inc.; Zydus Lifesciences Limited</t>
  </si>
  <si>
    <t>Macrolide [EPC]; Macrolide Antimicrobial [EPC]</t>
  </si>
  <si>
    <t>Asthma; Sleep disorder due to a general medical condition; Loss of personal independence in daily activities; Dyspnoea; Wheezing</t>
  </si>
  <si>
    <t>Metastases to central nervous system; Therapy partial responder</t>
  </si>
  <si>
    <t>AFATINIB</t>
  </si>
  <si>
    <t>GILOTRIF</t>
  </si>
  <si>
    <t>CHLORDIAZEPOXIDE</t>
  </si>
  <si>
    <t>RALTEGRAVIR POTASSIUM</t>
  </si>
  <si>
    <t>ALENDRONATE SODIUM; BINOSTO; ALENDRONATE; FOSAMAX</t>
  </si>
  <si>
    <t>Exelan Pharmaceuticals Inc.; Aurobindo Pharma Limited; Hikma Pharmaceuticals Usa Inc.; Cipla Usa Inc.; Amneal Pharmaceuticals Of New York Llc</t>
  </si>
  <si>
    <t>Growth disorder</t>
  </si>
  <si>
    <t>Steroid withdrawal syndrome</t>
  </si>
  <si>
    <t>Spinal cord neoplasm</t>
  </si>
  <si>
    <t>Ge Healthcare Inc.</t>
  </si>
  <si>
    <t>Metabolic surgery</t>
  </si>
  <si>
    <t>NUVARING</t>
  </si>
  <si>
    <t>Advanz Pharma (Us) Corp.; Organon Llc</t>
  </si>
  <si>
    <t>Dermal cyst</t>
  </si>
  <si>
    <t>Foetal disorder</t>
  </si>
  <si>
    <t>Acute graft versus host disease in intestine</t>
  </si>
  <si>
    <t>OM</t>
  </si>
  <si>
    <t>BRINTELLIX</t>
  </si>
  <si>
    <t>ADMELOG; INSULIN LISPRO; INSULIN LISPRO JUNIOR KWIKPEN; INSULIN LISPRO KWIKPEN; HUMALOG MIX75/25</t>
  </si>
  <si>
    <t>Sanofi-Aventis U.S. Llc; Eli Lilly And Company</t>
  </si>
  <si>
    <t>Panic reaction</t>
  </si>
  <si>
    <t>FONDAPARINUX</t>
  </si>
  <si>
    <t>LETROZOLE AND RIBOCICLIB</t>
  </si>
  <si>
    <t>KISQALI FEMARA CO-PACK</t>
  </si>
  <si>
    <t>Brain abscess</t>
  </si>
  <si>
    <t>METHADONE HYDROCHLORIDE; METHADONE</t>
  </si>
  <si>
    <t>METHADONE HYDROCHLORIDE; METHADONE HYDROCLORIDE DYE-FREE, SUGAR-FREE, UNFLAVORED; METHADOSE; METHADOSE SUGAR-FREE; DISKETS</t>
  </si>
  <si>
    <t>Vistapharm, Llc; Hikma Pharmaceuticals Usa Inc.; Hikma Pharmaceuticals Usa; Camber Pharmaceuticals, Inc; Breckenridge Pharmaceutical Inc</t>
  </si>
  <si>
    <t>Autonomic Neuropathy</t>
  </si>
  <si>
    <t>REVATIO</t>
  </si>
  <si>
    <t>Ischaemic stroke; Chest pain; Headache</t>
  </si>
  <si>
    <t>Prescribed underdose; Nasopharyngitis</t>
  </si>
  <si>
    <t>Terminal ileitis</t>
  </si>
  <si>
    <t>Arthralgia; Arthritis; Arthropathy; Back pain; Blood pressure systolic increased</t>
  </si>
  <si>
    <t>GAMMAGARD S/D</t>
  </si>
  <si>
    <t>Anticoagulant Therapy</t>
  </si>
  <si>
    <t>Cataract; Blindness</t>
  </si>
  <si>
    <t>Hypoacusis; Visual impairment</t>
  </si>
  <si>
    <t>Chest pain; Ischaemic stroke; Headache</t>
  </si>
  <si>
    <t>Pregnancy on oral contraceptive; Drug interaction; Maternal exposure during pregnancy</t>
  </si>
  <si>
    <t>Weight decreased; Off label use</t>
  </si>
  <si>
    <t>Renal injury; Multiple fractures; Chronic kidney disease; Osteonecrosis; Renal failure</t>
  </si>
  <si>
    <t>Vulvovaginal Burning Sensation</t>
  </si>
  <si>
    <t>Macular detachment</t>
  </si>
  <si>
    <t>PROSCAR</t>
  </si>
  <si>
    <t>Androgenetic Alopecia</t>
  </si>
  <si>
    <t>PRUCALOPRIDE</t>
  </si>
  <si>
    <t>MOTEGRITY</t>
  </si>
  <si>
    <t>Drug intolerance; Drug hypersensitivity</t>
  </si>
  <si>
    <t>Aortic valve replacement</t>
  </si>
  <si>
    <t>TEDIZOLID PHOSPHATE</t>
  </si>
  <si>
    <t>SIVEXTRO</t>
  </si>
  <si>
    <t>ELBASVIR AND GRAZOPREVIR</t>
  </si>
  <si>
    <t>ZEPATIER</t>
  </si>
  <si>
    <t>Hepatitis C Virus NS5A Inhibitor [EPC]; Hepatitis C Virus NS3/4A Protease Inhibitor [EPC]</t>
  </si>
  <si>
    <t>Contrast media reaction</t>
  </si>
  <si>
    <t>Weight increased; Gynaecomastia; Emotional distress; Therapy cessation; Off label use</t>
  </si>
  <si>
    <t>Obstructive sleep apnoea syndrome</t>
  </si>
  <si>
    <t>CASPOFUNGIN ACETATE; CANCIDAS</t>
  </si>
  <si>
    <t>Sagent Pharmaceuticals; Hangzhou Zhongmei Huadong Pharmaceutical Co., Ltd.; Merck Sharp &amp; Dohme Llc; Gland Pharma Limited; Fresenius Kabi Usa, Llc</t>
  </si>
  <si>
    <t>Malignant neoplasm progression; Therapy non-responder</t>
  </si>
  <si>
    <t>Pathogen resistance; Drug resistance; Virologic failure</t>
  </si>
  <si>
    <t>Carotid artery disease</t>
  </si>
  <si>
    <t>Prescribed underdose; Anxiety</t>
  </si>
  <si>
    <t>Drug ineffective; Drug intolerance</t>
  </si>
  <si>
    <t>Arthralgia; Blood pressure systolic increased; Cellulitis; Chest discomfort; Drug hypersensitivity</t>
  </si>
  <si>
    <t>Death neonatal</t>
  </si>
  <si>
    <t>Heparin-induced thrombocytopenia</t>
  </si>
  <si>
    <t>Prostatic disorder</t>
  </si>
  <si>
    <t>2025Q1</t>
  </si>
  <si>
    <t>Pneumonia; Staphylococcal infection; Sepsis</t>
  </si>
  <si>
    <t>Alopecia; Weight decreased; Gastrointestinal disorder; Vitamin D deficiency; Upper limb fracture</t>
  </si>
  <si>
    <t>Pneumonia; Obstructive airways disorder; Lower respiratory tract infection; Forced expiratory volume decreased; Irritability</t>
  </si>
  <si>
    <t>Retinal phototoxicity; Visual impairment; Visual field defect; Visual acuity reduced</t>
  </si>
  <si>
    <t>Retinal phototoxicity</t>
  </si>
  <si>
    <t>SURMONTIL</t>
  </si>
  <si>
    <t>Death; Haematoma</t>
  </si>
  <si>
    <t>Overdose; Drug dependence; Blood pressure increased; Hyperhidrosis; Drug withdrawal syndrome</t>
  </si>
  <si>
    <t>Pyoderma gangrenosum; Palmoplantar pustulosis; Sacroiliitis; Rheumatoid arthritis</t>
  </si>
  <si>
    <t>Withdrawal syndrome; Drug abuse; Confusional state; Psychomotor hyperactivity; Tremor</t>
  </si>
  <si>
    <t>Serotonin syndrome; Obesity; Essential tremor</t>
  </si>
  <si>
    <t>Gynaecomastia; Emotional distress; Abnormal weight gain</t>
  </si>
  <si>
    <t>Gynaecomastia; Weight increased; Emotional distress; Off label use</t>
  </si>
  <si>
    <t>Rectal haemorrhage; Haematochezia; Cystitis; Blood pressure decreased; Malignant neoplasm progression</t>
  </si>
  <si>
    <t>Abscess oral; Arthropathy; Back pain; Blood pressure increased; Dental caries</t>
  </si>
  <si>
    <t>Peritonitis; Respiratory arrest; Intestinal gangrene; Septic shock; Extra dose administered</t>
  </si>
  <si>
    <t>Overweight; Gynaecomastia; Emotional disorder</t>
  </si>
  <si>
    <t>Intentional overdose; Hypoglycaemia; Metabolic acidosis; Acute kidney injury; Oliguria</t>
  </si>
  <si>
    <t>Synovitis; Rheumatoid factor positive; Drug hypersensitivity; C-reactive protein increased; Red blood cell sedimentation rate increased</t>
  </si>
  <si>
    <t>Bronchitis; Urinary tract infection; Pneumonia; Body temperature decreased; Pain</t>
  </si>
  <si>
    <t>Diarrhoea; Electrolyte imbalance; Gastrointestinal infection; Hypoglycaemia; Hyponatraemic seizure</t>
  </si>
  <si>
    <t>Cardiac flutter; Hypertension; Atrial fibrillation; Tachycardia; Presyncope</t>
  </si>
  <si>
    <t>Septic shock; Bacterial sepsis; Febrile bone marrow aplasia; Acute kidney injury; Deep vein thrombosis</t>
  </si>
  <si>
    <t>Influenza; Hypersensitivity; Urticaria; Pruritus; Lower respiratory tract infection</t>
  </si>
  <si>
    <t>Terminal ileitis; Neutropenia; Hypokalaemia</t>
  </si>
  <si>
    <t>Rash; Inappropriate schedule of product administration; Product dose omission issue; Product use issue</t>
  </si>
  <si>
    <t>Infection; Pain; Migraine; Urticaria</t>
  </si>
  <si>
    <t>Myocardial infarction; Supraventricular tachycardia; Feeling drunk; Brain fog</t>
  </si>
  <si>
    <t>Blindness; Visual acuity reduced</t>
  </si>
  <si>
    <t>Tooth abscess; Pneumonia; Body temperature decreased; Stress; Blood pressure decreased</t>
  </si>
  <si>
    <t>Joint space narrowing</t>
  </si>
  <si>
    <t>Weight increased; Joint swelling; Drug ineffective; Bone swelling; Arthralgia</t>
  </si>
  <si>
    <t>Tongue carcinoma stage 0; Neoplasm malignant; Intestinal adenocarcinoma; Renal cell carcinoma stage I; Prostate cancer</t>
  </si>
  <si>
    <t>Tongue carcinoma stage 0</t>
  </si>
  <si>
    <t>Angioedema; Rheumatoid arthritis; Asthma; Dyspnoea; Middle insomnia</t>
  </si>
  <si>
    <t>Hypophagia; Weight decreased; Disease recurrence</t>
  </si>
  <si>
    <t>Herpes Simplex</t>
  </si>
  <si>
    <t>Drug ineffective; Rheumatoid arthritis; Condition aggravated; Herpes zoster</t>
  </si>
  <si>
    <t>Hepatic function abnormal; Hepatic function abnormal; Haemoptysis; Folliculitis</t>
  </si>
  <si>
    <t>Septic shock; Acute kidney injury; Hypovolaemic shock; Haemoptysis; Occult blood positive</t>
  </si>
  <si>
    <t>Acute respiratory distress syndrome; Multiple organ dysfunction syndrome; Pulmonary blastomycosis; Septic shock</t>
  </si>
  <si>
    <t>Drug dependence; Tooth infection; Lung disorder; Gastrointestinal disorder; Mucous stools</t>
  </si>
  <si>
    <t>Rib fracture; Diarrhoea; Abdominal discomfort; Headache; Fall</t>
  </si>
  <si>
    <t>Arrhythmia; Type 2 diabetes mellitus; Arthritis; Off label use; Osteoarthritis</t>
  </si>
  <si>
    <t>Type 2 diabetes mellitus; Arrhythmia; Trismus; Spondylitis; Osteoarthritis</t>
  </si>
  <si>
    <t>Hyperthyroidism; Cardiac failure; Device related infection; Therapeutic response decreased; Catheter site dermatitis</t>
  </si>
  <si>
    <t>Seizure; Loss of consciousness; Hypersensitivity; Infusion related reaction; Anaphylactic reaction</t>
  </si>
  <si>
    <t>Chest discomfort; Nephrolithiasis; Retinopathy; Diverticulitis; Mental impairment</t>
  </si>
  <si>
    <t>Pneumothorax; Infection; Influenza like illness</t>
  </si>
  <si>
    <t>Dementia; Inappropriate schedule of product administration</t>
  </si>
  <si>
    <t>Acute kidney injury; International normalised ratio abnormal; Dialysis; Polyuria; Hypotension</t>
  </si>
  <si>
    <t>Therapy non-responder; Rheumatoid arthritis; Herpes zoster</t>
  </si>
  <si>
    <t>Neoplasm malignant; Dyspnoea at rest; Respiratory distress; Angina pectoris; Forced expiratory volume decreased</t>
  </si>
  <si>
    <t>Prostate cancer; Fuchs^ syndrome; Cataract operation; Blood pressure abnormal; Hot flush</t>
  </si>
  <si>
    <t>Intestinal obstruction; Crohn^s disease; Confusional state; Melaena; Vision blurred</t>
  </si>
  <si>
    <t>Anaphylactic shock; Arthralgia; Bedridden; Condition aggravated; Drug ineffective</t>
  </si>
  <si>
    <t>Gynaecomastia; Abnormal weight gain; Extrapyramidal disorder</t>
  </si>
  <si>
    <t>Anger; Sleep disorder</t>
  </si>
  <si>
    <t>Diabetes insipidus; Stress; Acne; Intentional product use issue</t>
  </si>
  <si>
    <t>Polyarthritis; Leukopenia; Urinary tract infection bacterial; Sinusitis bacterial; Pharyngitis bacterial</t>
  </si>
  <si>
    <t>Drug ineffective; Asthenia; Sleep disorder; Malaise; COVID-19</t>
  </si>
  <si>
    <t>Metastatic malignant melanoma; Gastrooesophageal reflux disease; Diarrhoea</t>
  </si>
  <si>
    <t>Middle insomnia; Asthma; Diverticulitis; Intestinal perforation; Forced expiratory volume decreased</t>
  </si>
  <si>
    <t>Depression; Suicidal ideation; Blindness; Proteinuria; Muscle twitching</t>
  </si>
  <si>
    <t>Rash; Pyrexia; Diarrhoea; Eyelid oedema; Dyspnoea</t>
  </si>
  <si>
    <t>Mycobacterium avium complex infection; Migraine; Blood thyroid stimulating hormone decreased; Type V hyperlipidaemia; Headache</t>
  </si>
  <si>
    <t>Lower respiratory tract infection; Polyarthritis; Oropharyngeal pain; Nasal congestion; Rash macular</t>
  </si>
  <si>
    <t>Nasopharyngitis; Cognitive disorder; General physical health deterioration; Multiple sclerosis</t>
  </si>
  <si>
    <t>Sepsis; Bronchopulmonary aspergillosis; Leukopenia; Neutropenia</t>
  </si>
  <si>
    <t>Sepsis; Pneumonia; Bronchopulmonary aspergillosis; Leukopenia; Neutropenia</t>
  </si>
  <si>
    <t>Anaphylactic reaction; Hot flush</t>
  </si>
  <si>
    <t>Therapeutic product effect incomplete; Drug intolerance; Infection; International normalised ratio fluctuation; Bloody discharge</t>
  </si>
  <si>
    <t>IOHEXOL</t>
  </si>
  <si>
    <t>OMNIPAQUE</t>
  </si>
  <si>
    <t>Diagnostic Procedure</t>
  </si>
  <si>
    <t>Ge Healthcare; Ge Healthcare Inc.</t>
  </si>
  <si>
    <t>HUMAN ALBUMIN MICROSPHERES AND PERFLUTREN</t>
  </si>
  <si>
    <t>OPTISON PERFLUTREN PROTEIN-TYPE A MICROSPHERES</t>
  </si>
  <si>
    <t>Maternal exposure during pregnancy; Weight decreased; Weight increased; Hereditary angioedema</t>
  </si>
  <si>
    <t>Akathisia; Nervousness; Injury; Drug ineffective; Treatment noncompliance</t>
  </si>
  <si>
    <t>Gynaecomastia; Hyperprolactinaemia</t>
  </si>
  <si>
    <t>Neurotoxicity; Nephropathy toxic; Renal impairment; Transplant rejection; Cytomegalovirus viraemia</t>
  </si>
  <si>
    <t>Knuckle pads; Toe operation; Knee arthroplasty; Abdominal pain upper; Foot deformity</t>
  </si>
  <si>
    <t>Knuckle pads</t>
  </si>
  <si>
    <t>Small intestinal obstruction; Gastrointestinal inflammation; Off label use; Drug level decreased; Post procedural infection</t>
  </si>
  <si>
    <t>Multiple sclerosis; Hypoventilation; Choking; Immunodeficiency; Hypogammaglobulinaemia</t>
  </si>
  <si>
    <t>Platelet count decreased; Platelet count decreased; Hypertension; Abdominal pain; Pneumonia</t>
  </si>
  <si>
    <t>Tumour lysis syndrome; Renal failure</t>
  </si>
  <si>
    <t>Vomiting; Cholestasis</t>
  </si>
  <si>
    <t>Cardiac arrest; Dyspnoea; Chronic obstructive pulmonary disease; Chronic obstructive pulmonary disease; Peripheral swelling</t>
  </si>
  <si>
    <t>Pneumonia; Hypotension; Aspergillus infection; Pulmonary tuberculosis; COVID-19</t>
  </si>
  <si>
    <t>Pulmonary oedema; Contusion; Angina pectoris; Cardiac failure; Ventricular dysfunction</t>
  </si>
  <si>
    <t>BOCOCIZUMAB</t>
  </si>
  <si>
    <t>Cardiovascular Disorder</t>
  </si>
  <si>
    <t>Vascular device infection; Device related sepsis; Device related infection; Hereditary angioedema; Hyperhidrosis</t>
  </si>
  <si>
    <t>Pulmonary oedema; Hypotension; Presyncope; Contusion; Fluid retention</t>
  </si>
  <si>
    <t>Schizophrenia; Depression</t>
  </si>
  <si>
    <t>Traumatic lung injury; Aspergillus infection; Pneumothorax</t>
  </si>
  <si>
    <t>Gait inability; Rheumatoid arthritis; Condition aggravated; Therapeutic product effect incomplete; Arthralgia</t>
  </si>
  <si>
    <t>Pneumonia; Decreased immune responsiveness; Chronic respiratory disease; Depression; Psoriasis</t>
  </si>
  <si>
    <t>Asthma; Jaw fracture; Obstructive airways disorder; Lower respiratory tract infection; Blood immunoglobulin E increased</t>
  </si>
  <si>
    <t>Drug-induced liver injury; Weight decreased; Inappropriate schedule of product administration; Circumstance or information capable of leading to medication error; Product dose omission issue</t>
  </si>
  <si>
    <t>Drug dependence; Kidney infection; Hallucination; Diplopia; Muscle twitching</t>
  </si>
  <si>
    <t>Sudden hearing loss; Drug hypersensitivity; Hypersensitivity; Dyspnoea; Dysphagia</t>
  </si>
  <si>
    <t>Sinusitis; Treatment failure; Gastrointestinal disorder; Psoriasis; Local reaction</t>
  </si>
  <si>
    <t>Gait disturbance; Forced expiratory volume decreased; Dyspnoea; Fall; Obstructive airways disorder</t>
  </si>
  <si>
    <t>No adverse event; Pregnancy; Product dose omission issue</t>
  </si>
  <si>
    <t>Arthritis bacterial; Autoimmune haemolytic anaemia; Immune-mediated hypothyroidism; Erysipelas; Iliac vein occlusion</t>
  </si>
  <si>
    <t>Intestinal obstruction; Cellulitis; Feeling hot; Erythema; Bronchitis</t>
  </si>
  <si>
    <t>Anaphylactic reaction; Immunosuppression; Aspartate aminotransferase increased; Urticaria; Hepatitis B</t>
  </si>
  <si>
    <t>Heparin-induced thrombocytopenia; Embolic stroke; Aortic embolus</t>
  </si>
  <si>
    <t>HEPARIN SODIUM</t>
  </si>
  <si>
    <t>HEPARIN SODIUM; HEPARIN SODIUM AND DEXTROSE; HEPARIN SODIUM IN SODIUM CHLORIDE</t>
  </si>
  <si>
    <t>Fresenius Kabi Usa, Llc; Phlow Corporation; Hospira, Inc.; Sagent Pharmaceuticals; Meitheal Pharmaceuticals Inc.</t>
  </si>
  <si>
    <t>Therapeutic product effect incomplete; Drug hypersensitivity</t>
  </si>
  <si>
    <t>Haemorrhage; Haemorrhage; Haemorrhage; Gastrointestinal haemorrhage</t>
  </si>
  <si>
    <t>Dehydration; Hepatic function abnormal; Protein urine</t>
  </si>
  <si>
    <t>Toxicity to various agents; Gait disturbance; Eye pain; Dysarthria; Vision blurred</t>
  </si>
  <si>
    <t>Pneumonia; Staphylococcal infection; Resorption bone increased; Nerve compression; Product dose omission issue</t>
  </si>
  <si>
    <t>Drug hypersensitivity; Vomiting; Nausea</t>
  </si>
  <si>
    <t>Viral upper respiratory tract infection; Off label use; Malaise; White blood cell count abnormal</t>
  </si>
  <si>
    <t>Viral upper respiratory tract infection</t>
  </si>
  <si>
    <t>Cataract; Blindness unilateral; Herpes ophthalmic; Myalgia; Lip swelling</t>
  </si>
  <si>
    <t>Overdose; Impaired driving ability; Drug dependence</t>
  </si>
  <si>
    <t>Drug ineffective; Bone marrow disorder; CD4 lymphocytes decreased; Enteritis; Neutropenic sepsis</t>
  </si>
  <si>
    <t>Subacute cutaneous lupus erythematosus; Hepatic neoplasm; Hypertension; Diarrhoea; Injection site haemorrhage</t>
  </si>
  <si>
    <t>Cerebrovascular accident; Hip fracture; Femur fracture; Blood glucose increased; Gait inability</t>
  </si>
  <si>
    <t>Vertigo; Visual impairment; Eye disorder; Breast cancer; Asthma</t>
  </si>
  <si>
    <t>Acute kidney injury; Deep vein thrombosis</t>
  </si>
  <si>
    <t>Maternal exposure during pregnancy; Neonatal respiratory acidosis; Stupor; Drug screen positive</t>
  </si>
  <si>
    <t>Type 1 diabetes mellitus; Gastrointestinal haemorrhage; Anaemia; Hyperthyroidism; Pneumonia</t>
  </si>
  <si>
    <t>Hand amputation; Alopecia; Hair texture abnormal; Malaise; Influenza</t>
  </si>
  <si>
    <t>Hand amputation</t>
  </si>
  <si>
    <t>Arrhythmia; Pulmonary oedema; Bronchitis; Coronary artery disease; Haemothorax</t>
  </si>
  <si>
    <t>Gynaecomastia; Emotional distress; Off label use; Product use in unapproved indication; Therapy cessation</t>
  </si>
  <si>
    <t>Transient ischaemic attack; Tendon rupture; Muscle spasms</t>
  </si>
  <si>
    <t>Urinary tract infection; Pyelonephritis; Septic shock; Ketosis; Back pain</t>
  </si>
  <si>
    <t>Pyrexia; Feeling abnormal; Product dose omission issue; Nausea; Dizziness</t>
  </si>
  <si>
    <t>Status epilepticus; Stevens-Johnson syndrome; Drug ineffective; Pneumonia; Depressed level of consciousness</t>
  </si>
  <si>
    <t>Status epilepticus; Pneumonia; Sopor; Depressed level of consciousness; Rash</t>
  </si>
  <si>
    <t>Surgery; Product supply issue</t>
  </si>
  <si>
    <t>LIPTRUZET</t>
  </si>
  <si>
    <t>Tonsillitis streptococcal; Pyrexia; Inflammation; Pyrexia; Abdominal pain upper</t>
  </si>
  <si>
    <t>Tonsillitis streptococcal</t>
  </si>
  <si>
    <t>Drug ineffective; Off label use; Product prescribing error; Expired product administered</t>
  </si>
  <si>
    <t>Bronchopulmonary aspergillosis; Granulocytopenia; Pneumonia; Bacteraemia; Infection</t>
  </si>
  <si>
    <t>Suicide attempt; Product use in unapproved indication; Off label use</t>
  </si>
  <si>
    <t>Femur fracture; Product complaint</t>
  </si>
  <si>
    <t>Seizure; Mental disorder; Gastrooesophageal reflux disease</t>
  </si>
  <si>
    <t>Macular detachment; Blindness; Eye pain; Foreign body sensation in eyes; Iridocyclitis</t>
  </si>
  <si>
    <t>DINOPROSTONE</t>
  </si>
  <si>
    <t>CERVIDIL; PREPIDIL</t>
  </si>
  <si>
    <t>Ferring Pharmaceuticals Inc.; Pharmacia &amp; Upjohn Company Llc</t>
  </si>
  <si>
    <t>Condition aggravated; Vision blurred; Photophobia; Dry eye; COVID-19</t>
  </si>
  <si>
    <t>Acinetobacter infection; Nosocomial infection</t>
  </si>
  <si>
    <t>MA</t>
  </si>
  <si>
    <t>Product dose omission issue; Claustrophobia; Anxiety; Multiple sclerosis; Sensory disturbance</t>
  </si>
  <si>
    <t>Crohn^s disease; Gastroenteritis viral; Neoplasm malignant; Poor venous access; Blood pressure diastolic decreased</t>
  </si>
  <si>
    <t>Neoplasm malignant; Movement disorder; Pneumonitis</t>
  </si>
  <si>
    <t>Foetal exposure during delivery; Cardiotoxicity</t>
  </si>
  <si>
    <t>Foetal exposure during delivery</t>
  </si>
  <si>
    <t>Labour Pain</t>
  </si>
  <si>
    <t>Myocardial infarction; Swelling face; Myocardial infarction; Drug intolerance</t>
  </si>
  <si>
    <t>Cervical dysplasia; Tremor; Abnormal labour; Pelvic discomfort; Off label use</t>
  </si>
  <si>
    <t>MISOPROSTOL</t>
  </si>
  <si>
    <t>CYTOTEC</t>
  </si>
  <si>
    <t>Influenza; Fatigue; Musculoskeletal disorder; Memory impairment; Dizziness</t>
  </si>
  <si>
    <t>Feeling hot; Diarrhoea; Pain in extremity; Nasopharyngitis; Myalgia</t>
  </si>
  <si>
    <t>Dyspepsia; Pain; Chest pain; Decreased appetite; Diarrhoea</t>
  </si>
  <si>
    <t>Haematochezia; Cataract; Anorectal discomfort; Poor quality sleep; Faeces soft</t>
  </si>
  <si>
    <t>Cough; Chest pain; Thrombocytopenia; Pleural effusion; Dyspnoea</t>
  </si>
  <si>
    <t>Aortic valve replacement; Cardiac fibrillation; Heart rate abnormal; Aortic aneurysm; Atrial flutter</t>
  </si>
  <si>
    <t>Adverse event; Musculoskeletal disorder; Myalgia; Arthropathy; Muscle spasms</t>
  </si>
  <si>
    <t>Hyperthermia malignant</t>
  </si>
  <si>
    <t>Parapharyngeal space infection; Constipation; Pyrexia; Blood sodium increased; Somnolence</t>
  </si>
  <si>
    <t>Parapharyngeal space infection</t>
  </si>
  <si>
    <t>Drug hypersensitivity; Rash; Swelling; Urticaria; Drug ineffective</t>
  </si>
  <si>
    <t>Aspergillus infection; Treatment failure</t>
  </si>
  <si>
    <t>Influenza; Anger; Abdominal pain upper; Blood pressure abnormal</t>
  </si>
  <si>
    <t>Vision blurred; Amnesia; Asthenia; Gait disturbance; Memory impairment</t>
  </si>
  <si>
    <t>Central nervous system lymphoma; Product use in unapproved indication</t>
  </si>
  <si>
    <t>Gynaecomastia; Weight increased; Musculoskeletal stiffness; Malaise; Emotional distress</t>
  </si>
  <si>
    <t>Arthropathy; Skin reaction; Dry mouth; Chest discomfort; Tendon disorder</t>
  </si>
  <si>
    <t>Neuropathy peripheral; Cardiac disorder; Diarrhoea; Dehydration; Decreased appetite</t>
  </si>
  <si>
    <t>Pathogen resistance; Staphylococcal infection</t>
  </si>
  <si>
    <t>Pneumonia adenoviral; Hypogammaglobulinaemia; Adenovirus infection; Multiple organ dysfunction syndrome; Haemophilus infection</t>
  </si>
  <si>
    <t>Pneumonia adenoviral</t>
  </si>
  <si>
    <t>Drug-induced liver injury; Mixed liver injury; Hepatic necrosis; Cholestasis</t>
  </si>
  <si>
    <t>Craniocerebral Injury</t>
  </si>
  <si>
    <t>Rash; Skin fissures; Diabetes mellitus; Chronic kidney disease; Renal failure</t>
  </si>
  <si>
    <t>Device breakage; Off label use; Prescribed overdose</t>
  </si>
  <si>
    <t>Sinus tachycardia; Tongue oedema; Anaphylactic shock; Circumoral oedema; Blood pressure decreased</t>
  </si>
  <si>
    <t>Acute kidney injury; Gastrointestinal stoma output increased; Fistula; Off label use; Oesophagitis</t>
  </si>
  <si>
    <t>Fatigue; Nausea; Vomiting; Mucosal inflammation; Haemoglobin abnormal</t>
  </si>
  <si>
    <t>Tendon rupture; Swelling face; Weight increased</t>
  </si>
  <si>
    <t>Immune-mediated adverse reaction; Polymyalgia rheumatica; Therapy partial responder</t>
  </si>
  <si>
    <t>Immune-mediated adverse reaction; Polymyalgia rheumatica; Tubulointerstitial nephritis</t>
  </si>
  <si>
    <t>Immune-mediated adverse reaction; Polymyalgia rheumatica; Malignant neoplasm progression; Arthritis</t>
  </si>
  <si>
    <t>Immune-mediated adverse reaction; Polymyalgia rheumatica; Therapy partial responder; Thyroiditis</t>
  </si>
  <si>
    <t>Immune-mediated adverse reaction; Polymyalgia rheumatica; Polyarthritis; Malignant neoplasm progression; Pneumonitis</t>
  </si>
  <si>
    <t>Immune-mediated adverse reaction; Polymyalgia rheumatica; Malignant neoplasm progression; Colitis</t>
  </si>
  <si>
    <t>Immune-mediated adverse reaction; Polymyalgia rheumatica; Malignant neoplasm progression</t>
  </si>
  <si>
    <t>Immune-mediated adverse reaction; Polymyalgia rheumatica; Malignant neoplasm progression; Performance status decreased</t>
  </si>
  <si>
    <t>Immune-mediated adverse reaction; Juvenile idiopathic arthritis; Systemic scleroderma; Malignant neoplasm progression</t>
  </si>
  <si>
    <t>Immune-mediated lung disease; Cytomegalovirus infection; Immune-mediated arthritis; Immune-mediated enterocolitis; Mass</t>
  </si>
  <si>
    <t>Immune-mediated adverse reaction; Polymyalgia rheumatica; Hyperthyroidism; Malignant neoplasm progression</t>
  </si>
  <si>
    <t>Viral infection; Product use issue; Somnolence; Insurance issue; Malaise</t>
  </si>
  <si>
    <t>Autoimmune myocarditis</t>
  </si>
  <si>
    <t>Cardiac disorder; Autoimmune myocarditis</t>
  </si>
  <si>
    <t>Skin toxicity; Nail discolouration; Toxic epidermal necrolysis; General physical health deterioration; Decreased appetite</t>
  </si>
  <si>
    <t>Immune-mediated myasthenia gravis; Myositis; Pneumonia aspiration; Autoimmune thyroiditis</t>
  </si>
  <si>
    <t>Malignant neoplasm progression; Systemic lupus erythematosus; Central nervous system lupus; Meningitis tuberculous; Encephalitis autoimmune</t>
  </si>
  <si>
    <t>Polyarthritis; Keratitis; Colitis</t>
  </si>
  <si>
    <t>Sjogren^s syndrome; Interstitial lung disease</t>
  </si>
  <si>
    <t>Ocular Melanoma</t>
  </si>
  <si>
    <t>Renal impairment; Drug ineffective</t>
  </si>
  <si>
    <t>Anxiety; Depression; Psoriasis</t>
  </si>
  <si>
    <t>Drug ineffective; Alopecia; Memory impairment; Drug hypersensitivity</t>
  </si>
  <si>
    <t>Leukopenia; Hypomagnesaemia; Neutropenia; Nephrogenic diabetes insipidus; Drug ineffective</t>
  </si>
  <si>
    <t>Metastases to adrenals; Malignant neoplasm progression; Lung adenocarcinoma; Hypersensitivity; Anaemia</t>
  </si>
  <si>
    <t>Metastases to adrenals</t>
  </si>
  <si>
    <t>Prostate infection; Kidney infection; Loss of consciousness; Oral surgery; Nephrolithiasis</t>
  </si>
  <si>
    <t>Decreased appetite; Pain; Fatigue; Constipation</t>
  </si>
  <si>
    <t>Skin cancer; Balance disorder</t>
  </si>
  <si>
    <t>Paralysis; Illness; Rheumatoid arthritis; Gait inability; Pain</t>
  </si>
  <si>
    <t>Drug intolerance; Hepatic enzyme increased; Drug hypersensitivity</t>
  </si>
  <si>
    <t>Ligament rupture; Condition aggravated; Uveitis; Lower respiratory tract infection; Pneumonia</t>
  </si>
  <si>
    <t>Aspiration; Hyponatraemia; Embolic stroke; Depressed level of consciousness; Cerebrovascular accident</t>
  </si>
  <si>
    <t>Anxiety; Penile pain; Testicular pain; Hypohidrosis; Fatigue</t>
  </si>
  <si>
    <t>Eye operation; Weight increased; Inappropriate schedule of product administration; Circumstance or information capable of leading to medication error; Product dose omission issue</t>
  </si>
  <si>
    <t>Malignant neoplasm progression; Treatment failure</t>
  </si>
  <si>
    <t>Pneumonia; Musculoskeletal stiffness; Limb operation; Arthritis; Tendon pain</t>
  </si>
  <si>
    <t>Platelet count increased; Staphylococcal infection; Drug ineffective; International normalised ratio fluctuation; Bloody discharge</t>
  </si>
  <si>
    <t>Cataract; Off label use; Intentional product use issue; Growth retardation; Oral candidiasis</t>
  </si>
  <si>
    <t>Hepatic vein thrombosis</t>
  </si>
  <si>
    <t>Hemiparesis; Spinal synovial cyst; Throat irritation; Dysgraphia; Hand deformity</t>
  </si>
  <si>
    <t>General physical health deterioration; Melaena; Acute kidney injury; Diarrhoea; Hypotension</t>
  </si>
  <si>
    <t>Pancreatitis acute; Hyponatraemia; Hypokalaemia; Sleep disorder; Condition aggravated</t>
  </si>
  <si>
    <t>Infusion related reaction; Fatigue; Acne; Malaise; Asthenia</t>
  </si>
  <si>
    <t>Foetal exposure during delivery; Foetal distress syndrome</t>
  </si>
  <si>
    <t>PROSTIN E2</t>
  </si>
  <si>
    <t>Pneumocystis jirovecii pneumonia; Neoplasm malignant</t>
  </si>
  <si>
    <t>Foetal exposure during delivery; Bradycardia foetal; Apgar score low</t>
  </si>
  <si>
    <t>Drug hypersensitivity; Liver disorder</t>
  </si>
  <si>
    <t>Palmar-plantar erythrodysaesthesia syndrome; Anaphylactic reaction; Drug tolerance decreased; Malignant neoplasm progression; Metastases to central nervous system</t>
  </si>
  <si>
    <t>Surgery; Nasopharyngitis</t>
  </si>
  <si>
    <t>Dizziness; Fatigue; Increased upper airway secretion; Dysphonia; Cough</t>
  </si>
  <si>
    <t>Foetal exposure during delivery; Foetal heart rate deceleration abnormality</t>
  </si>
  <si>
    <t>Foetal exposure during delivery; Bradycardia foetal</t>
  </si>
  <si>
    <t>Induced Labour</t>
  </si>
  <si>
    <t>Ventricular septal defect; Congenital cardiovascular anomaly; Abortion induced; Truncus arteriosus persistent; Cardiac septal defect</t>
  </si>
  <si>
    <t>Loss of consciousness; Neoplasm malignant; Off label use; Poor venous access; Illness</t>
  </si>
  <si>
    <t>Malaise; Nasopharyngitis; Pyrexia; Memory impairment; Joint range of motion decreased</t>
  </si>
  <si>
    <t>Onycholysis; Leukonychia; Metastases to central nervous system; Palmar-plantar erythrodysaesthesia syndrome; Malignant neoplasm progression</t>
  </si>
  <si>
    <t>Onycholysis</t>
  </si>
  <si>
    <t>Chalazion; Eye pain; Visual impairment; Lacrimation increased; Ocular hyperaemia</t>
  </si>
  <si>
    <t>Diarrhoea; Rash; Alopecia; Eczema; Food allergy</t>
  </si>
  <si>
    <t>Oestradiol decreased; Oestrone decreased; Blood testosterone increased; Hyperoxaluria; Disturbance in attention</t>
  </si>
  <si>
    <t>Oestradiol decreased</t>
  </si>
  <si>
    <t>Dermatomyositis; Haemophagocytic lymphohistiocytosis; Drug ineffective</t>
  </si>
  <si>
    <t>Foetal death; Foetal exposure during pregnancy</t>
  </si>
  <si>
    <t>Off label use; Nasopharyngitis; Paraesthesia; Movement disorder; Fatigue</t>
  </si>
  <si>
    <t>Drug intolerance; Maternal exposure before pregnancy</t>
  </si>
  <si>
    <t>Tooth disorder; Drug ineffective; Therapeutic response shortened; Nasopharyngitis; Oropharyngeal pain</t>
  </si>
  <si>
    <t>Urticaria; Peripheral swelling; Oedema peripheral; Eczema eyelids; Gastrooesophageal reflux disease</t>
  </si>
  <si>
    <t>Maternal exposure before pregnancy; Foetal chromosome abnormality</t>
  </si>
  <si>
    <t>Sepsis; Thrombosis; Multiple allergies; Pulmonary embolism; Product use issue</t>
  </si>
  <si>
    <t>Mood altered; Salivary hypersecretion; Derailment; Eye movement disorder; Disturbance in attention</t>
  </si>
  <si>
    <t>Premature delivery; Pregnancy; Maternal exposure during pregnancy; Exposure during pregnancy; Foetal exposure during pregnancy</t>
  </si>
  <si>
    <t>Anaphylactic reaction; Malignant neoplasm progression; Metastases to central nervous system; Onycholysis; Palmar-plantar erythrodysaesthesia syndrome</t>
  </si>
  <si>
    <t>Maternal exposure during pregnancy; Cleft lip and palate; Congenital anomaly</t>
  </si>
  <si>
    <t>Pituitary apoplexy; Pituitary tumour; Pituitary tumour</t>
  </si>
  <si>
    <t>Back pain; Nephrolithiasis; Pain in extremity; Gait disturbance; Therapeutic response shortened</t>
  </si>
  <si>
    <t>Therapeutic response decreased; Blood pressure systolic increased; Hepatic steatosis; Hypertransaminasaemia; Weight increased</t>
  </si>
  <si>
    <t>Pain in extremity; Arthralgia; Pain</t>
  </si>
  <si>
    <t>Alopecia; Drug hypersensitivity; Drug ineffective</t>
  </si>
  <si>
    <t>Tachypnoea; Maternal exposure during pregnancy</t>
  </si>
  <si>
    <t>Seizure; Blindness; Dementia; Central nervous system lesion; Depression</t>
  </si>
  <si>
    <t>Wound infection; Skin ulcer; Drug ineffective; Therapeutic response shortened; Blood pressure fluctuation</t>
  </si>
  <si>
    <t>Haematochezia; Internal haemorrhage; Haemoglobin decreased</t>
  </si>
  <si>
    <t>Blister; Skin discolouration; Erythema; Cardiovascular disorder; Haemophilus test positive</t>
  </si>
  <si>
    <t>Premature rupture of membranes; Delivery; Upper respiratory tract inflammation; Upper respiratory tract inflammation; Cough variant asthma</t>
  </si>
  <si>
    <t>Therapeutic product effect decreased; Multiple sclerosis relapse</t>
  </si>
  <si>
    <t>Gastric haemorrhage; Off label use</t>
  </si>
  <si>
    <t>Neutropenia; Thrombocytopenia; White blood cell count decreased</t>
  </si>
  <si>
    <t>Platelet count increased; Drug hypersensitivity; Infection; International normalised ratio fluctuation; Therapeutic product effect incomplete</t>
  </si>
  <si>
    <t>Hernia; Rectal haemorrhage; Diarrhoea; Procedural pain; Dysphagia</t>
  </si>
  <si>
    <t>Malignant neoplasm progression; Hyperglycaemia; Fall; Nasal injury; Pruritus</t>
  </si>
  <si>
    <t>Female genital tract fistula; Malignant neoplasm progression; Hypothalamo-pituitary disorder; Osteomyelitis; Sepsis</t>
  </si>
  <si>
    <t>Inflammatory bowel disease; Vascular device infection; Joint swelling; COVID-19; Nasopharyngitis</t>
  </si>
  <si>
    <t>Pancreatitis acute; Withdrawal syndrome; Affect lability; Thinking abnormal; Disturbance in attention</t>
  </si>
  <si>
    <t>Urosepsis; Septic arthritis staphylococcal; Blood creatine phosphokinase increased; Colitis ulcerative; Drug ineffective</t>
  </si>
  <si>
    <t>C-reactive protein increased; Malaise; Malaise; Neck pain; Burn infection</t>
  </si>
  <si>
    <t>Bipolar disorder; Dissociative identity disorder; Postural orthostatic tachycardia syndrome; Gastrooesophageal reflux disease; Post-traumatic stress disorder</t>
  </si>
  <si>
    <t>Hospitalisation; Groin pain; Tooth disorder; Sinus disorder; Urticaria</t>
  </si>
  <si>
    <t>Influenza; Infusion related reaction; Ear discomfort; Illness; Cough</t>
  </si>
  <si>
    <t>Stress; Menstrual discomfort; Viral infection; Hereditary angioedema</t>
  </si>
  <si>
    <t>Skin lesion; Impaired healing; Gastrointestinal infection; Infection; Localised infection</t>
  </si>
  <si>
    <t>Foot fracture; Infarction; Blood pressure decreased; Blood pressure increased; Insomnia</t>
  </si>
  <si>
    <t>Premature baby; Crying; Muscle tone disorder; Sleep disorder; Trismus</t>
  </si>
  <si>
    <t>Akathisia; Leukaemia; Skin laceration; Antipsychotic drug level below therapeutic; Schizoaffective disorder</t>
  </si>
  <si>
    <t>Upper gastrointestinal haemorrhage; Increased upper airway secretion; Somnolence; Hepatic function abnormal; Inappropriate schedule of product administration</t>
  </si>
  <si>
    <t>Nasopharyngitis; Cystitis noninfective; COVID-19; Arthralgia; Inappropriate schedule of product administration</t>
  </si>
  <si>
    <t>Fatigue; Nasopharyngitis; Fatigue; Gait disturbance; Muscular weakness</t>
  </si>
  <si>
    <t>Steroid withdrawal syndrome; Eczema; Drug ineffective</t>
  </si>
  <si>
    <t>Viral upper respiratory tract infection; Headache; Fatigue; Tumour marker abnormal</t>
  </si>
  <si>
    <t>Nephrolithiasis; Lower respiratory tract infection; Type 2 diabetes mellitus; Supraventricular tachycardia; Pyrexia</t>
  </si>
  <si>
    <t>Vision blurred; Osteoporotic fracture; Hypoaesthesia; Asthenia; Osteoporosis</t>
  </si>
  <si>
    <t>Chest injury; Hypokalaemia; Spinal disorder; Osteoporosis; Decreased activity</t>
  </si>
  <si>
    <t>Acute kidney injury; Anaphylactic shock</t>
  </si>
  <si>
    <t>Juvenile Psoriatic Arthritis</t>
  </si>
  <si>
    <t>Actinic keratosis; Photodermatosis; Solar lentigo; Photosensitivity reaction; Dysplastic naevus</t>
  </si>
  <si>
    <t>Lower respiratory tract infection; Respiratory disorder; Peripheral swelling; Night sweats; Back pain</t>
  </si>
  <si>
    <t>Herpes zoster; Hand fracture; Eyelids pruritus; Pyrexia; Chills</t>
  </si>
  <si>
    <t>Eczema; Dermatitis atopic; Urticaria; Rash; Inappropriate schedule of product administration</t>
  </si>
  <si>
    <t>Depression; Insomnia; Cognitive disorder; Confusional state; Product dose omission issue</t>
  </si>
  <si>
    <t>Heart rate irregular; Incorrect dose administered; Product dose omission issue; Insurance issue</t>
  </si>
  <si>
    <t>Drug ineffective; Skin ulcer; Skin ulcer; Skin ulcer; Skin ulcer</t>
  </si>
  <si>
    <t>Colitis ulcerative; Asthenia; Loss of therapeutic response; Therapy non-responder; Off label use</t>
  </si>
  <si>
    <t>Immune-mediated adverse reaction; Arthritis; Hypophysitis</t>
  </si>
  <si>
    <t>Platelet count increased; Secretion discharge; International normalised ratio fluctuation; Bloody discharge; Drug hypersensitivity</t>
  </si>
  <si>
    <t>Acute kidney injury; Proteinuria; Haematuria; Intentional overdose</t>
  </si>
  <si>
    <t>Immune-mediated adverse reaction; Psoriatic arthropathy</t>
  </si>
  <si>
    <t>Immune-mediated adverse reaction; Polyarthritis</t>
  </si>
  <si>
    <t>Immune-mediated adverse reaction; Arthritis</t>
  </si>
  <si>
    <t>Oropharyngeal discomfort; Arthritis; Malaise; Peripheral swelling; Joint swelling</t>
  </si>
  <si>
    <t>Immune-mediated adverse reaction; Dermatitis bullous; Arthritis</t>
  </si>
  <si>
    <t>Immune-mediated adverse reaction; Malignant neoplasm progression; Polyarthritis; Therapy partial responder; Vitiligo</t>
  </si>
  <si>
    <t>Immune-mediated adverse reaction; Arthritis; Thyroiditis</t>
  </si>
  <si>
    <t>Immune-mediated adverse reaction; Malignant neoplasm progression; Polyarthritis; Uveitis; Rash</t>
  </si>
  <si>
    <t>Immune-mediated adverse reaction; Arthritis; Rash</t>
  </si>
  <si>
    <t>Immune-mediated adverse reaction; Malignant neoplasm progression; Arthritis; Rash; Pruritus</t>
  </si>
  <si>
    <t>Immune-mediated adverse reaction; Psoriatic arthropathy; Therapy partial responder</t>
  </si>
  <si>
    <t>Immune-mediated adverse reaction; Myocarditis; Myositis</t>
  </si>
  <si>
    <t>Immune-mediated adverse reaction; Malignant neoplasm progression; Polyarthritis; Type 1 diabetes mellitus; Therapy partial responder</t>
  </si>
  <si>
    <t>Ewing^s sarcoma</t>
  </si>
  <si>
    <t>Pneumonia; Deep vein thrombosis; Thrombosis; Incorrect dose administered; Product closure issue</t>
  </si>
  <si>
    <t>Pancreatic neuroendocrine tumour; Spinal cord compression; Spinal cord neoplasm; Femur fracture; Lymphadenopathy</t>
  </si>
  <si>
    <t>Pancreatic neuroendocrine tumour</t>
  </si>
  <si>
    <t>Plasma cell myeloma; Off label use; Product use in unapproved indication</t>
  </si>
  <si>
    <t>Constipation; Insomnia; Nausea; Shoulder fracture; Lower respiratory tract infection</t>
  </si>
  <si>
    <t>Anaphylactic reaction; Metastases to central nervous system; Palmar-plantar erythrodysaesthesia syndrome; Malignant neoplasm progression; Onycholysis</t>
  </si>
  <si>
    <t>Weight decreased; Eating disorder; Stress; Inappropriate schedule of product administration; Product container issue</t>
  </si>
  <si>
    <t>Abdominal pain upper; Pneumonia escherichia; Pneumonia fungal; Pneumonia pseudomonal; Vascular occlusion</t>
  </si>
  <si>
    <t>Off label use; Nasopharyngitis; Sleep disorder; Arthralgia; Nerve compression</t>
  </si>
  <si>
    <t>Blood potassium decreased; Psychotic disorder; Overdose; Seizure; Hallucination</t>
  </si>
  <si>
    <t>Aggression; Emotional disorder; Increased appetite; Weight increased; Gynaecomastia</t>
  </si>
  <si>
    <t>Hyperhidrosis; Pain in extremity; Muscular weakness; Dysgraphia; Arthralgia</t>
  </si>
  <si>
    <t>Headache; Dizziness; Heart rate increased; Brain fog; Drug effect less than expected</t>
  </si>
  <si>
    <t>Atrioventricular block complete; Nodal rhythm; Cardiac arrest; Electrocardiogram QT prolonged; Acute kidney injury</t>
  </si>
  <si>
    <t>VIRAMUNE</t>
  </si>
  <si>
    <t>Tachycardia; Blood pressure decreased; Body temperature increased; Fatigue; Asthenia</t>
  </si>
  <si>
    <t>Neutropenia; Malignant neoplasm progression; Anaemia; Rash; Hypothyroidism</t>
  </si>
  <si>
    <t>Virologic failure; Pathogen resistance; Drug resistance</t>
  </si>
  <si>
    <t>Labyrinthitis; Cataract; Inflammation; Synovitis; Sinusitis</t>
  </si>
  <si>
    <t>Maternal exposure during pregnancy; Autism spectrum disorder</t>
  </si>
  <si>
    <t>CABERGOLINE</t>
  </si>
  <si>
    <t>Prolactin-Producing Pituitary Tumour</t>
  </si>
  <si>
    <t>Amneal Pharmaceuticals Ny Llc; Teva Pharmaceuticals Usa, Inc.; Mylan Pharmaceuticals Inc.; Sola Pharmaceuticals, Llc; Strides Pharma Science Limited</t>
  </si>
  <si>
    <t>Ergot Derivative [EPC]</t>
  </si>
  <si>
    <t>Maternal exposure during pregnancy; Seizure</t>
  </si>
  <si>
    <t>Illness; Respiratory tract infection; Sinusitis; Upper respiratory tract infection; Body temperature increased</t>
  </si>
  <si>
    <t>Nasopharyngitis; Dizziness; Arthralgia; Blood glucose increased; Off label use</t>
  </si>
  <si>
    <t>Fatigue; Nasopharyngitis; Gait disturbance; Drug ineffective; Arthralgia</t>
  </si>
  <si>
    <t>Impaired gastric emptying; Drug ineffective; Poor quality product administered; Intentional product misuse; Hypoglycaemia</t>
  </si>
  <si>
    <t>Colorectal cancer; Drug ineffective; Cytomegalovirus infection; Cholangitis; Colitis ulcerative</t>
  </si>
  <si>
    <t>Toxicity to various agents; Coordination abnormal; Motor dysfunction; Speech disorder; Salivary hypersecretion</t>
  </si>
  <si>
    <t>Suicidal ideation; Spinal cord injury; Nerve injury; Insomnia; Fatigue</t>
  </si>
  <si>
    <t>Leukopenia; Pancytopenia; Anaemia; Anal pruritus; Therapeutic product effect incomplete</t>
  </si>
  <si>
    <t>Cough; Nasopharyngitis; Therapeutic response decreased; Urticaria; Wrong technique in product usage process</t>
  </si>
  <si>
    <t>Cerebral infarction; Brain stem haemorrhage</t>
  </si>
  <si>
    <t>Hepatotoxicity; Hepatic enzyme increased</t>
  </si>
  <si>
    <t>Stomatitis; Fatigue; Malaise</t>
  </si>
  <si>
    <t>Neutropenia; Dyspepsia; Nasopharyngitis</t>
  </si>
  <si>
    <t>Diarrhoea; Abdominal pain upper; Body temperature fluctuation; Heart rate increased; Flatulence</t>
  </si>
  <si>
    <t>Fall; Wrist fracture; Peripheral swelling; Memory impairment; Arthritis</t>
  </si>
  <si>
    <t>Spinal cord neoplasm; Back pain; Gastrointestinal pain; Pneumonia; Sepsis</t>
  </si>
  <si>
    <t>Cerebral infarction; Arthritis; Arthralgia</t>
  </si>
  <si>
    <t>Endocarditis; Pyrexia; Chills; Headache; Asthenia</t>
  </si>
  <si>
    <t>Neutropenia; Cytomegalovirus infection reactivation; Fusarium infection</t>
  </si>
  <si>
    <t>General physical health deterioration; Dyspnoea at rest; Respiratory failure; Drug ineffective; Maternal exposure during pregnancy</t>
  </si>
  <si>
    <t>Fatigue; Nasopharyngitis; Fatigue; Nephritis; Infection</t>
  </si>
  <si>
    <t>CD19 lymphocytes decreased; Inappropriate schedule of product administration; Myopia; Rash pruritic; COVID-19</t>
  </si>
  <si>
    <t>CD19 lymphocytes decreased</t>
  </si>
  <si>
    <t>Anaphylactic reaction; Anaphylactoid reaction; Asthenia; Axillary pain; Dizziness</t>
  </si>
  <si>
    <t>Illness; Abdominal discomfort; Systemic lupus erythematosus; Condition aggravated; Flatulence</t>
  </si>
  <si>
    <t>Gambling disorder; Ankle fracture; Alcoholism; Nicotine dependence; Emotional poverty</t>
  </si>
  <si>
    <t>Vomiting; Drug ineffective; Therapeutic product effect delayed</t>
  </si>
  <si>
    <t>Death; Generalised tonic-clonic seizure; Ischaemic stroke</t>
  </si>
  <si>
    <t>Lower limb fracture; Speech disorder; Illness; Malaise</t>
  </si>
  <si>
    <t>No adverse event; Product use issue</t>
  </si>
  <si>
    <t>Plasma cell myeloma; Renal impairment; Bladder disorder</t>
  </si>
  <si>
    <t>Adverse event; Nasopharyngitis; Immune system disorder; Malaise; Memory impairment</t>
  </si>
  <si>
    <t>Achlorhydria; Prescription drug used without a prescription; Malabsorption; Vitamin B12 deficiency; Therapeutic response changed</t>
  </si>
  <si>
    <t>Achlorhydria</t>
  </si>
  <si>
    <t>Mast cell activation syndrome; Cardiac arrest; Myocardial infarction; Inflammation; Angina pectoris</t>
  </si>
  <si>
    <t>Respiratory failure; Acute kidney injury; Off label use</t>
  </si>
  <si>
    <t>Leukopenia; Neutropenia; Asthenia; Decreased appetite; Nausea</t>
  </si>
  <si>
    <t>Lower respiratory tract infection; Herpes zoster; Pain; Joint swelling; Rash</t>
  </si>
  <si>
    <t>Hyperhidrosis; Renal impairment</t>
  </si>
  <si>
    <t>Feeling hot; COVID-19; Upper respiratory tract infection; Pain in extremity; Vitamin B complex deficiency</t>
  </si>
  <si>
    <t>Eating disorder; Pyrexia; Vomiting; Gastroenteritis; Fluid intake reduced</t>
  </si>
  <si>
    <t>Bone marrow failure; Cerebral aspergillosis; Neutropenia</t>
  </si>
  <si>
    <t>Dry skin; Faecaloma; Hypokalaemia; Diarrhoea; Peripheral sensory neuropathy</t>
  </si>
  <si>
    <t>Ocular hyperaemia; Arthralgia; Conjunctivitis; Product use in unapproved indication</t>
  </si>
  <si>
    <t>Dermal cyst; Gastrointestinal inflammation; Heart rate increased; Blood pressure increased; Crohn^s disease</t>
  </si>
  <si>
    <t>Cardiomegaly; Decreased immune responsiveness; Full blood count decreased; White blood cell count decreased; Haemoglobin decreased</t>
  </si>
  <si>
    <t>Oral lichen planus; Oral disorder; Papule; Pruritus</t>
  </si>
  <si>
    <t>Sleep disorder; Vomiting</t>
  </si>
  <si>
    <t>Alopecia; Mood altered; Malaise; Bone pain; Arthralgia</t>
  </si>
  <si>
    <t>Crohn^s disease; Product use in unapproved indication</t>
  </si>
  <si>
    <t>Intestinal stenosis; Crohn^s disease</t>
  </si>
  <si>
    <t>Cystitis haemorrhagic; Acute graft versus host disease in intestine; Disseminated intravascular coagulation; Graft versus host disease in gastrointestinal tract; Hepatic failure</t>
  </si>
  <si>
    <t>Incorrect route of product administration; Wrong product administered; Product packaging confusion; Myoclonus; Seizure</t>
  </si>
  <si>
    <t>Peritonsillar abscess; Leukopenia; Neutropenia; Disease progression; Hypertension</t>
  </si>
  <si>
    <t>Colitis ulcerative; Haemorrhoids</t>
  </si>
  <si>
    <t>Neutropenia; Thrombocytopenia; Acute kidney injury; Drug interaction; Mucosal inflammation</t>
  </si>
  <si>
    <t>Mucosal inflammation; Mucosal inflammation; Thrombocytopenia; Neutropenia; Neurotoxicity</t>
  </si>
  <si>
    <t>Neutropenia; Thrombocytopenia; Acute kidney injury; Clostridium difficile colitis; Mucosal inflammation</t>
  </si>
  <si>
    <t>Death; Pancytopenia; Malignant neoplasm progression</t>
  </si>
  <si>
    <t>Thrombocytopenia; Neutropenia; Acute kidney injury; Mucosal inflammation; Drug interaction</t>
  </si>
  <si>
    <t>Drug ineffective; Fatigue; Transaminases increased</t>
  </si>
  <si>
    <t>Blood pressure increased; Injection site discolouration; Injection site hypersensitivity; Dry skin; Weight increased</t>
  </si>
  <si>
    <t>Foetal exposure during delivery; Hypoventilation neonatal; Neuromuscular blockade</t>
  </si>
  <si>
    <t>SUCCINYLCHOLINE CHLORIDE</t>
  </si>
  <si>
    <t>SUCCINYLCHOLINE CHLORIDE; ANECTINE; QUELICIN</t>
  </si>
  <si>
    <t>Baxter Healthcare Corporation; Zydus Lifesciences Limited; Fresenius Kabi Usa Llc; Be Pharmaceuticals Inc.; Zydus Pharmaceuticals Usa Inc.</t>
  </si>
  <si>
    <t>Lung neoplasm malignant; Pain; Musculoskeletal disorder; Urticaria; Nasopharyngitis</t>
  </si>
  <si>
    <t>Cerebrovascular accident; Haemorrhage intracranial; Cerebral haemorrhage; Hemianopia; Seizure</t>
  </si>
  <si>
    <t>Maternal exposure during pregnancy; Exposure via breast milk; Poor sucking reflex; Illness; Withdrawal syndrome</t>
  </si>
  <si>
    <t>Haemolysis; Coombs direct test positive; Haemolysis</t>
  </si>
  <si>
    <t>Haemolysis; Coombs direct test positive</t>
  </si>
  <si>
    <t>Pulmonary thrombosis; Lower respiratory tract infection; Pulmonary oedema; Hypoxia; Platelet count increased</t>
  </si>
  <si>
    <t>Device dislocation; No adverse event</t>
  </si>
  <si>
    <t>Trisomy 18; Foetal exposure via father; Foetal exposure during pregnancy</t>
  </si>
  <si>
    <t>Trisomy 18</t>
  </si>
  <si>
    <t>Asthma; Full blood count abnormal; Drug dependence; Disease recurrence; Dyspnoea</t>
  </si>
  <si>
    <t>Diarrhoea; Hyperhidrosis; Feeling hot; Tension; Feeling of body temperature change</t>
  </si>
  <si>
    <t>Skin infection; Candida infection; Herpes simplex; Herpes zoster; Wound infection</t>
  </si>
  <si>
    <t>Drug hypersensitivity; Drug ineffective; Product substitution issue</t>
  </si>
  <si>
    <t>Drug ineffective; Product dose omission issue; Fear of injection; Condition aggravated; Upper respiratory tract infection</t>
  </si>
  <si>
    <t>Agranulocytosis; Device related infection; Endocarditis; Venous thrombosis; Pyrexia</t>
  </si>
  <si>
    <t>Systemic lupus erythematosus; Illness; Weight decreased; Influenza; COVID-19</t>
  </si>
  <si>
    <t>Cholestasis; Nausea; Arthropathy; Malaise</t>
  </si>
  <si>
    <t>Bronchitis; Pneumonia; Post procedural complication; Influenza; Pulmonary embolism</t>
  </si>
  <si>
    <t>Chronic kidney disease; Fracture; Osteoporosis; Femur fracture; Emotional distress</t>
  </si>
  <si>
    <t>Choking; Sensation of foreign body; Coeliac artery stenosis; Migraine; Stress</t>
  </si>
  <si>
    <t>Multiple sclerosis; Depression; Headache</t>
  </si>
  <si>
    <t>C-reactive protein increased; Colitis; Clostridium difficile infection; Heart rate increased; Colitis</t>
  </si>
  <si>
    <t>Amoebiasis; Limb injury; Skeletal injury; Skin fissures; Fall</t>
  </si>
  <si>
    <t>Amoebiasis</t>
  </si>
  <si>
    <t>Hypoacusis; Labyrinthitis; Malaise; Off label use</t>
  </si>
  <si>
    <t>Rash vesicular; Pyrexia; Joint effusion; Fluid retention; Skin disorder</t>
  </si>
  <si>
    <t>Gallbladder disorder; Injection site erythema; Injection site swelling; Cholelithiasis</t>
  </si>
  <si>
    <t>Chest pain; Coronary artery occlusion; Procedural complication</t>
  </si>
  <si>
    <t>Atrioventricular septal defect; Fallot^s tetralogy; Transposition of the great vessels; Ventricular septal defect; Heart disease congenital</t>
  </si>
  <si>
    <t>Atrioventricular septal defect</t>
  </si>
  <si>
    <t>Pleural effusion; Pneumonitis; Drug intolerance; Neutropenia; Leukopenia</t>
  </si>
  <si>
    <t>Asthma; Parotitis; NSAID exacerbated respiratory disease; Nasal polyps; Eczema</t>
  </si>
  <si>
    <t>Throat tightness; Chest discomfort; Musculoskeletal stiffness; Chest pain</t>
  </si>
  <si>
    <t>Inappropriate schedule of product administration; Nasopharyngitis</t>
  </si>
  <si>
    <t>Transient ischaemic attack; Influenza like illness; Product dose omission issue</t>
  </si>
  <si>
    <t>COVID-19; COVID-19; Incorrect dose administered</t>
  </si>
  <si>
    <t>Chronic kidney disease; Blood creatinine increased; Asthenia; Nephrolithiasis; Nephrolithiasis</t>
  </si>
  <si>
    <t>Hair texture abnormal; Arthralgia; Red blood cell sedimentation rate increased; Condition aggravated</t>
  </si>
  <si>
    <t>Gastrointestinal obstruction; Crohn^s disease; Abdominal pain; Off label use; Malaise</t>
  </si>
  <si>
    <t>Disturbance in attention; Feeling drunk; Dizziness; Fatigue</t>
  </si>
  <si>
    <t>Pneumonia; Prostatic disorder; Respiratory failure; Hip fracture; Crohn^s disease</t>
  </si>
  <si>
    <t>Sepsis; Acute myocardial infarction; Headache; Chromaturia; Confusional state</t>
  </si>
  <si>
    <t>Herpes simplex hepatitis; Cholecystitis; Drug-induced liver injury; Abdominal sepsis</t>
  </si>
  <si>
    <t>Herpes simplex hepatitis</t>
  </si>
  <si>
    <t>Throat cancer; Oesophageal fistula; Tetany; Blood calcium decreased; Paraesthesia</t>
  </si>
  <si>
    <t>Precancerous lesion excision; Sleep apnoea syndrome; Blood pressure abnormal; Weight increased</t>
  </si>
  <si>
    <t>Precancerous lesion excision</t>
  </si>
  <si>
    <t>Abortion spontaneous; Pregnancy; Insurance issue; Product use issue</t>
  </si>
  <si>
    <t>Hand fracture; Eye pain; Illness; Obstructive airways disorder; Bone density decreased</t>
  </si>
  <si>
    <t>Progressive multifocal leukoencephalopathy; Speech disorder; Dizziness; Mental impairment; Cardiac arrest</t>
  </si>
  <si>
    <t>Foetal exposure during pregnancy; Small for dates baby</t>
  </si>
  <si>
    <t>Angioedema; Swollen tongue; Eye swelling; Lip swelling; Somnolence</t>
  </si>
  <si>
    <t>Off label use; Anaplastic ganglioglioma</t>
  </si>
  <si>
    <t>Ganglioglioma</t>
  </si>
  <si>
    <t>Asthenia; Abdominal discomfort; Ovarian cancer; Large intestinal obstruction; Hypertension</t>
  </si>
  <si>
    <t>Completed suicide; Potentiating drug interaction; Overdose; Toxicity to various agents</t>
  </si>
  <si>
    <t>Drug hypersensitivity; Renal disorder</t>
  </si>
  <si>
    <t>Drug hypersensitivity; Skin exfoliation</t>
  </si>
  <si>
    <t>Plasma cell myeloma; Fatigue; Dyspnoea; Cataract; Product use issue</t>
  </si>
  <si>
    <t>Lower respiratory tract infection; Dyspnoea; Illness; Cough; Influenza</t>
  </si>
  <si>
    <t>Tooth disorder; Tooth fracture; Fear of eating; Toothache; Eating disorder</t>
  </si>
  <si>
    <t>Paraesthesia; Insomnia; Therapy partial responder; Product use in unapproved indication; Intentional product misuse</t>
  </si>
  <si>
    <t>Pneumonia; Syncope; Pyrexia; Back pain; Productive cough</t>
  </si>
  <si>
    <t>Abdominal distension; Abdominal pain; Asthma; Full blood count abnormal; Constipation</t>
  </si>
  <si>
    <t>Macular degeneration; Nausea; Drug ineffective; Paraesthesia oral; Procedural pain</t>
  </si>
  <si>
    <t>Multiple fractures; Osteonecrosis; Osteoporosis; Renal injury; Bone density decreased</t>
  </si>
  <si>
    <t>Foot operation; Illness; Pain in extremity; Peripheral swelling; COVID-19</t>
  </si>
  <si>
    <t>Pneumonia; Blood pressure increased; Weight decreased; Temperature intolerance; COVID-19</t>
  </si>
  <si>
    <t>Metabolic surgery; COVID-19; Systemic lupus erythematosus; Asthenia; Swelling</t>
  </si>
  <si>
    <t>Drug ineffective for unapproved indication; Product use in unapproved indication</t>
  </si>
  <si>
    <t>Infusion related reaction; Nasopharyngitis; Feeling of relaxation; Loss of personal independence in daily activities; Depressed mood</t>
  </si>
  <si>
    <t>Tonsillitis; Concomitant disease aggravated; Influenza; Erythema infectiosum; Pseudolymphoma</t>
  </si>
  <si>
    <t>Drug reaction with eosinophilia and systemic symptoms; Hepatocellular injury; Acute kidney injury; Rash pruritic; Eosinophilia</t>
  </si>
  <si>
    <t>Maternal exposure during pregnancy; Brachycephaly</t>
  </si>
  <si>
    <t>Diabetic metabolic decompensation; Metastases to lung; Diarrhoea</t>
  </si>
  <si>
    <t>Application site scar; Application site haemorrhage; Application site burn; Breast cancer; Systemic lupus erythematosus</t>
  </si>
  <si>
    <t>Congenital genitourinary abnormality; Foetal exposure during pregnancy</t>
  </si>
  <si>
    <t>Congenital genitourinary abnormality</t>
  </si>
  <si>
    <t>Urinary tract malformation; Foetal exposure during pregnancy</t>
  </si>
  <si>
    <t>Urinary tract malformation</t>
  </si>
  <si>
    <t>Respiratory tract malformation; Foetal exposure during pregnancy</t>
  </si>
  <si>
    <t>Respiratory tract malformation</t>
  </si>
  <si>
    <t>Cytomegalovirus chorioretinitis; Graft versus host disease in gastrointestinal tract; Acute graft versus host disease in skin; Cytomegalovirus infection; Retinal haemorrhage</t>
  </si>
  <si>
    <t>Blindness; Type IIa hyperlipidaemia; Vitreous degeneration; Endophthalmitis; Non-infectious endophthalmitis</t>
  </si>
  <si>
    <t>Pneumonia; COVID-19; Cholecystitis infective; Epistaxis; Arrhythmia</t>
  </si>
  <si>
    <t>Renal impairment; Stoma complication; Peritonitis; Abdominal pain; Muscle rupture</t>
  </si>
  <si>
    <t>Drug reaction with eosinophilia and systemic symptoms; Rash pruritic; Eosinophilia; Toxic skin eruption; Hepatocellular injury</t>
  </si>
  <si>
    <t>Angioedema; Drug ineffective</t>
  </si>
  <si>
    <t>Intentional product use issue; Drug abuse; Rhinorrhoea; Feeling of body temperature change; Drug dependence</t>
  </si>
  <si>
    <t>Haematochezia; Intracardiac mass; Crohn^s disease; Chronic obstructive pulmonary disease; Abdominal pain upper</t>
  </si>
  <si>
    <t>Intestinal obstruction; Crohn^s disease; Inflammation; Bowel movement irregularity; Gastrointestinal ulcer</t>
  </si>
  <si>
    <t>Meningitis viral; Upper limb fracture; Bronchitis; Tooth infection; Product dose omission issue</t>
  </si>
  <si>
    <t>Anaphylactic reaction; Stress; Injury; Swollen tongue; Swelling face</t>
  </si>
  <si>
    <t>Tremor; Myelosuppression; Drug interaction; Hyperkalaemia; Neutropenia</t>
  </si>
  <si>
    <t>Small intestine operation; Sensation of foreign body; Speech disorder</t>
  </si>
  <si>
    <t>Small intestine operation</t>
  </si>
  <si>
    <t>Localised infection; Sinusitis; Infusion related reaction; Product dose omission issue; Infusion site bruising</t>
  </si>
  <si>
    <t>Epistaxis; Skin laceration; Haemorrhage; Gingival bleeding; Haemarthrosis</t>
  </si>
  <si>
    <t>Sinusitis; Off label use; Respiratory tract infection; Nasopharyngitis; Rash</t>
  </si>
  <si>
    <t>Cardiac operation; Nausea; Vomiting</t>
  </si>
  <si>
    <t>Abdominal abscess; Inappropriate schedule of product administration</t>
  </si>
  <si>
    <t>Abdominal pain upper; Wheezing; Malaise; Anxiety; Asthma</t>
  </si>
  <si>
    <t>Shoulder fracture; Arthritis; Sensitivity to weather change</t>
  </si>
  <si>
    <t>Alport^s syndrome; Glomerulonephritis; Urine protein/creatinine ratio increased</t>
  </si>
  <si>
    <t>Alport^s syndrome</t>
  </si>
  <si>
    <t>Constipation; Coombs positive haemolytic anaemia; Haemolysis; Hepatic enzyme increased; Infusion related reaction</t>
  </si>
  <si>
    <t>Alopecia; Psoriasis; Psoriatic arthropathy</t>
  </si>
  <si>
    <t>Trismus; Drug withdrawal syndrome neonatal; Premature baby; Crying; Muscle tone disorder</t>
  </si>
  <si>
    <t>Fulminant type 1 diabetes mellitus; Adrenocortical insufficiency acute; Sepsis; Hypothyroidism; Adrenocorticotropic hormone deficiency</t>
  </si>
  <si>
    <t>Cholangitis sclerosing; Colitis</t>
  </si>
  <si>
    <t>Growth disorder; Intentional product misuse</t>
  </si>
  <si>
    <t>Bell^s palsy; Ear pain; Vision blurred; Facial paresis; Blood pressure systolic increased</t>
  </si>
  <si>
    <t>Alopecia; Insulin-like growth factor decreased; Injection site pain; Injection site bruising; Product dose omission issue</t>
  </si>
  <si>
    <t>Post procedural fistula; Skin candida</t>
  </si>
  <si>
    <t>Post procedural fistula</t>
  </si>
  <si>
    <t>Foetal exposure during pregnancy; Cerebral ventricle dilatation</t>
  </si>
  <si>
    <t>Blindness unilateral; Drug dependence; Therapeutic product effect incomplete; Fatigue; Weight decreased</t>
  </si>
  <si>
    <t>Vascular device infection; Skin laceration; Catheter site swelling; Vomiting</t>
  </si>
  <si>
    <t>VON WILLEBRAND FACTOR (RECOMBINANT)</t>
  </si>
  <si>
    <t>Product dose omission issue; Sinusitis</t>
  </si>
  <si>
    <t>GENTAMICIN SULFATE</t>
  </si>
  <si>
    <t>GENTAMICIN SULFATE; GENTAMICIN SULFATE IN SODIUM CHLORIDE; GENTAMICIN</t>
  </si>
  <si>
    <t>Cosette Pharmaceuticals, Inc.; Baxter Healthcare Corporation; Padagis Israel Pharmaceuticals Ltd; Bausch &amp; Lomb Incorporated; Hospira, Inc.</t>
  </si>
  <si>
    <t>Infusion related reaction; Skin plaque; Sinus congestion; Lip discolouration; Sinus pain</t>
  </si>
  <si>
    <t>Myocardial ischaemia; Respiratory failure; Metabolic encephalopathy; Sepsis</t>
  </si>
  <si>
    <t>Prescribed underdose; Relapsing multiple sclerosis</t>
  </si>
  <si>
    <t>Encephalopathy; Infection; Cardiac failure congestive; Sepsis; Oedema</t>
  </si>
  <si>
    <t>Pulmonary embolism; Dyspnoea; Off label use</t>
  </si>
  <si>
    <t>Optic perineuritis</t>
  </si>
  <si>
    <t>Malignant neoplasm progression; Renal impairment; Diarrhoea; Pyrexia; Rash</t>
  </si>
  <si>
    <t>Malaise; Chills; Pyrexia; Lethargy; Fatigue</t>
  </si>
  <si>
    <t>Pneumonia; Asthma; Loss of personal independence in daily activities</t>
  </si>
  <si>
    <t>Fatigue; Nasopharyngitis; Gait disturbance; Infection; Middle insomnia</t>
  </si>
  <si>
    <t>Hallucination; Contraindicated product administered; Fear; Drug hypersensitivity</t>
  </si>
  <si>
    <t>Headache; Meningitis aseptic; Viral infection; Device infusion issue; Treatment noncompliance</t>
  </si>
  <si>
    <t>Systemic lupus erythematosus; Dupuytren^s contracture; Communication disorder; Illness</t>
  </si>
  <si>
    <t>Road traffic accident; Cerebrovascular accident; Brain injury; Migraine; Vision blurred</t>
  </si>
  <si>
    <t>Renal impairment; Hyperkalaemia; Gastroenteritis; Diarrhoea</t>
  </si>
  <si>
    <t>Rectal cancer; Colorectal adenoma</t>
  </si>
  <si>
    <t>Hallucination, olfactory; Hallucination, auditory; Hallucination; Mental impairment; Delusion</t>
  </si>
  <si>
    <t>Hallucination, olfactory</t>
  </si>
  <si>
    <t>Croup infectious; Presyncope; Tympanic membrane perforation; Illness; Product dose omission issue</t>
  </si>
  <si>
    <t>Brain stem syndrome; Thrombosis; Drug ineffective; Off label use</t>
  </si>
  <si>
    <t>Brain stem syndrome</t>
  </si>
  <si>
    <t>PYRIDOSTIGMINE BROMIDE ORAL</t>
  </si>
  <si>
    <t>PYRIDOSTIGMINE</t>
  </si>
  <si>
    <t>Novitium Pharma Llc</t>
  </si>
  <si>
    <t>Fanconi syndrome acquired; Off label use</t>
  </si>
  <si>
    <t>Cough; Rash; Product dose omission issue; Angioedema; Impaired healing</t>
  </si>
  <si>
    <t>Cellulitis; Erythema; Fatigue; Dizziness; Contusion</t>
  </si>
  <si>
    <t>Weight increased; Rash; Abdominal discomfort; Headache; Rash pruritic</t>
  </si>
  <si>
    <t>Gastrointestinal infection; Diarrhoea; Asthenia; Gastrointestinal inflammation; Intestinal perforation</t>
  </si>
  <si>
    <t>Atrial fibrillation; Cardiac disorder; Fall; Back injury; Hip arthroplasty</t>
  </si>
  <si>
    <t>Dacryostenosis acquired; Chills; Multiple sclerosis; Gait disturbance; Trigeminal neuralgia</t>
  </si>
  <si>
    <t>Fall; Head injury; Intentional overdose; Balance disorder; Overdose</t>
  </si>
  <si>
    <t>Drug hypersensitivity; Infection</t>
  </si>
  <si>
    <t>Dizziness; Visual impairment; Fatigue; Paraesthesia; Oral herpes</t>
  </si>
  <si>
    <t>Malaise; Pain; Asthenia; Off label use; Illness</t>
  </si>
  <si>
    <t>Spinal disorder; Condition aggravated</t>
  </si>
  <si>
    <t>Nasal congestion; Rhinorrhoea; Sinusitis; Headache; Injection site pruritus</t>
  </si>
  <si>
    <t>Venoocclusive liver disease; Pulmonary alveolar haemorrhage; Pollakiuria; Off label use</t>
  </si>
  <si>
    <t>Neuropathy peripheral; Blindness; Cone-rod dystrophy; Gait disturbance; Balance disorder</t>
  </si>
  <si>
    <t>Cataract; Visual impairment</t>
  </si>
  <si>
    <t>Diabetes mellitus; Product packaging difficult to open; Product blister packaging issue</t>
  </si>
  <si>
    <t>Prescribed underdose; Headache; Hepatic enzyme increased</t>
  </si>
  <si>
    <t>Gait inability; Dyspnoea; Asthenia</t>
  </si>
  <si>
    <t>Cognitive disorder; Drug ineffective; Nasopharyngitis; Faeces discoloured; Faeces soft</t>
  </si>
  <si>
    <t>Pulmonary thrombosis; Thrombosis; Hypoacusis; Frustration tolerance decreased; Condition aggravated</t>
  </si>
  <si>
    <t>Foetal heart rate deceleration abnormality; Foetal exposure during delivery</t>
  </si>
  <si>
    <t>Foetal heart rate deceleration abnormality</t>
  </si>
  <si>
    <t>International normalised ratio increased; Drug ineffective</t>
  </si>
  <si>
    <t>Product use issue; Insurance issue; Hypersensitivity</t>
  </si>
  <si>
    <t>Renal impairment; Diverticulitis; Arthralgia; Rosacea; Alopecia</t>
  </si>
  <si>
    <t>Depression; Agitation; Confusional state; Fatigue; Malaise</t>
  </si>
  <si>
    <t>Cerebrovascular accident; Constipation; Nocturia; Incorrect dose administered</t>
  </si>
  <si>
    <t>Gastrointestinal Inflammation</t>
  </si>
  <si>
    <t>Knee arthroplasty; Drug ineffective</t>
  </si>
  <si>
    <t>Angioedema; Drug hypersensitivity; Foot fracture; Hepatic steatosis; Urticaria</t>
  </si>
  <si>
    <t>Anaphylactic reaction; Pneumonia; Lower respiratory tract infection; Monoplegia; Dysphagia</t>
  </si>
  <si>
    <t>Hip fracture; Hip fracture; Hip fracture; Fall; Shoulder fracture</t>
  </si>
  <si>
    <t>Hypoacusis; COVID-19; Oedema peripheral</t>
  </si>
  <si>
    <t>Abscess intestinal; Abscess; Crohn^s disease; Off label use</t>
  </si>
  <si>
    <t>Pneumonia; Illness; Heart rate decreased; Bone pain; Dyspnoea exertional</t>
  </si>
  <si>
    <t>Insomnia; Pollakiuria; Hyperthyroidism; Dehydration; Diarrhoea</t>
  </si>
  <si>
    <t>Panic reaction; Frustration tolerance decreased; Affective disorder; Abdominal pain upper; Irritability</t>
  </si>
  <si>
    <t>Septic shock; Sepsis; Scrotal abscess; Failure to thrive; Malnutrition</t>
  </si>
  <si>
    <t>Fanconi syndrome; Off label use</t>
  </si>
  <si>
    <t>Prostatic disorder; Nasopharyngitis; Seasonal allergy; Insurance issue; Product use issue</t>
  </si>
  <si>
    <t>Cataract; Autoimmune thyroiditis; COVID-19; Weight increased; Joint injury</t>
  </si>
  <si>
    <t>Cellulitis; Ophthalmic herpes zoster; Somnolence; Influenza like illness; Diplopia</t>
  </si>
  <si>
    <t>Pneumonia; Knee arthroplasty; Procedural pain; Arthralgia; Angina pectoris</t>
  </si>
  <si>
    <t>Abdominal pain upper; Abdominal neoplasm; Pyrexia; Musculoskeletal chest pain; Chills</t>
  </si>
  <si>
    <t>Herpes zoster; COVID-19; Cough; Malaise; Illness</t>
  </si>
  <si>
    <t>Pneumonia; COVID-19; Illness; Nasopharyngitis; Bronchitis</t>
  </si>
  <si>
    <t>Weight increased; Lip oedema; Hyponatraemia; Pneumonia; Lower respiratory tract infection</t>
  </si>
  <si>
    <t>Haemorrhage; Haemarthrosis; Femur fracture; Large intestine polyp; Back pain</t>
  </si>
  <si>
    <t>Bradycardia; Sedation; Dissociation</t>
  </si>
  <si>
    <t>Maternal exposure during pregnancy; Developmental hip dysplasia</t>
  </si>
  <si>
    <t>Maternal exposure during pregnancy; Dacryostenosis congenital</t>
  </si>
  <si>
    <t>Foetal disorder; Foetal renal impairment; Foetal exposure during pregnancy</t>
  </si>
  <si>
    <t>Acute graft versus host disease in intestine; Acute graft versus host disease in skin; Bronchopulmonary aspergillosis; Chronic graft versus host disease; Enamel anomaly</t>
  </si>
  <si>
    <t>Infection; Malnutrition; Mass; Crohn^s disease; Pneumonia</t>
  </si>
  <si>
    <t>Haemorrhage; Muscle haemorrhage; Haemarthrosis; Contusion; Fall</t>
  </si>
  <si>
    <t>Pancreatitis; Pneumonia; Serous retinal detachment; Uveitis; Hypothyroidism</t>
  </si>
  <si>
    <t>Nephrolithiasis; Pain in extremity; Squamous cell carcinoma; Basal cell carcinoma; Post procedural haemorrhage</t>
  </si>
  <si>
    <t>Mental impairment; Dysgeusia; Malaise; Visual impairment; Drug hypersensitivity</t>
  </si>
  <si>
    <t>Cataract; Upper-airway cough syndrome; Condition aggravated; Dyspepsia; Off label use</t>
  </si>
  <si>
    <t>Dementia; Malaise; Off label use; Product prescribing error</t>
  </si>
  <si>
    <t>Dizziness; Vertigo; Nausea; Constipation; Anxiety</t>
  </si>
  <si>
    <t>Haemorrhage intracranial; Smooth muscle cell neoplasm; Epstein-Barr virus infection; Gastric ulcer; Multiple organ dysfunction syndrome</t>
  </si>
  <si>
    <t>Hot flush; Vulvovaginal pain</t>
  </si>
  <si>
    <t>Fatigue; Headache; Nausea; Infusion related reaction; Cough</t>
  </si>
  <si>
    <t>Pneumonia; Blood pressure increased; Pain in extremity; Musculoskeletal stiffness; Erythema</t>
  </si>
  <si>
    <t>Cerebrovascular accident; Rash; Anxiety; Confusional state</t>
  </si>
  <si>
    <t>Osteoporosis; Multiple fractures; Osteopenia; Bone density decreased; Pain</t>
  </si>
  <si>
    <t>Developmental hip dysplasia; Maternal exposure during pregnancy; Dacryostenosis congenital</t>
  </si>
  <si>
    <t>Multiple organ dysfunction syndrome; Septic shock; Acute respiratory distress syndrome; Superinfection viral; Metapneumovirus infection</t>
  </si>
  <si>
    <t>Skin cancer; Hypersomnia; Device issue; Product dose omission issue; Sinusitis</t>
  </si>
  <si>
    <t>Neutropenia; Muscular weakness; Myopathy; Metabolic disorder</t>
  </si>
  <si>
    <t>Cerebrovascular accident; Renal artery dissection; Off label use; Intentional product misuse; Feeling abnormal</t>
  </si>
  <si>
    <t>Fatigue; Blood pressure decreased; Body temperature decreased; Oral herpes; Chills</t>
  </si>
  <si>
    <t>Osteoporosis; Osteonecrosis; Bone loss; Osteopenia; Tooth fracture</t>
  </si>
  <si>
    <t>Osteoporosis; Renal failure; Bone density decreased; Economic problem; Emotional distress</t>
  </si>
  <si>
    <t>Pruritus; Throat irritation; Erythema; Dry throat; Rash</t>
  </si>
  <si>
    <t>Arrhythmia; Influenza; Vomiting; Multimorbidity; Depression</t>
  </si>
  <si>
    <t>Drug ineffective; Multiple sclerosis relapse; Multiple sclerosis</t>
  </si>
  <si>
    <t>Ileal ulcer; Condition aggravated; Drug ineffective; Fatigue; Blood pressure increased</t>
  </si>
  <si>
    <t>Pruritus; Feeling abnormal; Muscle spasms</t>
  </si>
  <si>
    <t>Respiratory tract infection; Systemic candida; Adrenal insufficiency; Dysphonia; Bronchitis</t>
  </si>
  <si>
    <t>Fall; Poisoning; Urine alcohol test positive; Drug screen positive; Abscess limb</t>
  </si>
  <si>
    <t>Thinking abnormal; Decreased immune responsiveness; Hypertension; Hot flush</t>
  </si>
  <si>
    <t>Haematochezia; Abdominal pain</t>
  </si>
  <si>
    <t>Angioedema; Wrist fracture; Infection; Swelling; Diarrhoea</t>
  </si>
  <si>
    <t>Skin fissures; Skin haemorrhage; Burning sensation; Drug effective for unapproved indication; Off label use</t>
  </si>
  <si>
    <t>Anal fistula; Drug level decreased; Therapeutic reaction time decreased</t>
  </si>
  <si>
    <t>Dyspnoea; Cough; Rhinorrhoea; Gastrooesophageal reflux disease; Condition aggravated</t>
  </si>
  <si>
    <t>Angina pectoris; Abdominal pain upper; Tooth infection; Arthritis; Nerve compression</t>
  </si>
  <si>
    <t>Chest injury; Diabetes mellitus inadequate control; Pathological fracture; Spinal pain; Asthenia</t>
  </si>
  <si>
    <t>Diabetes mellitus; Anxiety; Pain; Chronic obstructive pulmonary disease; Tremor</t>
  </si>
  <si>
    <t>Fungaemia; Myelosuppression; Respiratory tract infection fungal; Staphylococcal infection; Device related infection</t>
  </si>
  <si>
    <t>Cardiac failure; Heart rate increased; Leukopenia; Neutropenia; Basal cell carcinoma</t>
  </si>
  <si>
    <t>Abdominal discomfort; Abdominal distension; Abdominal pain; Abdominal pain upper; Abdominal rigidity</t>
  </si>
  <si>
    <t>Anaphylactic reaction; Drug hypersensitivity; Cough; Influenza like illness; Headache</t>
  </si>
  <si>
    <t>Haemarthrosis; Muscle haemorrhage; Epistaxis; Oedema peripheral; Drug specific antibody present</t>
  </si>
  <si>
    <t>Haemophilia A With Anti Factor Viii</t>
  </si>
  <si>
    <t>Photosensitivity reaction; Asthma; Pruritus; Product dose omission issue; Dry eye</t>
  </si>
  <si>
    <t>Epistaxis; Diarrhoea; Off label use; Incorrect dose administered</t>
  </si>
  <si>
    <t>Body temperature increased; Cardiovascular disorder; Fatigue; Asthenia; Blood glucose increased</t>
  </si>
  <si>
    <t>Haematoma; Foetal exposure during delivery</t>
  </si>
  <si>
    <t>Memory impairment; Mental impairment</t>
  </si>
  <si>
    <t>Macular degeneration; Inappropriate schedule of product administration; Product dose omission issue; Off label use; Arthralgia</t>
  </si>
  <si>
    <t>Respiratory failure; Cardiac arrest; Hypotension; Arrhythmia; Pneumonia</t>
  </si>
  <si>
    <t>Diverticulitis; Pneumonia; Sinusitis fungal; Oral fungal infection; Urinary tract infection</t>
  </si>
  <si>
    <t>Kidney infection; Infusion site discharge; Bronchitis</t>
  </si>
  <si>
    <t>Pneumonia; Respiratory failure; Drug ineffective for unapproved indication; Product use in unapproved indication</t>
  </si>
  <si>
    <t>Neck pain; Nail infection; Pain in extremity; Neoplasm progression; Hip fracture</t>
  </si>
  <si>
    <t>Hypokalaemia; Blindness; Dyspepsia; Blood pressure abnormal; Dyspnoea</t>
  </si>
  <si>
    <t>Femoral neck fracture; Osteoporosis; Osteopenia; Bone density decreased; Pain</t>
  </si>
  <si>
    <t>Alopecia; Hair colour changes</t>
  </si>
  <si>
    <t>Blood phosphorus increased; Restless legs syndrome; Condition aggravated; Muscle spasms; Injection site pain</t>
  </si>
  <si>
    <t>Chronic kidney disease; Renal failure; Renal tubular necrosis; End stage renal disease; Acute kidney injury</t>
  </si>
  <si>
    <t>Off label use; Nephrolithiasis; Hypoacusis</t>
  </si>
  <si>
    <t>Sudden cardiac death; Arrhythmia; Cardiac death; Drug interaction; Ejection fraction decreased</t>
  </si>
  <si>
    <t>Supraventricular Extrasystoles</t>
  </si>
  <si>
    <t>Intentional self-injury; COVID-19; Hypersensitivity; Influenza; Device issue</t>
  </si>
  <si>
    <t>Sleep disorder due to a general medical condition; Dermatitis atopic</t>
  </si>
  <si>
    <t>Thyroid operation; Peripheral swelling; Hepatic mass; Gastrooesophageal reflux disease; Throat irritation</t>
  </si>
  <si>
    <t>Thyroid operation</t>
  </si>
  <si>
    <t>Memory impairment; Pulmonary tuberculosis; Memory impairment; Hypoacusis</t>
  </si>
  <si>
    <t>Muscle haemorrhage; Haemarthrosis; Cerebral haemorrhage; Muscle injury; Fall</t>
  </si>
  <si>
    <t>Seizure; Seizure; Incorrect route of product administration</t>
  </si>
  <si>
    <t>Arrhythmia; Sudden cardiac death; Drug interaction; Left ventricular dysfunction</t>
  </si>
  <si>
    <t>Peripheral nerve palsy; Encephalitis; Nephrolithiasis; Cataract; Allergy to plants</t>
  </si>
  <si>
    <t>Peripheral nerve palsy</t>
  </si>
  <si>
    <t>Mental impairment; Off label use; Bladder disorder</t>
  </si>
  <si>
    <t>Immune-mediated enterocolitis; Haematochezia; Pancreatitis; Immune-mediated hepatitis; Headache</t>
  </si>
  <si>
    <t>Coronavirus infection; Breast cancer; White blood cell count decreased</t>
  </si>
  <si>
    <t>Suicide attempt; Ear discomfort; Disorientation; Nervousness; Withdrawal syndrome</t>
  </si>
  <si>
    <t>End stage renal disease; Osteoporosis; Multiple fractures; Chronic kidney disease; Renal failure</t>
  </si>
  <si>
    <t>Sinus disorder; Weight increased; Malaise; Inappropriate schedule of product administration; Product storage error</t>
  </si>
  <si>
    <t>Condition aggravated; Cough; Malaise; Road traffic accident; Dermal cyst</t>
  </si>
  <si>
    <t>Chronic kidney disease; Renal injury; Renal failure; Renal impairment; Skeletal injury</t>
  </si>
  <si>
    <t>Infection; Bronchitis; COVID-19; Streptococcal infection; Drug ineffective</t>
  </si>
  <si>
    <t>Hypogammaglobulinaemia; Pyrexia; Herpes zoster</t>
  </si>
  <si>
    <t>COVID-19; COVID-19 pneumonia; Off label use; Product use in unapproved indication</t>
  </si>
  <si>
    <t>Haemarthrosis; Ligament sprain</t>
  </si>
  <si>
    <t>Gait inability; Back pain; Pain; Neuralgia; Pain in extremity</t>
  </si>
  <si>
    <t>Neuropathy peripheral; Blood glucose decreased; Blood glucose increased; Glycosylated haemoglobin increased; Vision blurred</t>
  </si>
  <si>
    <t>Impaired gastric emptying; Intestinal haemorrhage; Myalgia</t>
  </si>
  <si>
    <t>Rheumatoid arthritis; Inhibitory drug interaction; Drug interaction; Adrenal insufficiency; Osteoporosis</t>
  </si>
  <si>
    <t>Chronic graft versus host disease; Chronic graft versus host disease in liver; Chronic graft versus host disease in skin; Chronic graft versus host disease in intestine; Acute graft versus host disease in liver</t>
  </si>
  <si>
    <t>Glaucoma; Pain; Loss of personal independence in daily activities; Confusional state; Memory impairment</t>
  </si>
  <si>
    <t>Memory impairment; Malaise; Herpes zoster; Urinary tract infection</t>
  </si>
  <si>
    <t>Therapeutic product effect incomplete; Dementia; Parkinson^s disease; Sleep disorder due to a general medical condition; Cough</t>
  </si>
  <si>
    <t>Gastrointestinal disorder; Mucous stools; Anal incontinence; Illness; Frustration tolerance decreased</t>
  </si>
  <si>
    <t>Lymphocytic leukaemia; Lymphoproliferative disorder; Ulcer</t>
  </si>
  <si>
    <t>Lymphocytic leukaemia</t>
  </si>
  <si>
    <t>Pneumonia; Off label use; Diarrhoea</t>
  </si>
  <si>
    <t>Infection; Thrombosis; Dizziness; Vascular device infection; Dehydration</t>
  </si>
  <si>
    <t>Dry eye; Asthma; Nasal polyps; Condition aggravated; Inappropriate schedule of product administration</t>
  </si>
  <si>
    <t>Second primary malignancy; Hepatic cancer; Product dispensing error; Blood test abnormal</t>
  </si>
  <si>
    <t>Hospitalisation; Vasodilatation; Death</t>
  </si>
  <si>
    <t>Balance disorder; Intervertebral disc disorder; Product dose omission issue; Underdose; Flatulence</t>
  </si>
  <si>
    <t>Death; Pigmentation disorder; Infection; Drug tolerance decreased; Toxicity to various agents</t>
  </si>
  <si>
    <t>Disease progression; Type IIa hyperlipidaemia</t>
  </si>
  <si>
    <t>Pulmonary mass; Intestinal obstruction; Weight increased; Limb injury; Ligament sprain</t>
  </si>
  <si>
    <t>Alopecia; Off label use</t>
  </si>
  <si>
    <t>Weight decreased; Skin plaque; Swelling; Panic disorder; Feeling abnormal</t>
  </si>
  <si>
    <t>Drug hypersensitivity; Ear infection; Eating disorder; Feeding disorder; Functional gastrointestinal disorder</t>
  </si>
  <si>
    <t>Herpes zoster; Asthma; Gait disturbance; Dyspnoea; Chest discomfort</t>
  </si>
  <si>
    <t>Weight increased; Headache; Asthenia; Prescribed overdose; Drug ineffective</t>
  </si>
  <si>
    <t>Asthma; Respiratory tract infection; Full blood count abnormal; Dyspnoea exertional; Wheezing</t>
  </si>
  <si>
    <t>Respiratory distress; Sepsis; Leukocytosis; C-reactive protein increased; Pyrexia</t>
  </si>
  <si>
    <t>Obstructive sleep apnoea syndrome; Bronchitis; Feeling abnormal; Cystitis; Fibromyalgia</t>
  </si>
  <si>
    <t>Drug intolerance; Malignant neoplasm progression; Neuropathy peripheral; Breast cancer; Neoplasm progression</t>
  </si>
  <si>
    <t>Heart rate abnormal; Blood pressure systolic increased; Psoriatic arthropathy; Feeling abnormal; Peripheral swelling</t>
  </si>
  <si>
    <t>Immunodeficiency; Hypokalaemia; Joint destruction; Polyarthritis; Adrenal insufficiency</t>
  </si>
  <si>
    <t>Wound infection; Drug hypersensitivity; Ulcer; Gastrointestinal microorganism overgrowth; Acne</t>
  </si>
  <si>
    <t>Breast cancer; Bronchitis; Infusion site abscess; Infusion site cellulitis; Feeling abnormal</t>
  </si>
  <si>
    <t>Hallucination; Aggression; Persecutory delusion</t>
  </si>
  <si>
    <t>Disorientation; Pneumonia; Psychotic disorder; Infusion site irritation; Procedural complication</t>
  </si>
  <si>
    <t>Hypertension; Neuralgia; Neck surgery; Musculoskeletal stiffness; Peripheral nerve operation</t>
  </si>
  <si>
    <t>Drug hypersensitivity; Diarrhoea; Drug intolerance</t>
  </si>
  <si>
    <t>Rash; Hyperhidrosis; Feeling abnormal; Libido decreased</t>
  </si>
  <si>
    <t>Renal injury; Osteoporosis; Osteonecrosis; Multiple fractures; Skeletal injury</t>
  </si>
  <si>
    <t>Nasopharyngitis; Pain; Influenza; Pyrexia; Malaise</t>
  </si>
  <si>
    <t>Congenital cystic kidney disease; Congenital megaureter; Renal hypoplasia; Foetal exposure during pregnancy</t>
  </si>
  <si>
    <t>Lymphoma; Pneumonia; Hepatic enzyme increased; Hepatitis; Stress</t>
  </si>
  <si>
    <t>Lupus nephritis; Biliary colic; Cholelithiasis; Chest pain; Back pain</t>
  </si>
  <si>
    <t>Neutrophil count decreased; Neutrophil count abnormal; Anxiety; COVID-19; Neutropenia</t>
  </si>
  <si>
    <t>Dependence; Psychotic disorder; Hospitalisation; Pneumonia; Weight increased</t>
  </si>
  <si>
    <t>Rib fracture; Chronic kidney disease; Multiple fractures; Osteoporosis; Foot fracture</t>
  </si>
  <si>
    <t>Renal injury; Fracture; Osteonecrosis; Osteoporosis; Bone density decreased</t>
  </si>
  <si>
    <t>Blood glucose increased; Product storage error; Product dispensing error</t>
  </si>
  <si>
    <t>Dry skin; Erythema; Nasal polyps; Condition aggravated; Injection site pain</t>
  </si>
  <si>
    <t>Joint abscess; Abscess limb; Abscess; Neck pain; Constipation</t>
  </si>
  <si>
    <t>Joint abscess</t>
  </si>
  <si>
    <t>Renal injury; Osteoporosis; Multiple fractures; Osteonecrosis; Bone density decreased</t>
  </si>
  <si>
    <t>Cystitis; Sepsis; Sinusitis; Body temperature abnormal; Bronchitis</t>
  </si>
  <si>
    <t>Respiratory tract infection; Hepatic cirrhosis; Tooth infection; Drug hypersensitivity; Nasopharyngitis</t>
  </si>
  <si>
    <t>Eye allergy; Eye irritation; Eye pruritus; Conjunctivitis; Product dose omission in error</t>
  </si>
  <si>
    <t>Systemic lupus erythematosus; Incorrect disposal of product; Product dose omission issue</t>
  </si>
  <si>
    <t>Death; Cardiac arrest</t>
  </si>
  <si>
    <t>Impaired quality of life; Herpes zoster; Rash; Skin discolouration; Asthma</t>
  </si>
  <si>
    <t>Deafness; Pneumonia; Off label use; Urinary tract infection</t>
  </si>
  <si>
    <t>COVID-19; Accidental overdose; Illness; Feeling abnormal</t>
  </si>
  <si>
    <t>Chronic obstructive pulmonary disease; Factor V Leiden mutation; Multiple allergies; Loss of personal independence in daily activities; Coagulation factor deficiency</t>
  </si>
  <si>
    <t>Limb operation; Gastrointestinal disorder</t>
  </si>
  <si>
    <t>Breast mass; Central nervous system lesion; Procedural pain</t>
  </si>
  <si>
    <t>Hospitalisation; Hernia; Pruritus; Insomnia; Intestinal obstruction</t>
  </si>
  <si>
    <t>Leukopenia; Neutropenia; Coronary artery disease; Product use issue; Full blood count decreased</t>
  </si>
  <si>
    <t>Urinary tract infection; COVID-19; Influenza like illness; Fatigue; Influenza like illness</t>
  </si>
  <si>
    <t>Musculoskeletal chest pain; Condition aggravated; Nasopharyngitis; Rotator cuff syndrome</t>
  </si>
  <si>
    <t>Intestinal resection; Post procedural complication; Nephrolithiasis; Drug level decreased; Faecal calprotectin increased</t>
  </si>
  <si>
    <t>Heart rate increased; Agitation; Feeling hot; Gait disturbance; Cystitis noninfective</t>
  </si>
  <si>
    <t>Progressive multifocal leukoencephalopathy; Colitis; Epilepsia partialis continua; Rash; Immune reconstitution inflammatory syndrome</t>
  </si>
  <si>
    <t>Lacrimation increased; Dacryostenosis acquired; Skin irritation; Depression; Anxiety</t>
  </si>
  <si>
    <t>Constipation; Lactic acidosis; Hormone level abnormal; Acute kidney injury; Dehydration</t>
  </si>
  <si>
    <t>Rectal haemorrhage; Condition aggravated; Therapeutic response shortened; Anorectal discomfort; Weight decreased</t>
  </si>
  <si>
    <t>Headache; Influenza; Motion sickness; Infusion related reaction; Urticaria</t>
  </si>
  <si>
    <t>Inflammatory marker increased; Malaise</t>
  </si>
  <si>
    <t>Inflammatory marker increased</t>
  </si>
  <si>
    <t>Head injury; Subdural haematoma; Fall; Subdural haematoma; Cerebral haemorrhage</t>
  </si>
  <si>
    <t>Thrombosis; Cough; Dry skin; Dyspnoea; White blood cell count decreased</t>
  </si>
  <si>
    <t>Abscess; Haematochezia; Rectal abscess; Clostridium difficile infection; Abdominoplasty</t>
  </si>
  <si>
    <t>Rectal haemorrhage; COVID-19; Nausea; Diarrhoea; Abdominal pain</t>
  </si>
  <si>
    <t>Product storage error; Poor quality product administered; Product quality issue; Drug ineffective; Neoplasm progression</t>
  </si>
  <si>
    <t>Arthralgia; Mobility decreased; Musculoskeletal stiffness; Pain; Dysarthria</t>
  </si>
  <si>
    <t>Urinary retention; Oedema</t>
  </si>
  <si>
    <t>Pneumonia; Vertigo; Dysarthria; Abdominal pain; Nausea</t>
  </si>
  <si>
    <t>Dyspnoea; Loss of personal independence in daily activities; Wheezing; Asthma; Therapeutic product effect incomplete</t>
  </si>
  <si>
    <t>COVID-19 pneumonia; Postoperative wound infection; Uterine infection; Kidney infection; Pelvic infection</t>
  </si>
  <si>
    <t>Dyspnoea; Drug ineffective; Product prescribing error; Device defective; Hyperventilation</t>
  </si>
  <si>
    <t>Haemorrhage; Spontaneous haemorrhage; Contusion; Haemarthrosis; Haematoma</t>
  </si>
  <si>
    <t>Product storage error; Accidental exposure to product; Exposure via skin contact</t>
  </si>
  <si>
    <t>Nephrolithiasis; Renal pain; Back pain; Musculoskeletal chest pain; Myalgia</t>
  </si>
  <si>
    <t>Catheter site infection; Hypersensitivity; Myocardial infarction; Red blood cell count decreased; Malaise</t>
  </si>
  <si>
    <t>Death; Pneumonia; Osteomyelitis; Atrial fibrillation; Fungal skin infection</t>
  </si>
  <si>
    <t>Squamous cell carcinoma of skin; Contusion; Renal disorder; Cardiac disorder; Blood pressure abnormal</t>
  </si>
  <si>
    <t>Rash; Illness</t>
  </si>
  <si>
    <t>Paraneoplastic rash; Peripheral T-cell lymphoma unspecified; Disease progression; Febrile neutropenia; General physical health deterioration</t>
  </si>
  <si>
    <t>Paraneoplastic rash</t>
  </si>
  <si>
    <t>Contusion; Haemarthrosis; Muscle haemorrhage; Haemorrhage; Epistaxis</t>
  </si>
  <si>
    <t>Febrile neutropenia; Lethargy</t>
  </si>
  <si>
    <t>Epstein-Barr virus infection; Post transplant lymphoproliferative disorder; Gastric ulcer; Adrenal mass; Epstein-Barr virus associated lymphoproliferative disorder</t>
  </si>
  <si>
    <t>Cardiac failure; Respiratory failure; Pulmonary oedema; Blood creatinine increased; Atrial fibrillation</t>
  </si>
  <si>
    <t>Lack of spontaneous speech; Peripheral swelling; Pain; Mobility decreased; Feeling abnormal</t>
  </si>
  <si>
    <t>Lack of spontaneous speech</t>
  </si>
  <si>
    <t>Disease recurrence; Oculogyric crisis</t>
  </si>
  <si>
    <t>COVID-19; Inappropriate schedule of product administration; Rash macular; Throat irritation; Infusion related reaction</t>
  </si>
  <si>
    <t>Dyspnoea; Asthma; Loss of personal independence in daily activities; Wheezing; Therapeutic product effect incomplete</t>
  </si>
  <si>
    <t>Kidney infection; Oesophageal infection; Headache; Multiple allergies; Arthritis</t>
  </si>
  <si>
    <t>Medical device site erosion; Stoma site ulcer; Stoma site candida</t>
  </si>
  <si>
    <t>Medical device site erosion</t>
  </si>
  <si>
    <t>Diabetic foot infection; Postmenopausal haemorrhage; Weight decreased; Gait disturbance; Tremor</t>
  </si>
  <si>
    <t>Diabetic foot infection</t>
  </si>
  <si>
    <t>Pneumonia; Injection site scar; Malaise; Lethargy; Fatigue</t>
  </si>
  <si>
    <t>Colon cancer; Abdominal infection; Pneumonia; Abdominal abscess; Pelvic abscess</t>
  </si>
  <si>
    <t>Vascular device infection; COVID-19; Suicidal ideation; Candida infection; Throat irritation</t>
  </si>
  <si>
    <t>Road traffic accident; Ankle fracture; Gait disturbance; Sensitivity to weather change; Somnolence</t>
  </si>
  <si>
    <t>Burkitt^s lymphoma; Cytokine release syndrome; Neutropenia; Drug ineffective</t>
  </si>
  <si>
    <t>Urosepsis; Septic shock; Blood creatinine increased; Chronic kidney disease; Asthenia</t>
  </si>
  <si>
    <t>Seizure; Gastrointestinal motility disorder; Off label use; Wrong technique in product usage process; Bowel movement irregularity</t>
  </si>
  <si>
    <t>Fall; Skin abrasion; Arthralgia; Blood phosphorus decreased; Inappropriate schedule of product administration</t>
  </si>
  <si>
    <t>Abdominal pain upper; Arthralgia; Gastroenteritis; Helicobacter infection; Hepatitis</t>
  </si>
  <si>
    <t>Skin infection; Off label use</t>
  </si>
  <si>
    <t>Abdominal discomfort; Angina pectoris; Blood cholesterol increased; Feeling abnormal; Hepatic steatosis</t>
  </si>
  <si>
    <t>Central Nervous System Vasculitis</t>
  </si>
  <si>
    <t>Carotid artery disease; Blood cholesterol abnormal</t>
  </si>
  <si>
    <t>Euglycaemic diabetic ketoacidosis; General physical health deterioration; Fall; Agitation; Nausea</t>
  </si>
  <si>
    <t>Drug dependence; Cardiac disorder; Overdose</t>
  </si>
  <si>
    <t>Hemiparesis; Dysarthria; Magnetic resonance imaging head abnormal; Hemihypoaesthesia; Lymphocytosis</t>
  </si>
  <si>
    <t>Wrong product administered; Product packaging confusion; Incorrect route of product administration; Seizure; Arachnoiditis</t>
  </si>
  <si>
    <t>Wrong product administered; Product packaging confusion; Incorrect route of product administration; Seizure; Coma</t>
  </si>
  <si>
    <t>Peripheral swelling; Infusion site irritation; Dysphonia; Nasopharyngitis; Respiratory tract infection</t>
  </si>
  <si>
    <t>Injection site bruising; Wrong technique in product usage process; Product dispensing error</t>
  </si>
  <si>
    <t>LOSARTAN POTASSIUM AND HYDROCHLOROTHIAZIDE</t>
  </si>
  <si>
    <t>HYZAAR</t>
  </si>
  <si>
    <t>Wrong product administered; Product packaging confusion; Incorrect route of product administration; Seizure</t>
  </si>
  <si>
    <t>Memory impairment; Anxiety; Malaise; Laboratory test abnormal; Intentional product misuse</t>
  </si>
  <si>
    <t>Weight decreased; Contusion</t>
  </si>
  <si>
    <t>Upper limb fracture; Fall; Gingival bleeding; Alopecia; White blood cell count decreased</t>
  </si>
  <si>
    <t>Skin fissures; Fatigue; Back pain</t>
  </si>
  <si>
    <t>Bone cancer; Skin abrasion; Increased tendency to bruise; Rash; Fluid retention</t>
  </si>
  <si>
    <t>Death; Spinal cordotomy; Delirium; Sedation; Off label use</t>
  </si>
  <si>
    <t>Insomnia; Arthralgia</t>
  </si>
  <si>
    <t>Arthralgia; Confusional state; Contusion; Fatigue; Ill-defined disorder</t>
  </si>
  <si>
    <t>Dermatitis; Product storage error; Product dose omission issue; Rash pruritic</t>
  </si>
  <si>
    <t>Pain; Sedation; Drug ineffective; Product use in unapproved indication</t>
  </si>
  <si>
    <t>Nephrolithiasis; Therapy partial responder; Headache; Pruritus; Nausea</t>
  </si>
  <si>
    <t>Head discomfort; Feeling drunk; Dizziness; Insomnia</t>
  </si>
  <si>
    <t>Anal cancer; Weight increased; Drug level below therapeutic; Nausea; Fatigue</t>
  </si>
  <si>
    <t>Death; Skin cancer; Diarrhoea; Weight decreased; Weight increased</t>
  </si>
  <si>
    <t>Therapy non-responder; Product dose omission issue; Headache; Abdominal pain upper</t>
  </si>
  <si>
    <t>Anaphylactic reaction; Blood triglycerides increased; Feeling hot; Weight increased; Abdominal pain</t>
  </si>
  <si>
    <t>Acinetobacter infection; Mycobacterium avium complex infection; Pneumonia; Ophthalmoplegia; Myasthenia gravis</t>
  </si>
  <si>
    <t>Gallbladder disorder; Lower respiratory tract congestion; Respiratory tract congestion; Thrombosis; White blood cell count decreased</t>
  </si>
  <si>
    <t>Contusion; Rash macular; Pruritus; Rash; Incorrect dose administered</t>
  </si>
  <si>
    <t>Tension; Rhinorrhoea; Feeling of body temperature change; Intentional product use issue; Drug abuse</t>
  </si>
  <si>
    <t>Chemical submission; Poisoning; Suicidal ideation; Salivary hypersecretion; Fatigue</t>
  </si>
  <si>
    <t>Chemical submission</t>
  </si>
  <si>
    <t>Myocardial infarction; Infection; Immunosuppression; Glycosylated haemoglobin increased; Condition aggravated</t>
  </si>
  <si>
    <t>Pneumonia; Lack of infusion site rotation; Fungal infection; Infection; COVID-19</t>
  </si>
  <si>
    <t>Cardiac arrest; Off label use; Epistaxis; Pulmonary arterial hypertension; Generalised tonic-clonic seizure</t>
  </si>
  <si>
    <t>Abortion spontaneous; Asthma; Ear pruritus; Rheumatoid arthritis; Hypersensitivity</t>
  </si>
  <si>
    <t>COVID-19 pneumonia; Sluggishness; Obstruction; Productive cough; Poor venous access</t>
  </si>
  <si>
    <t>Premature delivery; Anxiety; Dyspnoea; Maternal exposure during pregnancy; Off label use</t>
  </si>
  <si>
    <t>Haemarthrosis; Haemorrhage; Injury; Back injury; Urinary tract infection</t>
  </si>
  <si>
    <t>Urinary retention; Drug interaction; Prescribed underdose</t>
  </si>
  <si>
    <t>COVID-19; Urinary tract infection; Nasopharyngitis; Pharyngitis; Sinusitis</t>
  </si>
  <si>
    <t>Immune-mediated cholangitis; Immune-mediated lung disease; Immune-mediated nephritis; Immune-mediated hepatitis</t>
  </si>
  <si>
    <t>Uveitis; Ocular hyperaemia; Eye infection; Erythema nodosum; Eye swelling</t>
  </si>
  <si>
    <t>Limb injury; Skin disorder; Contusion; Rheumatoid arthritis; Nasopharyngitis</t>
  </si>
  <si>
    <t>Product dose omission issue; Hypoacusis; Balance disorder; Allergy to plants; Hypoacusis</t>
  </si>
  <si>
    <t>Nasal congestion; Paraesthesia; Cough; Influenza; Nasopharyngitis</t>
  </si>
  <si>
    <t>report_id</t>
  </si>
  <si>
    <t>receive_date</t>
  </si>
  <si>
    <t>year</t>
  </si>
  <si>
    <t>month</t>
  </si>
  <si>
    <t>quarter</t>
  </si>
  <si>
    <t>serious</t>
  </si>
  <si>
    <t>serious_flags</t>
  </si>
  <si>
    <t>is_fatal</t>
  </si>
  <si>
    <t>is_hospitalized</t>
  </si>
  <si>
    <t>is_life_threat</t>
  </si>
  <si>
    <t>is_disabling</t>
  </si>
  <si>
    <t>reactions</t>
  </si>
  <si>
    <t>primary_reaction</t>
  </si>
  <si>
    <t>reaction_outcomes</t>
  </si>
  <si>
    <t>patient_recovered</t>
  </si>
  <si>
    <t>num_reactions</t>
  </si>
  <si>
    <t>suspect_drug</t>
  </si>
  <si>
    <t>brand_name</t>
  </si>
  <si>
    <t>drug_route</t>
  </si>
  <si>
    <t>drug_indication</t>
  </si>
  <si>
    <t>manufacturer</t>
  </si>
  <si>
    <t>pharm_class</t>
  </si>
  <si>
    <t>num_drugs</t>
  </si>
  <si>
    <t>drug_count_category</t>
  </si>
  <si>
    <t>patient_age_years</t>
  </si>
  <si>
    <t>age_group</t>
  </si>
  <si>
    <t>patient_sex</t>
  </si>
  <si>
    <t>patient_weight_kg</t>
  </si>
  <si>
    <t>country</t>
  </si>
  <si>
    <t>report_age_days</t>
  </si>
  <si>
    <t>meddra_pt</t>
  </si>
  <si>
    <t>meddra_soc</t>
  </si>
  <si>
    <t>Pregnancy, puerperium and perinatal conditions</t>
  </si>
  <si>
    <t>Immune system disorders</t>
  </si>
  <si>
    <t>Infections and infestations</t>
  </si>
  <si>
    <t>General disorders and administration site conditions</t>
  </si>
  <si>
    <t>Endocrine disorders</t>
  </si>
  <si>
    <t>Skin and subcutaneous tissue disorders</t>
  </si>
  <si>
    <t>Blood and lymphatic system disorders</t>
  </si>
  <si>
    <t>Eye disorders</t>
  </si>
  <si>
    <t>Product issues</t>
  </si>
  <si>
    <t>Nervous system disorders</t>
  </si>
  <si>
    <t>Renal and urinary disorders</t>
  </si>
  <si>
    <t>Metabolism and nutrition disorders</t>
  </si>
  <si>
    <t>Vascular disorders</t>
  </si>
  <si>
    <t>Gastrointestinal disorders</t>
  </si>
  <si>
    <t>Respiratory, thoracic and mediastinal disorders</t>
  </si>
  <si>
    <t>Neoplasms benign, malignant and unspecified</t>
  </si>
  <si>
    <t/>
  </si>
  <si>
    <t>causality</t>
  </si>
  <si>
    <t>Probable</t>
  </si>
  <si>
    <t>Possible</t>
  </si>
  <si>
    <t>signal_type</t>
  </si>
  <si>
    <t>Infection signal</t>
  </si>
  <si>
    <t>Primary Reaction</t>
  </si>
  <si>
    <t>Suggested Causality</t>
  </si>
  <si>
    <t>Signal Type</t>
  </si>
  <si>
    <t>Immune signal</t>
  </si>
  <si>
    <t>Hypersensitivity signal</t>
  </si>
  <si>
    <t>Serious allergy signal</t>
  </si>
  <si>
    <t>General ADR</t>
  </si>
  <si>
    <t>Skin ADR</t>
  </si>
  <si>
    <t>GI ADR</t>
  </si>
  <si>
    <t>Non-serious ADR</t>
  </si>
  <si>
    <t>Renal safety signal</t>
  </si>
  <si>
    <t>Hematologic signal</t>
  </si>
  <si>
    <t>Neurological signal</t>
  </si>
  <si>
    <t>Respiratory ADR</t>
  </si>
  <si>
    <t>Infection-related event</t>
  </si>
  <si>
    <t>Severe hypersensitivity</t>
  </si>
  <si>
    <t>Unlikely</t>
  </si>
  <si>
    <t>Non-ADR</t>
  </si>
  <si>
    <t>Administrative</t>
  </si>
  <si>
    <t>Non-case</t>
  </si>
  <si>
    <t>case_id</t>
  </si>
  <si>
    <t>narrative</t>
  </si>
  <si>
    <t>A 23-year-old female patient with a medical history of psoriasis received Ustekinumab (STELARA) therapy. During the course of treatment, the patient developed pneumonia accompanied by staphylococcal infection and sepsis. The adverse events were considered serious due to hospitalization requirement. Appropriate medical management was initiated, and the patient subsequently recovered. Considering the temporal association between drug administration and onset of the adverse events, along with the known immunosuppressive profile of Ustekinumab, the causality assessment was determined to be probable. Continuous monitoring for serious infection-related adverse events is recommended during biologic therapy.</t>
  </si>
  <si>
    <t>A patient receiving Temodal therapy for glioblastoma experienced a cerebrovascular accident during treatment. The adverse event was considered serious due to life-threatening clinical presentation. The outcome of the event was reported as unknown. Based on the temporal relationship between suspect drug exposure and onset of the neurological event, along with the seriousness of the reaction, causality was assessed as probable. Continuous monitoring for severe neurological adverse events is recommended during antineoplastic therapy.</t>
  </si>
  <si>
    <t>A female patient receiving Letrozole (FEMARA) therapy for metastatic breast cancer developed neutropenia during the course of treatment. Additional adverse events including dyspepsia and nasopharyngitis were also reported. The adverse reaction was classified as serious based on medical significance. The outcome for neutropenia was reported as not recovered, while other associated events showed recovery. The patient was receiving concomitant medications as part of polypharmacy treatment. Based on the temporal relationship between Letrozole administration and onset of the hematologic adverse event, along with the known safety profile of aromatase inhibitor therapy, causality was assessed as probable. Continuous hematologic monitoring is recommended during treatment with endocrine therapy agents in oncology patients.</t>
  </si>
  <si>
    <t>A patient receiving Acyclovir therapy for infection prophylaxis developed Fanconi syndrome during treatment. An additional event of off-label use was also reported. The adverse event outcome for Fanconi syndrome was reported as unknown, while the off-label use event was noted as recovering. The patient was receiving multiple concomitant medications as part of polypharmacy treatment. Fanconi syndrome was considered medically significant due to its potential renal and metabolic complications. Based on the temporal association between Acyclovir administration and onset of the renal tubular disorder, along with the known nephrotoxic potential associated with antiviral therapy, causality was assessed as probable. Continuous renal function monitoring is recommended during prolonged antiviral treatment, especially in patients receiving multiple concomitant therapies.</t>
  </si>
  <si>
    <t>A 79-year-old female patient receiving Prednisone therapy following liver transplant developed COVID-19 infection and COVID-19 pneumonia during treatment. Additional events of off-label use and product use in unapproved indication were also reported. The adverse event was considered serious due to hospitalization. The clinical outcome was reported as unknown, with partial recovery noted for associated events. The patient was receiving multiple concomitant medications as part of polypharmacy therapy. Considering the patient’s immunosuppressed status, advanced age, corticosteroid exposure, and temporal relationship between therapy and onset of infection-related adverse events, causality was assessed as possible. Continuous monitoring for severe respiratory infections is recommended in elderly transplant patients receiving corticosteroid-based immunosuppressive 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</si>
</sst>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4" fontId="1" fillId="0" borderId="0" xfId="0" applyNumberFormat="1" applyFont="1"/>
    <xf numFmtId="14" fontId="0" fillId="0" borderId="0" xfId="0" applyNumberFormat="1"/>
    <xf numFmtId="1" fontId="1" fillId="0" borderId="0" xfId="0" applyNumberFormat="1" applyFont="1"/>
    <xf numFmtId="1" fontId="0" fillId="0" borderId="0" xfId="0" applyNumberFormat="1"/>
    <xf numFmtId="0" fontId="1" fillId="0" borderId="0" xfId="0" applyFont="1" applyAlignment="1">
      <alignment horizontal="center" vertical="center"/>
    </xf>
    <xf numFmtId="0" fontId="0" fillId="0" borderId="0" xfId="0" applyAlignment="1">
      <alignment vertical="center"/>
    </xf>
    <xf numFmtId="1" fontId="2" fillId="2" borderId="0" xfId="0" applyNumberFormat="1" applyFont="1" applyFill="1" applyAlignment="1">
      <alignment horizontal="center" vertical="center" wrapText="1"/>
    </xf>
    <xf numFmtId="0" fontId="2" fillId="2" borderId="0" xfId="0" applyFont="1" applyFill="1" applyAlignment="1">
      <alignment horizontal="left" vertical="center" wrapText="1"/>
    </xf>
    <xf numFmtId="0" fontId="3" fillId="0" borderId="0" xfId="0" applyFont="1" applyAlignment="1">
      <alignment horizontal="left" wrapText="1"/>
    </xf>
    <xf numFmtId="1" fontId="3" fillId="0" borderId="0" xfId="0" applyNumberFormat="1" applyFont="1" applyAlignment="1">
      <alignment horizontal="center" vertical="center" wrapText="1"/>
    </xf>
    <xf numFmtId="1" fontId="3" fillId="0" borderId="0" xfId="0" applyNumberFormat="1" applyFont="1" applyAlignment="1">
      <alignment horizontal="center" vertical="center"/>
    </xf>
  </cellXfs>
  <cellStyles count="1">
    <cellStyle name="Normal" xfId="0" builtinId="0"/>
  </cellStyles>
  <dxfs count="4">
    <dxf>
      <font>
        <b/>
        <i val="0"/>
        <strike val="0"/>
        <condense val="0"/>
        <extend val="0"/>
        <outline val="0"/>
        <shadow val="0"/>
        <u val="none"/>
        <vertAlign val="baseline"/>
        <sz val="11"/>
        <color theme="1"/>
        <name val="Calibri"/>
        <family val="2"/>
        <scheme val="minor"/>
      </font>
    </dxf>
    <dxf>
      <numFmt numFmtId="1" formatCode="0"/>
    </dxf>
    <dxf>
      <font>
        <b/>
        <i val="0"/>
        <strike val="0"/>
        <condense val="0"/>
        <extend val="0"/>
        <outline val="0"/>
        <shadow val="0"/>
        <u val="none"/>
        <vertAlign val="baseline"/>
        <sz val="11"/>
        <color theme="1"/>
        <name val="Calibri"/>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Reported Adverse Reactions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50958612126445E-2"/>
          <c:y val="2.8879968137017448E-2"/>
          <c:w val="0.93958169487560195"/>
          <c:h val="0.64274273674268223"/>
        </c:manualLayout>
      </c:layout>
      <c:lineChart>
        <c:grouping val="standard"/>
        <c:varyColors val="0"/>
        <c:ser>
          <c:idx val="0"/>
          <c:order val="0"/>
          <c:tx>
            <c:v>Total</c:v>
          </c:tx>
          <c:spPr>
            <a:ln w="28575" cap="rnd">
              <a:solidFill>
                <a:schemeClr val="accent1"/>
              </a:solidFill>
              <a:round/>
            </a:ln>
            <a:effectLst/>
          </c:spPr>
          <c:marker>
            <c:symbol val="none"/>
          </c:marker>
          <c:cat>
            <c:strLit>
              <c:ptCount val="518"/>
              <c:pt idx="0">
                <c:v>Foetal exposure during delivery</c:v>
              </c:pt>
              <c:pt idx="1">
                <c:v>Immune-mediated adverse reaction</c:v>
              </c:pt>
              <c:pt idx="2">
                <c:v>Pneumonia</c:v>
              </c:pt>
              <c:pt idx="3">
                <c:v>Drug hypersensitivity</c:v>
              </c:pt>
              <c:pt idx="4">
                <c:v>Death</c:v>
              </c:pt>
              <c:pt idx="5">
                <c:v>Drug ineffective</c:v>
              </c:pt>
              <c:pt idx="6">
                <c:v>Maternal exposure during pregnancy</c:v>
              </c:pt>
              <c:pt idx="7">
                <c:v>Gynaecomastia</c:v>
              </c:pt>
              <c:pt idx="8">
                <c:v>Anaphylactic reaction</c:v>
              </c:pt>
              <c:pt idx="9">
                <c:v>Alopecia</c:v>
              </c:pt>
              <c:pt idx="10">
                <c:v>Neutropenia</c:v>
              </c:pt>
              <c:pt idx="11">
                <c:v>Fatigue</c:v>
              </c:pt>
              <c:pt idx="12">
                <c:v>Cataract</c:v>
              </c:pt>
              <c:pt idx="13">
                <c:v>Seizure</c:v>
              </c:pt>
              <c:pt idx="14">
                <c:v>Rash</c:v>
              </c:pt>
              <c:pt idx="15">
                <c:v>Off label use</c:v>
              </c:pt>
              <c:pt idx="16">
                <c:v>Cerebrovascular accident</c:v>
              </c:pt>
              <c:pt idx="17">
                <c:v>Lower respiratory tract infection</c:v>
              </c:pt>
              <c:pt idx="18">
                <c:v>Renal injury</c:v>
              </c:pt>
              <c:pt idx="19">
                <c:v>Leukopenia</c:v>
              </c:pt>
              <c:pt idx="20">
                <c:v>Malignant neoplasm progression</c:v>
              </c:pt>
              <c:pt idx="21">
                <c:v>No adverse event</c:v>
              </c:pt>
              <c:pt idx="22">
                <c:v>Weight decreased</c:v>
              </c:pt>
              <c:pt idx="23">
                <c:v>Weight increased</c:v>
              </c:pt>
              <c:pt idx="24">
                <c:v>Illness</c:v>
              </c:pt>
              <c:pt idx="25">
                <c:v>Asthma</c:v>
              </c:pt>
              <c:pt idx="26">
                <c:v>Acute kidney injury</c:v>
              </c:pt>
              <c:pt idx="27">
                <c:v>Angioedema</c:v>
              </c:pt>
              <c:pt idx="28">
                <c:v>Chronic kidney disease</c:v>
              </c:pt>
              <c:pt idx="29">
                <c:v>Haemorrhage</c:v>
              </c:pt>
              <c:pt idx="30">
                <c:v>COVID-19</c:v>
              </c:pt>
              <c:pt idx="31">
                <c:v>Diarrhoea</c:v>
              </c:pt>
              <c:pt idx="32">
                <c:v>Renal impairment</c:v>
              </c:pt>
              <c:pt idx="33">
                <c:v>Therapeutic product effect incomplete</c:v>
              </c:pt>
              <c:pt idx="34">
                <c:v>Myocardial infarction</c:v>
              </c:pt>
              <c:pt idx="35">
                <c:v>Nephrolithiasis</c:v>
              </c:pt>
              <c:pt idx="36">
                <c:v>Prescribed underdose</c:v>
              </c:pt>
              <c:pt idx="37">
                <c:v>Neuropathy peripheral</c:v>
              </c:pt>
              <c:pt idx="38">
                <c:v>Memory impairment</c:v>
              </c:pt>
              <c:pt idx="39">
                <c:v>Infection</c:v>
              </c:pt>
              <c:pt idx="40">
                <c:v>Sepsis</c:v>
              </c:pt>
              <c:pt idx="41">
                <c:v>Influenza</c:v>
              </c:pt>
              <c:pt idx="42">
                <c:v>Osteoporosis</c:v>
              </c:pt>
              <c:pt idx="43">
                <c:v>Nasopharyngitis</c:v>
              </c:pt>
              <c:pt idx="44">
                <c:v>Abortion spontaneous</c:v>
              </c:pt>
              <c:pt idx="45">
                <c:v>Herpes zoster</c:v>
              </c:pt>
              <c:pt idx="46">
                <c:v>Haemolysis</c:v>
              </c:pt>
              <c:pt idx="47">
                <c:v>Crohn^s disease</c:v>
              </c:pt>
              <c:pt idx="48">
                <c:v>Fall</c:v>
              </c:pt>
              <c:pt idx="49">
                <c:v>Arrhythmia</c:v>
              </c:pt>
              <c:pt idx="50">
                <c:v>Haematochezia</c:v>
              </c:pt>
              <c:pt idx="51">
                <c:v>Abdominal pain upper</c:v>
              </c:pt>
              <c:pt idx="52">
                <c:v>Headache</c:v>
              </c:pt>
              <c:pt idx="53">
                <c:v>Arthralgia</c:v>
              </c:pt>
              <c:pt idx="54">
                <c:v>Drug intolerance</c:v>
              </c:pt>
              <c:pt idx="55">
                <c:v>Dyspnoea</c:v>
              </c:pt>
              <c:pt idx="56">
                <c:v>Product dose omission issue</c:v>
              </c:pt>
              <c:pt idx="57">
                <c:v>Ischaemic stroke</c:v>
              </c:pt>
              <c:pt idx="58">
                <c:v>Surgery</c:v>
              </c:pt>
              <c:pt idx="59">
                <c:v>Vascular device infection</c:v>
              </c:pt>
              <c:pt idx="60">
                <c:v>Thrombocytopenia</c:v>
              </c:pt>
              <c:pt idx="61">
                <c:v>Rectal haemorrhage</c:v>
              </c:pt>
              <c:pt idx="62">
                <c:v>Sinusitis</c:v>
              </c:pt>
              <c:pt idx="63">
                <c:v>Malaise</c:v>
              </c:pt>
              <c:pt idx="64">
                <c:v>Systemic lupus erythematosus</c:v>
              </c:pt>
              <c:pt idx="65">
                <c:v>Plasma cell myeloma</c:v>
              </c:pt>
              <c:pt idx="66">
                <c:v>Therapy non-responder</c:v>
              </c:pt>
              <c:pt idx="67">
                <c:v>Platelet count increased</c:v>
              </c:pt>
              <c:pt idx="68">
                <c:v>Urinary retention</c:v>
              </c:pt>
              <c:pt idx="69">
                <c:v>Infusion related reaction</c:v>
              </c:pt>
              <c:pt idx="70">
                <c:v>Septic shock</c:v>
              </c:pt>
              <c:pt idx="71">
                <c:v>Intestinal obstruction</c:v>
              </c:pt>
              <c:pt idx="72">
                <c:v>Pancreatitis acute</c:v>
              </c:pt>
              <c:pt idx="73">
                <c:v>Wrong product administered</c:v>
              </c:pt>
              <c:pt idx="74">
                <c:v>Constipation</c:v>
              </c:pt>
              <c:pt idx="75">
                <c:v>Dizziness</c:v>
              </c:pt>
              <c:pt idx="76">
                <c:v>Deafness unilateral</c:v>
              </c:pt>
              <c:pt idx="77">
                <c:v>Drug resistance</c:v>
              </c:pt>
              <c:pt idx="78">
                <c:v>Colitis ulcerative</c:v>
              </c:pt>
              <c:pt idx="79">
                <c:v>Drug-induced liver injury</c:v>
              </c:pt>
              <c:pt idx="80">
                <c:v>Hyperhidrosis</c:v>
              </c:pt>
              <c:pt idx="81">
                <c:v>Condition aggravated</c:v>
              </c:pt>
              <c:pt idx="82">
                <c:v>Haemarthrosis</c:v>
              </c:pt>
              <c:pt idx="83">
                <c:v>Epistaxis</c:v>
              </c:pt>
              <c:pt idx="84">
                <c:v>Drug dependence</c:v>
              </c:pt>
              <c:pt idx="85">
                <c:v>Depression</c:v>
              </c:pt>
              <c:pt idx="86">
                <c:v>Blindness</c:v>
              </c:pt>
              <c:pt idx="87">
                <c:v>Chest pain</c:v>
              </c:pt>
              <c:pt idx="88">
                <c:v>Hospitalisation</c:v>
              </c:pt>
              <c:pt idx="89">
                <c:v>Cough</c:v>
              </c:pt>
              <c:pt idx="90">
                <c:v>Hypoacusis</c:v>
              </c:pt>
              <c:pt idx="91">
                <c:v>Gait inability</c:v>
              </c:pt>
              <c:pt idx="92">
                <c:v>Adverse event</c:v>
              </c:pt>
              <c:pt idx="93">
                <c:v>Diabetes mellitus</c:v>
              </c:pt>
              <c:pt idx="94">
                <c:v>Toxicity to various agents</c:v>
              </c:pt>
              <c:pt idx="95">
                <c:v>Road traffic accident</c:v>
              </c:pt>
              <c:pt idx="96">
                <c:v>Vision blurred</c:v>
              </c:pt>
              <c:pt idx="97">
                <c:v>Macular degeneration</c:v>
              </c:pt>
              <c:pt idx="98">
                <c:v>Skin infection</c:v>
              </c:pt>
              <c:pt idx="99">
                <c:v>Mental impairment</c:v>
              </c:pt>
              <c:pt idx="100">
                <c:v>Urinary tract infection</c:v>
              </c:pt>
              <c:pt idx="101">
                <c:v>Multiple sclerosis</c:v>
              </c:pt>
              <c:pt idx="102">
                <c:v>Respiratory tract infection</c:v>
              </c:pt>
              <c:pt idx="103">
                <c:v>Nasal congestion</c:v>
              </c:pt>
              <c:pt idx="104">
                <c:v>Skin cancer</c:v>
              </c:pt>
              <c:pt idx="105">
                <c:v>Insomnia</c:v>
              </c:pt>
              <c:pt idx="106">
                <c:v>Suicide attempt</c:v>
              </c:pt>
              <c:pt idx="107">
                <c:v>Neoplasm malignant</c:v>
              </c:pt>
              <c:pt idx="108">
                <c:v>Type 1 diabetes mellitus</c:v>
              </c:pt>
              <c:pt idx="109">
                <c:v>Overdose</c:v>
              </c:pt>
              <c:pt idx="110">
                <c:v>Venoocclusive liver disease</c:v>
              </c:pt>
              <c:pt idx="111">
                <c:v>Pancreatic carcinoma</c:v>
              </c:pt>
              <c:pt idx="112">
                <c:v>Respiratory failure</c:v>
              </c:pt>
              <c:pt idx="113">
                <c:v>Pathogen resistance</c:v>
              </c:pt>
              <c:pt idx="114">
                <c:v>Rib fracture</c:v>
              </c:pt>
              <c:pt idx="115">
                <c:v>Impaired gastric emptying</c:v>
              </c:pt>
              <c:pt idx="116">
                <c:v>Limb injury</c:v>
              </c:pt>
              <c:pt idx="117">
                <c:v>Polyarthritis</c:v>
              </c:pt>
              <c:pt idx="118">
                <c:v>Skin fissures</c:v>
              </c:pt>
              <c:pt idx="119">
                <c:v>Wound infection</c:v>
              </c:pt>
              <c:pt idx="120">
                <c:v>Status epilepticus</c:v>
              </c:pt>
              <c:pt idx="121">
                <c:v>Premature delivery</c:v>
              </c:pt>
              <c:pt idx="122">
                <c:v>Tooth disorder</c:v>
              </c:pt>
              <c:pt idx="123">
                <c:v>Kidney infection</c:v>
              </c:pt>
              <c:pt idx="124">
                <c:v>Transient ischaemic attack</c:v>
              </c:pt>
              <c:pt idx="125">
                <c:v>Product storage error</c:v>
              </c:pt>
              <c:pt idx="126">
                <c:v>Type 2 diabetes mellitus</c:v>
              </c:pt>
              <c:pt idx="127">
                <c:v>Progressive multifocal leukoencephalopathy</c:v>
              </c:pt>
              <c:pt idx="128">
                <c:v>Urosepsis</c:v>
              </c:pt>
              <c:pt idx="129">
                <c:v>Pruritus</c:v>
              </c:pt>
              <c:pt idx="130">
                <c:v>Viral upper respiratory tract infection</c:v>
              </c:pt>
              <c:pt idx="131">
                <c:v>Pulmonary oedema</c:v>
              </c:pt>
              <c:pt idx="132">
                <c:v>Vomiting</c:v>
              </c:pt>
              <c:pt idx="133">
                <c:v>Pulmonary thrombosis</c:v>
              </c:pt>
              <c:pt idx="134">
                <c:v>Pyrexia</c:v>
              </c:pt>
              <c:pt idx="135">
                <c:v>Acinetobacter infection</c:v>
              </c:pt>
              <c:pt idx="136">
                <c:v>Blood pressure increased</c:v>
              </c:pt>
              <c:pt idx="137">
                <c:v>Hallucination</c:v>
              </c:pt>
              <c:pt idx="138">
                <c:v>Dry skin</c:v>
              </c:pt>
              <c:pt idx="139">
                <c:v>Contusion</c:v>
              </c:pt>
              <c:pt idx="140">
                <c:v>Akathisia</c:v>
              </c:pt>
              <c:pt idx="141">
                <c:v>Disease progression</c:v>
              </c:pt>
              <c:pt idx="142">
                <c:v>Emotional disorder</c:v>
              </c:pt>
              <c:pt idx="143">
                <c:v>Hemiparesis</c:v>
              </c:pt>
              <c:pt idx="144">
                <c:v>COVID-19 pneumonia</c:v>
              </c:pt>
              <c:pt idx="145">
                <c:v>Cardiac arrest</c:v>
              </c:pt>
              <c:pt idx="146">
                <c:v>C-reactive protein increased</c:v>
              </c:pt>
              <c:pt idx="147">
                <c:v>Anxiety</c:v>
              </c:pt>
              <c:pt idx="148">
                <c:v>Cellulitis</c:v>
              </c:pt>
              <c:pt idx="149">
                <c:v>Chest injury</c:v>
              </c:pt>
              <c:pt idx="150">
                <c:v>Feeling hot</c:v>
              </c:pt>
              <c:pt idx="151">
                <c:v>Atrioventricular septal defect</c:v>
              </c:pt>
              <c:pt idx="152">
                <c:v>Foetal death</c:v>
              </c:pt>
              <c:pt idx="153">
                <c:v>Anaphylactic shock</c:v>
              </c:pt>
              <c:pt idx="154">
                <c:v>Cerebral infarction</c:v>
              </c:pt>
              <c:pt idx="155">
                <c:v>Hepatotoxicity</c:v>
              </c:pt>
              <c:pt idx="156">
                <c:v>Foetal exposure during pregnancy</c:v>
              </c:pt>
              <c:pt idx="157">
                <c:v>Bronchitis</c:v>
              </c:pt>
              <c:pt idx="158">
                <c:v>Abdominal discomfort</c:v>
              </c:pt>
              <c:pt idx="159">
                <c:v>Drug reaction with eosinophilia and systemic symptoms</c:v>
              </c:pt>
              <c:pt idx="160">
                <c:v>Gallbladder disorder</c:v>
              </c:pt>
              <c:pt idx="161">
                <c:v>Cardiac failure</c:v>
              </c:pt>
              <c:pt idx="162">
                <c:v>General physical health deterioration</c:v>
              </c:pt>
              <c:pt idx="163">
                <c:v>Dementia</c:v>
              </c:pt>
              <c:pt idx="164">
                <c:v>Thinking abnormal</c:v>
              </c:pt>
              <c:pt idx="165">
                <c:v>Skin lesion</c:v>
              </c:pt>
              <c:pt idx="166">
                <c:v>Uveitis</c:v>
              </c:pt>
              <c:pt idx="167">
                <c:v>Ocular hyperaemia</c:v>
              </c:pt>
              <c:pt idx="168">
                <c:v>Sudden cardiac death</c:v>
              </c:pt>
              <c:pt idx="169">
                <c:v>Oesophagitis</c:v>
              </c:pt>
              <c:pt idx="170">
                <c:v>Treatment failure</c:v>
              </c:pt>
              <c:pt idx="171">
                <c:v>Oestradiol decreased</c:v>
              </c:pt>
              <c:pt idx="172">
                <c:v>Sinus disorder</c:v>
              </c:pt>
              <c:pt idx="173">
                <c:v>Incorrect route of product administration</c:v>
              </c:pt>
              <c:pt idx="174">
                <c:v>Spinal operation</c:v>
              </c:pt>
              <c:pt idx="175">
                <c:v>Onycholysis</c:v>
              </c:pt>
              <c:pt idx="176">
                <c:v>Tachypnoea</c:v>
              </c:pt>
              <c:pt idx="177">
                <c:v>Optic perineuritis</c:v>
              </c:pt>
              <c:pt idx="178">
                <c:v>Tonsillitis</c:v>
              </c:pt>
              <c:pt idx="179">
                <c:v>Oral lichen planus</c:v>
              </c:pt>
              <c:pt idx="180">
                <c:v>Upper gastrointestinal haemorrhage</c:v>
              </c:pt>
              <c:pt idx="181">
                <c:v>Oropharyngeal discomfort</c:v>
              </c:pt>
              <c:pt idx="182">
                <c:v>Nosocomial infection</c:v>
              </c:pt>
              <c:pt idx="183">
                <c:v>Intestinal resection</c:v>
              </c:pt>
              <c:pt idx="184">
                <c:v>Mycobacterium avium complex infection</c:v>
              </c:pt>
              <c:pt idx="185">
                <c:v>Inappropriate schedule of product administration</c:v>
              </c:pt>
              <c:pt idx="186">
                <c:v>Small intestinal obstruction</c:v>
              </c:pt>
              <c:pt idx="187">
                <c:v>Overweight</c:v>
              </c:pt>
              <c:pt idx="188">
                <c:v>Steroid withdrawal syndrome</c:v>
              </c:pt>
              <c:pt idx="189">
                <c:v>Pain</c:v>
              </c:pt>
              <c:pt idx="190">
                <c:v>Liver function test increased</c:v>
              </c:pt>
              <c:pt idx="191">
                <c:v>Pain in extremity</c:v>
              </c:pt>
              <c:pt idx="192">
                <c:v>Therapeutic product effect decreased</c:v>
              </c:pt>
              <c:pt idx="193">
                <c:v>Palmar-plantar erythrodysaesthesia syndrome</c:v>
              </c:pt>
              <c:pt idx="194">
                <c:v>Inflammatory marker increased</c:v>
              </c:pt>
              <c:pt idx="195">
                <c:v>Medical device site erosion</c:v>
              </c:pt>
              <c:pt idx="196">
                <c:v>Toxic epidermal necrolysis</c:v>
              </c:pt>
              <c:pt idx="197">
                <c:v>Pancreatic neuroendocrine tumour</c:v>
              </c:pt>
              <c:pt idx="198">
                <c:v>Tumour lysis syndrome</c:v>
              </c:pt>
              <c:pt idx="199">
                <c:v>Pancreatitis</c:v>
              </c:pt>
              <c:pt idx="200">
                <c:v>Neurotoxicity</c:v>
              </c:pt>
              <c:pt idx="201">
                <c:v>Intestinal stenosis</c:v>
              </c:pt>
              <c:pt idx="202">
                <c:v>Vertigo</c:v>
              </c:pt>
              <c:pt idx="203">
                <c:v>Pancytopenia</c:v>
              </c:pt>
              <c:pt idx="204">
                <c:v>White blood cell count decreased</c:v>
              </c:pt>
              <c:pt idx="205">
                <c:v>Panic reaction</c:v>
              </c:pt>
              <c:pt idx="206">
                <c:v>Limb operation</c:v>
              </c:pt>
              <c:pt idx="207">
                <c:v>Paraesthesia</c:v>
              </c:pt>
              <c:pt idx="208">
                <c:v>Skin hyperpigmentation</c:v>
              </c:pt>
              <c:pt idx="209">
                <c:v>Paralysis</c:v>
              </c:pt>
              <c:pt idx="210">
                <c:v>Sleep disorder</c:v>
              </c:pt>
              <c:pt idx="211">
                <c:v>Paraneoplastic rash</c:v>
              </c:pt>
              <c:pt idx="212">
                <c:v>Spinal cord neoplasm</c:v>
              </c:pt>
              <c:pt idx="213">
                <c:v>Parapharyngeal space infection</c:v>
              </c:pt>
              <c:pt idx="214">
                <c:v>Squamous cell carcinoma of skin</c:v>
              </c:pt>
              <c:pt idx="215">
                <c:v>Parkinson^s disease</c:v>
              </c:pt>
              <c:pt idx="216">
                <c:v>Stress</c:v>
              </c:pt>
              <c:pt idx="217">
                <c:v>Injection site bruising</c:v>
              </c:pt>
              <c:pt idx="218">
                <c:v>Suicidal ideation</c:v>
              </c:pt>
              <c:pt idx="219">
                <c:v>Pelvic operation</c:v>
              </c:pt>
              <c:pt idx="220">
                <c:v>Localised infection</c:v>
              </c:pt>
              <c:pt idx="221">
                <c:v>Peripheral nerve palsy</c:v>
              </c:pt>
              <c:pt idx="222">
                <c:v>Tension</c:v>
              </c:pt>
              <c:pt idx="223">
                <c:v>Peripheral swelling</c:v>
              </c:pt>
              <c:pt idx="224">
                <c:v>Therapeutic response decreased</c:v>
              </c:pt>
              <c:pt idx="225">
                <c:v>Peritonitis</c:v>
              </c:pt>
              <c:pt idx="226">
                <c:v>Throat irritation</c:v>
              </c:pt>
              <c:pt idx="227">
                <c:v>Peritonsillar abscess</c:v>
              </c:pt>
              <c:pt idx="228">
                <c:v>Thyroid operation</c:v>
              </c:pt>
              <c:pt idx="229">
                <c:v>Photosensitivity reaction</c:v>
              </c:pt>
              <c:pt idx="230">
                <c:v>Tooth abscess</c:v>
              </c:pt>
              <c:pt idx="231">
                <c:v>Pituitary apoplexy</c:v>
              </c:pt>
              <c:pt idx="232">
                <c:v>Intentional overdose</c:v>
              </c:pt>
              <c:pt idx="233">
                <c:v>Plagiocephaly</c:v>
              </c:pt>
              <c:pt idx="234">
                <c:v>Trismus</c:v>
              </c:pt>
              <c:pt idx="235">
                <c:v>Meningitis viral</c:v>
              </c:pt>
              <c:pt idx="236">
                <c:v>Nervous system disorder</c:v>
              </c:pt>
              <c:pt idx="237">
                <c:v>Platelet count decreased</c:v>
              </c:pt>
              <c:pt idx="238">
                <c:v>Upper respiratory tract infection</c:v>
              </c:pt>
              <c:pt idx="239">
                <c:v>Joint abscess</c:v>
              </c:pt>
              <c:pt idx="240">
                <c:v>Intentional self-injury</c:v>
              </c:pt>
              <c:pt idx="241">
                <c:v>Pleural effusion</c:v>
              </c:pt>
              <c:pt idx="242">
                <c:v>Neutrophil count decreased</c:v>
              </c:pt>
              <c:pt idx="243">
                <c:v>Pneumocystis jirovecii pneumonia</c:v>
              </c:pt>
              <c:pt idx="244">
                <c:v>International normalised ratio increased</c:v>
              </c:pt>
              <c:pt idx="245">
                <c:v>Joint space narrowing</c:v>
              </c:pt>
              <c:pt idx="246">
                <c:v>Lymphocytic leukaemia</c:v>
              </c:pt>
              <c:pt idx="247">
                <c:v>Pneumonia adenoviral</c:v>
              </c:pt>
              <c:pt idx="248">
                <c:v>Obstructive sleep apnoea syndrome</c:v>
              </c:pt>
              <c:pt idx="249">
                <c:v>Pneumothorax</c:v>
              </c:pt>
              <c:pt idx="250">
                <c:v>Sinus tachycardia</c:v>
              </c:pt>
              <c:pt idx="251">
                <c:v>Macular detachment</c:v>
              </c:pt>
              <c:pt idx="252">
                <c:v>Sjogren^s syndrome</c:v>
              </c:pt>
              <c:pt idx="253">
                <c:v>Metabolic surgery</c:v>
              </c:pt>
              <c:pt idx="254">
                <c:v>Injury</c:v>
              </c:pt>
              <c:pt idx="255">
                <c:v>Immunodeficiency</c:v>
              </c:pt>
              <c:pt idx="256">
                <c:v>Myocardial ischaemia</c:v>
              </c:pt>
              <c:pt idx="257">
                <c:v>Pregnancy on oral contraceptive</c:v>
              </c:pt>
              <c:pt idx="258">
                <c:v>Skin toxicity</c:v>
              </c:pt>
              <c:pt idx="259">
                <c:v>Premature baby</c:v>
              </c:pt>
              <c:pt idx="260">
                <c:v>Sleep disorder due to a general medical condition</c:v>
              </c:pt>
              <c:pt idx="261">
                <c:v>Metastases to adrenals</c:v>
              </c:pt>
              <c:pt idx="262">
                <c:v>Small intestine operation</c:v>
              </c:pt>
              <c:pt idx="263">
                <c:v>Premature rupture of membranes</c:v>
              </c:pt>
              <c:pt idx="264">
                <c:v>Spinal disorder</c:v>
              </c:pt>
              <c:pt idx="265">
                <c:v>Metastases to central nervous system</c:v>
              </c:pt>
              <c:pt idx="266">
                <c:v>Spinal pain</c:v>
              </c:pt>
              <c:pt idx="267">
                <c:v>Knee arthroplasty</c:v>
              </c:pt>
              <c:pt idx="268">
                <c:v>Influenza like illness</c:v>
              </c:pt>
              <c:pt idx="269">
                <c:v>Metastatic malignant melanoma</c:v>
              </c:pt>
              <c:pt idx="270">
                <c:v>Stomatitis</c:v>
              </c:pt>
              <c:pt idx="271">
                <c:v>Product use issue</c:v>
              </c:pt>
              <c:pt idx="272">
                <c:v>Subacute cutaneous lupus erythematosus</c:v>
              </c:pt>
              <c:pt idx="273">
                <c:v>Middle insomnia</c:v>
              </c:pt>
              <c:pt idx="274">
                <c:v>Sudden hearing loss</c:v>
              </c:pt>
              <c:pt idx="275">
                <c:v>Prostate cancer</c:v>
              </c:pt>
              <c:pt idx="276">
                <c:v>Mast cell activation syndrome</c:v>
              </c:pt>
              <c:pt idx="277">
                <c:v>Prostate infection</c:v>
              </c:pt>
              <c:pt idx="278">
                <c:v>Synovitis</c:v>
              </c:pt>
              <c:pt idx="279">
                <c:v>Prostatic disorder</c:v>
              </c:pt>
              <c:pt idx="280">
                <c:v>Tachycardia</c:v>
              </c:pt>
              <c:pt idx="281">
                <c:v>Mixed liver injury</c:v>
              </c:pt>
              <c:pt idx="282">
                <c:v>Tendon rupture</c:v>
              </c:pt>
              <c:pt idx="283">
                <c:v>Pulmonary embolism</c:v>
              </c:pt>
              <c:pt idx="284">
                <c:v>Terminal ileitis</c:v>
              </c:pt>
              <c:pt idx="285">
                <c:v>Pulmonary hypertension</c:v>
              </c:pt>
              <c:pt idx="286">
                <c:v>Loss of consciousness</c:v>
              </c:pt>
              <c:pt idx="287">
                <c:v>Pulmonary mass</c:v>
              </c:pt>
              <c:pt idx="288">
                <c:v>Lower limb fracture</c:v>
              </c:pt>
              <c:pt idx="289">
                <c:v>Mood altered</c:v>
              </c:pt>
              <c:pt idx="290">
                <c:v>Throat cancer</c:v>
              </c:pt>
              <c:pt idx="291">
                <c:v>Mucosal inflammation</c:v>
              </c:pt>
              <c:pt idx="292">
                <c:v>Throat tightness</c:v>
              </c:pt>
              <c:pt idx="293">
                <c:v>Pyoderma gangrenosum</c:v>
              </c:pt>
              <c:pt idx="294">
                <c:v>Thrombosis</c:v>
              </c:pt>
              <c:pt idx="295">
                <c:v>Lymphopenia</c:v>
              </c:pt>
              <c:pt idx="296">
                <c:v>Tongue carcinoma stage 0</c:v>
              </c:pt>
              <c:pt idx="297">
                <c:v>Knuckle pads</c:v>
              </c:pt>
              <c:pt idx="298">
                <c:v>Tonsillitis streptococcal</c:v>
              </c:pt>
              <c:pt idx="299">
                <c:v>Rash vesicular</c:v>
              </c:pt>
              <c:pt idx="300">
                <c:v>Neck pain</c:v>
              </c:pt>
              <c:pt idx="301">
                <c:v>Rectal cancer</c:v>
              </c:pt>
              <c:pt idx="302">
                <c:v>Maternal exposure before pregnancy</c:v>
              </c:pt>
              <c:pt idx="303">
                <c:v>Labyrinthitis</c:v>
              </c:pt>
              <c:pt idx="304">
                <c:v>Traumatic lung injury</c:v>
              </c:pt>
              <c:pt idx="305">
                <c:v>Lack of spontaneous speech</c:v>
              </c:pt>
              <c:pt idx="306">
                <c:v>Tremor</c:v>
              </c:pt>
              <c:pt idx="307">
                <c:v>Lacrimation increased</c:v>
              </c:pt>
              <c:pt idx="308">
                <c:v>Trisomy 18</c:v>
              </c:pt>
              <c:pt idx="309">
                <c:v>Respiratory distress</c:v>
              </c:pt>
              <c:pt idx="310">
                <c:v>Tumour pseudoprogression</c:v>
              </c:pt>
              <c:pt idx="311">
                <c:v>Multiple fractures</c:v>
              </c:pt>
              <c:pt idx="312">
                <c:v>Intentional product use issue</c:v>
              </c:pt>
              <c:pt idx="313">
                <c:v>Multiple organ dysfunction syndrome</c:v>
              </c:pt>
              <c:pt idx="314">
                <c:v>Upper limb fracture</c:v>
              </c:pt>
              <c:pt idx="315">
                <c:v>Respiratory tract malformation</c:v>
              </c:pt>
              <c:pt idx="316">
                <c:v>Lung neoplasm malignant</c:v>
              </c:pt>
              <c:pt idx="317">
                <c:v>Retinal phototoxicity</c:v>
              </c:pt>
              <c:pt idx="318">
                <c:v>Urinary tract malformation</c:v>
              </c:pt>
              <c:pt idx="319">
                <c:v>Rheumatoid arthritis</c:v>
              </c:pt>
              <c:pt idx="320">
                <c:v>Urticaria</c:v>
              </c:pt>
              <c:pt idx="321">
                <c:v>Impaired quality of life</c:v>
              </c:pt>
              <c:pt idx="322">
                <c:v>Lupus nephritis</c:v>
              </c:pt>
              <c:pt idx="323">
                <c:v>Muscle haemorrhage</c:v>
              </c:pt>
              <c:pt idx="324">
                <c:v>Ventricular septal defect</c:v>
              </c:pt>
              <c:pt idx="325">
                <c:v>Schizophrenia</c:v>
              </c:pt>
              <c:pt idx="326">
                <c:v>Viral infection</c:v>
              </c:pt>
              <c:pt idx="327">
                <c:v>Second primary malignancy</c:v>
              </c:pt>
              <c:pt idx="328">
                <c:v>Virologic failure</c:v>
              </c:pt>
              <c:pt idx="329">
                <c:v>Inflammatory bowel disease</c:v>
              </c:pt>
              <c:pt idx="330">
                <c:v>Obesity</c:v>
              </c:pt>
              <c:pt idx="331">
                <c:v>Ligament rupture</c:v>
              </c:pt>
              <c:pt idx="332">
                <c:v>Lymphoma</c:v>
              </c:pt>
              <c:pt idx="333">
                <c:v>Musculoskeletal chest pain</c:v>
              </c:pt>
              <c:pt idx="334">
                <c:v>Withdrawal syndrome</c:v>
              </c:pt>
              <c:pt idx="335">
                <c:v>Serotonin syndrome</c:v>
              </c:pt>
              <c:pt idx="336">
                <c:v>Shoulder fracture</c:v>
              </c:pt>
              <c:pt idx="337">
                <c:v>Post procedural fistula</c:v>
              </c:pt>
              <c:pt idx="338">
                <c:v>Precancerous lesion excision</c:v>
              </c:pt>
              <c:pt idx="339">
                <c:v>Achlorhydria</c:v>
              </c:pt>
              <c:pt idx="340">
                <c:v>Eye operation</c:v>
              </c:pt>
              <c:pt idx="341">
                <c:v>Hot flush</c:v>
              </c:pt>
              <c:pt idx="342">
                <c:v>Central nervous system lymphoma</c:v>
              </c:pt>
              <c:pt idx="343">
                <c:v>Foot operation</c:v>
              </c:pt>
              <c:pt idx="344">
                <c:v>Cerebral haemorrhage</c:v>
              </c:pt>
              <c:pt idx="345">
                <c:v>Heart rate irregular</c:v>
              </c:pt>
              <c:pt idx="346">
                <c:v>Anal fistula</c:v>
              </c:pt>
              <c:pt idx="347">
                <c:v>Immune-mediated cholangitis</c:v>
              </c:pt>
              <c:pt idx="348">
                <c:v>Abdominal distension</c:v>
              </c:pt>
              <c:pt idx="349">
                <c:v>Femoral neck fracture</c:v>
              </c:pt>
              <c:pt idx="350">
                <c:v>Cervical dysplasia</c:v>
              </c:pt>
              <c:pt idx="351">
                <c:v>Gastric haemorrhage</c:v>
              </c:pt>
              <c:pt idx="352">
                <c:v>Chalazion</c:v>
              </c:pt>
              <c:pt idx="353">
                <c:v>Hallucination, olfactory</c:v>
              </c:pt>
              <c:pt idx="354">
                <c:v>Chemical submission</c:v>
              </c:pt>
              <c:pt idx="355">
                <c:v>Hepatitis C</c:v>
              </c:pt>
              <c:pt idx="356">
                <c:v>Chest discomfort</c:v>
              </c:pt>
              <c:pt idx="357">
                <c:v>Hypogammaglobulinaemia</c:v>
              </c:pt>
              <c:pt idx="358">
                <c:v>Actinic keratosis</c:v>
              </c:pt>
              <c:pt idx="359">
                <c:v>Epstein-Barr virus infection</c:v>
              </c:pt>
              <c:pt idx="360">
                <c:v>Anger</c:v>
              </c:pt>
              <c:pt idx="361">
                <c:v>Body temperature increased</c:v>
              </c:pt>
              <c:pt idx="362">
                <c:v>Choking</c:v>
              </c:pt>
              <c:pt idx="363">
                <c:v>Bradycardia</c:v>
              </c:pt>
              <c:pt idx="364">
                <c:v>Cholangitis sclerosing</c:v>
              </c:pt>
              <c:pt idx="365">
                <c:v>Gait disturbance</c:v>
              </c:pt>
              <c:pt idx="366">
                <c:v>Cholestasis</c:v>
              </c:pt>
              <c:pt idx="367">
                <c:v>Breast cancer</c:v>
              </c:pt>
              <c:pt idx="368">
                <c:v>Chronic cutaneous lupus erythematosus</c:v>
              </c:pt>
              <c:pt idx="369">
                <c:v>Alport^s syndrome</c:v>
              </c:pt>
              <c:pt idx="370">
                <c:v>Chronic graft versus host disease</c:v>
              </c:pt>
              <c:pt idx="371">
                <c:v>Head injury</c:v>
              </c:pt>
              <c:pt idx="372">
                <c:v>Angina pectoris</c:v>
              </c:pt>
              <c:pt idx="373">
                <c:v>Hepatic encephalopathy</c:v>
              </c:pt>
              <c:pt idx="374">
                <c:v>Chronic myelomonocytic leukaemia</c:v>
              </c:pt>
              <c:pt idx="375">
                <c:v>Herpes simplex hepatitis</c:v>
              </c:pt>
              <c:pt idx="376">
                <c:v>Chronic obstructive pulmonary disease</c:v>
              </c:pt>
              <c:pt idx="377">
                <c:v>Hyperthermia malignant</c:v>
              </c:pt>
              <c:pt idx="378">
                <c:v>Cognitive disorder</c:v>
              </c:pt>
              <c:pt idx="379">
                <c:v>Hysterectomy</c:v>
              </c:pt>
              <c:pt idx="380">
                <c:v>Acute graft versus host disease in intestine</c:v>
              </c:pt>
              <c:pt idx="381">
                <c:v>Endocarditis</c:v>
              </c:pt>
              <c:pt idx="382">
                <c:v>Colon cancer</c:v>
              </c:pt>
              <c:pt idx="383">
                <c:v>Ewing^s sarcoma</c:v>
              </c:pt>
              <c:pt idx="384">
                <c:v>Colorectal cancer</c:v>
              </c:pt>
              <c:pt idx="385">
                <c:v>Fanconi syndrome</c:v>
              </c:pt>
              <c:pt idx="386">
                <c:v>Completed suicide</c:v>
              </c:pt>
              <c:pt idx="387">
                <c:v>Bone cancer</c:v>
              </c:pt>
              <c:pt idx="388">
                <c:v>Ankylosing spondylitis</c:v>
              </c:pt>
              <c:pt idx="389">
                <c:v>Bone marrow failure</c:v>
              </c:pt>
              <c:pt idx="390">
                <c:v>Congenital cystic kidney disease</c:v>
              </c:pt>
              <c:pt idx="391">
                <c:v>Foetal heart rate deceleration abnormality</c:v>
              </c:pt>
              <c:pt idx="392">
                <c:v>Congenital genitourinary abnormality</c:v>
              </c:pt>
              <c:pt idx="393">
                <c:v>Fulminant type 1 diabetes mellitus</c:v>
              </c:pt>
              <c:pt idx="394">
                <c:v>Abscess</c:v>
              </c:pt>
              <c:pt idx="395">
                <c:v>Brain stem syndrome</c:v>
              </c:pt>
              <c:pt idx="396">
                <c:v>Contrast media reaction</c:v>
              </c:pt>
              <c:pt idx="397">
                <c:v>Gastrointestinal infection</c:v>
              </c:pt>
              <c:pt idx="398">
                <c:v>Aortic valve replacement</c:v>
              </c:pt>
              <c:pt idx="399">
                <c:v>Growth disorder</c:v>
              </c:pt>
              <c:pt idx="400">
                <c:v>Coronavirus infection</c:v>
              </c:pt>
              <c:pt idx="401">
                <c:v>Haematoma</c:v>
              </c:pt>
              <c:pt idx="402">
                <c:v>Application site scar</c:v>
              </c:pt>
              <c:pt idx="403">
                <c:v>Hair texture abnormal</c:v>
              </c:pt>
              <c:pt idx="404">
                <c:v>Acute respiratory distress syndrome</c:v>
              </c:pt>
              <c:pt idx="405">
                <c:v>Hand fracture</c:v>
              </c:pt>
              <c:pt idx="406">
                <c:v>Adverse drug reaction</c:v>
              </c:pt>
              <c:pt idx="407">
                <c:v>Heart rate abnormal</c:v>
              </c:pt>
              <c:pt idx="408">
                <c:v>Arthritis bacterial</c:v>
              </c:pt>
              <c:pt idx="409">
                <c:v>Cardiac flutter</c:v>
              </c:pt>
              <c:pt idx="410">
                <c:v>Arthropathy</c:v>
              </c:pt>
              <c:pt idx="411">
                <c:v>Hepatic function abnormal</c:v>
              </c:pt>
              <c:pt idx="412">
                <c:v>Croup infectious</c:v>
              </c:pt>
              <c:pt idx="413">
                <c:v>Hereditary angioedema</c:v>
              </c:pt>
              <c:pt idx="414">
                <c:v>Cystitis</c:v>
              </c:pt>
              <c:pt idx="415">
                <c:v>Hip fracture</c:v>
              </c:pt>
              <c:pt idx="416">
                <c:v>Cystitis haemorrhagic</c:v>
              </c:pt>
              <c:pt idx="417">
                <c:v>Carotid artery disease</c:v>
              </c:pt>
              <c:pt idx="418">
                <c:v>Cytomegalovirus chorioretinitis</c:v>
              </c:pt>
              <c:pt idx="419">
                <c:v>Hypertriglyceridaemia</c:v>
              </c:pt>
              <c:pt idx="420">
                <c:v>Dacryostenosis acquired</c:v>
              </c:pt>
              <c:pt idx="421">
                <c:v>Hyponatraemia</c:v>
              </c:pt>
              <c:pt idx="422">
                <c:v>Deafness</c:v>
              </c:pt>
              <c:pt idx="423">
                <c:v>Catheter site infection</c:v>
              </c:pt>
              <c:pt idx="424">
                <c:v>Aspergillus infection</c:v>
              </c:pt>
              <c:pt idx="425">
                <c:v>Immune-mediated lung disease</c:v>
              </c:pt>
              <c:pt idx="426">
                <c:v>Aspiration</c:v>
              </c:pt>
              <c:pt idx="427">
                <c:v>Blood potassium decreased</c:v>
              </c:pt>
              <c:pt idx="428">
                <c:v>Death neonatal</c:v>
              </c:pt>
              <c:pt idx="429">
                <c:v>Euglycaemic diabetic ketoacidosis</c:v>
              </c:pt>
              <c:pt idx="430">
                <c:v>Decreased appetite</c:v>
              </c:pt>
              <c:pt idx="431">
                <c:v>Eye allergy</c:v>
              </c:pt>
              <c:pt idx="432">
                <c:v>Dehydration</c:v>
              </c:pt>
              <c:pt idx="433">
                <c:v>Abscess oral</c:v>
              </c:pt>
              <c:pt idx="434">
                <c:v>Delirium</c:v>
              </c:pt>
              <c:pt idx="435">
                <c:v>Fanconi syndrome acquired</c:v>
              </c:pt>
              <c:pt idx="436">
                <c:v>Immune-mediated myasthenia gravis</c:v>
              </c:pt>
              <c:pt idx="437">
                <c:v>Febrile neutropenia</c:v>
              </c:pt>
              <c:pt idx="438">
                <c:v>Abdominal abscess</c:v>
              </c:pt>
              <c:pt idx="439">
                <c:v>Female genital tract fistula</c:v>
              </c:pt>
              <c:pt idx="440">
                <c:v>Asthenia</c:v>
              </c:pt>
              <c:pt idx="441">
                <c:v>Femur fracture</c:v>
              </c:pt>
              <c:pt idx="442">
                <c:v>Dermal cyst</c:v>
              </c:pt>
              <c:pt idx="443">
                <c:v>Foetal disorder</c:v>
              </c:pt>
              <c:pt idx="444">
                <c:v>Dermatitis</c:v>
              </c:pt>
              <c:pt idx="445">
                <c:v>Brain abscess</c:v>
              </c:pt>
              <c:pt idx="446">
                <c:v>Dermatomyositis</c:v>
              </c:pt>
              <c:pt idx="447">
                <c:v>Foot fracture</c:v>
              </c:pt>
              <c:pt idx="448">
                <c:v>Developmental hip dysplasia</c:v>
              </c:pt>
              <c:pt idx="449">
                <c:v>Fracture</c:v>
              </c:pt>
              <c:pt idx="450">
                <c:v>Device breakage</c:v>
              </c:pt>
              <c:pt idx="451">
                <c:v>Fungaemia</c:v>
              </c:pt>
              <c:pt idx="452">
                <c:v>Device dislocation</c:v>
              </c:pt>
              <c:pt idx="453">
                <c:v>Brain operation</c:v>
              </c:pt>
              <c:pt idx="454">
                <c:v>Diabetes insipidus</c:v>
              </c:pt>
              <c:pt idx="455">
                <c:v>Gambling disorder</c:v>
              </c:pt>
              <c:pt idx="456">
                <c:v>Abscess intestinal</c:v>
              </c:pt>
              <c:pt idx="457">
                <c:v>Gastrointestinal disorder</c:v>
              </c:pt>
              <c:pt idx="458">
                <c:v>Diabetes mellitus inadequate control</c:v>
              </c:pt>
              <c:pt idx="459">
                <c:v>Gastrointestinal obstruction</c:v>
              </c:pt>
              <c:pt idx="460">
                <c:v>Diabetic foot infection</c:v>
              </c:pt>
              <c:pt idx="461">
                <c:v>Glaucoma</c:v>
              </c:pt>
              <c:pt idx="462">
                <c:v>Diabetic metabolic decompensation</c:v>
              </c:pt>
              <c:pt idx="463">
                <c:v>Breast mass</c:v>
              </c:pt>
              <c:pt idx="464">
                <c:v>Atrial fibrillation</c:v>
              </c:pt>
              <c:pt idx="465">
                <c:v>Bronchopulmonary aspergillosis</c:v>
              </c:pt>
              <c:pt idx="466">
                <c:v>Atrioventricular block complete</c:v>
              </c:pt>
              <c:pt idx="467">
                <c:v>Burkitt^s lymphoma</c:v>
              </c:pt>
              <c:pt idx="468">
                <c:v>Disease recurrence</c:v>
              </c:pt>
              <c:pt idx="469">
                <c:v>Haemorrhage intracranial</c:v>
              </c:pt>
              <c:pt idx="470">
                <c:v>Disorientation</c:v>
              </c:pt>
              <c:pt idx="471">
                <c:v>Cardiac disorder</c:v>
              </c:pt>
              <c:pt idx="472">
                <c:v>Disturbance in attention</c:v>
              </c:pt>
              <c:pt idx="473">
                <c:v>Hand amputation</c:v>
              </c:pt>
              <c:pt idx="474">
                <c:v>Diverticulitis</c:v>
              </c:pt>
              <c:pt idx="475">
                <c:v>Head discomfort</c:v>
              </c:pt>
              <c:pt idx="476">
                <c:v>Aggression</c:v>
              </c:pt>
              <c:pt idx="477">
                <c:v>Amoebiasis</c:v>
              </c:pt>
              <c:pt idx="478">
                <c:v>Autoimmune myocarditis</c:v>
              </c:pt>
              <c:pt idx="479">
                <c:v>Heart rate increased</c:v>
              </c:pt>
              <c:pt idx="480">
                <c:v>Back pain</c:v>
              </c:pt>
              <c:pt idx="481">
                <c:v>Heavy menstrual bleeding</c:v>
              </c:pt>
              <c:pt idx="482">
                <c:v>Balance disorder</c:v>
              </c:pt>
              <c:pt idx="483">
                <c:v>Heparin-induced thrombocytopenia</c:v>
              </c:pt>
              <c:pt idx="484">
                <c:v>Drug ineffective for unapproved indication</c:v>
              </c:pt>
              <c:pt idx="485">
                <c:v>Hepatic enzyme increased</c:v>
              </c:pt>
              <c:pt idx="486">
                <c:v>Drug interaction</c:v>
              </c:pt>
              <c:pt idx="487">
                <c:v>Hepatic vein thrombosis</c:v>
              </c:pt>
              <c:pt idx="488">
                <c:v>Bell^s palsy</c:v>
              </c:pt>
              <c:pt idx="489">
                <c:v>Cardiac operation</c:v>
              </c:pt>
              <c:pt idx="490">
                <c:v>Bipolar disorder</c:v>
              </c:pt>
              <c:pt idx="491">
                <c:v>Hernia</c:v>
              </c:pt>
              <c:pt idx="492">
                <c:v>Agranulocytosis</c:v>
              </c:pt>
              <c:pt idx="493">
                <c:v>Cardiomegaly</c:v>
              </c:pt>
              <c:pt idx="494">
                <c:v>Blindness unilateral</c:v>
              </c:pt>
              <c:pt idx="495">
                <c:v>Cardiotoxicity</c:v>
              </c:pt>
              <c:pt idx="496">
                <c:v>Dry eye</c:v>
              </c:pt>
              <c:pt idx="497">
                <c:v>Hyperglycaemic hyperosmolar nonketotic syndrome</c:v>
              </c:pt>
              <c:pt idx="498">
                <c:v>Blister</c:v>
              </c:pt>
              <c:pt idx="499">
                <c:v>Hypertension</c:v>
              </c:pt>
              <c:pt idx="500">
                <c:v>Dyspepsia</c:v>
              </c:pt>
              <c:pt idx="501">
                <c:v>Hyperthyroidism</c:v>
              </c:pt>
              <c:pt idx="502">
                <c:v>Blood glucose increased</c:v>
              </c:pt>
              <c:pt idx="503">
                <c:v>Anaemia</c:v>
              </c:pt>
              <c:pt idx="504">
                <c:v>Eating disorder</c:v>
              </c:pt>
              <c:pt idx="505">
                <c:v>Hypokalaemia</c:v>
              </c:pt>
              <c:pt idx="506">
                <c:v>Eczema</c:v>
              </c:pt>
              <c:pt idx="507">
                <c:v>Hypophagia</c:v>
              </c:pt>
              <c:pt idx="508">
                <c:v>Blood phosphorus increased</c:v>
              </c:pt>
              <c:pt idx="509">
                <c:v>Ileal ulcer</c:v>
              </c:pt>
              <c:pt idx="510">
                <c:v>Emotional distress</c:v>
              </c:pt>
              <c:pt idx="511">
                <c:v>CD19 lymphocytes decreased</c:v>
              </c:pt>
              <c:pt idx="512">
                <c:v>Encephalitis autoimmune</c:v>
              </c:pt>
              <c:pt idx="513">
                <c:v>Immune-mediated enterocolitis</c:v>
              </c:pt>
              <c:pt idx="514">
                <c:v>Encephalopathy</c:v>
              </c:pt>
              <c:pt idx="515">
                <c:v>Anal cancer</c:v>
              </c:pt>
              <c:pt idx="516">
                <c:v>End stage renal disease</c:v>
              </c:pt>
              <c:pt idx="517">
                <c:v>Dependence</c:v>
              </c:pt>
            </c:strLit>
          </c:cat>
          <c:val>
            <c:numLit>
              <c:formatCode>General</c:formatCode>
              <c:ptCount val="518"/>
              <c:pt idx="0">
                <c:v>32</c:v>
              </c:pt>
              <c:pt idx="1">
                <c:v>25</c:v>
              </c:pt>
              <c:pt idx="2">
                <c:v>23</c:v>
              </c:pt>
              <c:pt idx="3">
                <c:v>21</c:v>
              </c:pt>
              <c:pt idx="4">
                <c:v>17</c:v>
              </c:pt>
              <c:pt idx="5">
                <c:v>14</c:v>
              </c:pt>
              <c:pt idx="6">
                <c:v>12</c:v>
              </c:pt>
              <c:pt idx="7">
                <c:v>12</c:v>
              </c:pt>
              <c:pt idx="8">
                <c:v>11</c:v>
              </c:pt>
              <c:pt idx="9">
                <c:v>8</c:v>
              </c:pt>
              <c:pt idx="10">
                <c:v>7</c:v>
              </c:pt>
              <c:pt idx="11">
                <c:v>7</c:v>
              </c:pt>
              <c:pt idx="12">
                <c:v>7</c:v>
              </c:pt>
              <c:pt idx="13">
                <c:v>6</c:v>
              </c:pt>
              <c:pt idx="14">
                <c:v>6</c:v>
              </c:pt>
              <c:pt idx="15">
                <c:v>6</c:v>
              </c:pt>
              <c:pt idx="16">
                <c:v>6</c:v>
              </c:pt>
              <c:pt idx="17">
                <c:v>5</c:v>
              </c:pt>
              <c:pt idx="18">
                <c:v>5</c:v>
              </c:pt>
              <c:pt idx="19">
                <c:v>5</c:v>
              </c:pt>
              <c:pt idx="20">
                <c:v>5</c:v>
              </c:pt>
              <c:pt idx="21">
                <c:v>5</c:v>
              </c:pt>
              <c:pt idx="22">
                <c:v>5</c:v>
              </c:pt>
              <c:pt idx="23">
                <c:v>5</c:v>
              </c:pt>
              <c:pt idx="24">
                <c:v>5</c:v>
              </c:pt>
              <c:pt idx="25">
                <c:v>5</c:v>
              </c:pt>
              <c:pt idx="26">
                <c:v>5</c:v>
              </c:pt>
              <c:pt idx="27">
                <c:v>5</c:v>
              </c:pt>
              <c:pt idx="28">
                <c:v>5</c:v>
              </c:pt>
              <c:pt idx="29">
                <c:v>5</c:v>
              </c:pt>
              <c:pt idx="30">
                <c:v>5</c:v>
              </c:pt>
              <c:pt idx="31">
                <c:v>5</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pt idx="51">
                <c:v>4</c:v>
              </c:pt>
              <c:pt idx="52">
                <c:v>4</c:v>
              </c:pt>
              <c:pt idx="53">
                <c:v>4</c:v>
              </c:pt>
              <c:pt idx="54">
                <c:v>4</c:v>
              </c:pt>
              <c:pt idx="55">
                <c:v>4</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2</c:v>
              </c:pt>
              <c:pt idx="143">
                <c:v>2</c:v>
              </c:pt>
              <c:pt idx="144">
                <c:v>2</c:v>
              </c:pt>
              <c:pt idx="145">
                <c:v>2</c:v>
              </c:pt>
              <c:pt idx="146">
                <c:v>2</c:v>
              </c:pt>
              <c:pt idx="147">
                <c:v>2</c:v>
              </c:pt>
              <c:pt idx="148">
                <c:v>2</c:v>
              </c:pt>
              <c:pt idx="149">
                <c:v>2</c:v>
              </c:pt>
              <c:pt idx="150">
                <c:v>2</c:v>
              </c:pt>
              <c:pt idx="151">
                <c:v>2</c:v>
              </c:pt>
              <c:pt idx="152">
                <c:v>2</c:v>
              </c:pt>
              <c:pt idx="153">
                <c:v>2</c:v>
              </c:pt>
              <c:pt idx="154">
                <c:v>2</c:v>
              </c:pt>
              <c:pt idx="155">
                <c:v>2</c:v>
              </c:pt>
              <c:pt idx="156">
                <c:v>2</c:v>
              </c:pt>
              <c:pt idx="157">
                <c:v>2</c:v>
              </c:pt>
              <c:pt idx="158">
                <c:v>2</c:v>
              </c:pt>
              <c:pt idx="159">
                <c:v>2</c:v>
              </c:pt>
              <c:pt idx="160">
                <c:v>2</c:v>
              </c:pt>
              <c:pt idx="161">
                <c:v>2</c:v>
              </c:pt>
              <c:pt idx="162">
                <c:v>2</c:v>
              </c:pt>
              <c:pt idx="163">
                <c:v>2</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numLit>
          </c:val>
          <c:smooth val="0"/>
          <c:extLst>
            <c:ext xmlns:c16="http://schemas.microsoft.com/office/drawing/2014/chart" uri="{C3380CC4-5D6E-409C-BE32-E72D297353CC}">
              <c16:uniqueId val="{00000000-E682-4320-A8A1-B20CCDA340E2}"/>
            </c:ext>
          </c:extLst>
        </c:ser>
        <c:dLbls>
          <c:showLegendKey val="0"/>
          <c:showVal val="0"/>
          <c:showCatName val="0"/>
          <c:showSerName val="0"/>
          <c:showPercent val="0"/>
          <c:showBubbleSize val="0"/>
        </c:dLbls>
        <c:smooth val="0"/>
        <c:axId val="242271696"/>
        <c:axId val="242259696"/>
      </c:lineChart>
      <c:catAx>
        <c:axId val="24227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259696"/>
        <c:crosses val="autoZero"/>
        <c:auto val="1"/>
        <c:lblAlgn val="ctr"/>
        <c:lblOffset val="100"/>
        <c:noMultiLvlLbl val="0"/>
      </c:catAx>
      <c:valAx>
        <c:axId val="242259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27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Serious vs Non-Serious Adverse Events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CA-4398-B663-BF05F887E1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CA-4398-B663-BF05F887E1B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199</c:v>
              </c:pt>
              <c:pt idx="1">
                <c:v>800</c:v>
              </c:pt>
            </c:numLit>
          </c:val>
          <c:extLst>
            <c:ext xmlns:c16="http://schemas.microsoft.com/office/drawing/2014/chart" uri="{C3380CC4-5D6E-409C-BE32-E72D297353CC}">
              <c16:uniqueId val="{00000004-20CA-4398-B663-BF05F887E1B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Distribution of Adverse Events by MedDRA SOC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64537034284476"/>
          <c:y val="9.4370662382022394E-2"/>
          <c:w val="0.81205262668433853"/>
          <c:h val="0.45408184524263223"/>
        </c:manualLayout>
      </c:layout>
      <c:barChart>
        <c:barDir val="col"/>
        <c:grouping val="stacked"/>
        <c:varyColors val="0"/>
        <c:ser>
          <c:idx val="0"/>
          <c:order val="0"/>
          <c:tx>
            <c:v>Total</c:v>
          </c:tx>
          <c:spPr>
            <a:solidFill>
              <a:schemeClr val="accent1"/>
            </a:solidFill>
            <a:ln>
              <a:noFill/>
            </a:ln>
            <a:effectLst/>
          </c:spPr>
          <c:invertIfNegative val="0"/>
          <c:cat>
            <c:strLit>
              <c:ptCount val="17"/>
              <c:pt idx="1">
                <c:v>Blood and lymphatic system disorders</c:v>
              </c:pt>
              <c:pt idx="2">
                <c:v>Endocrine disorders</c:v>
              </c:pt>
              <c:pt idx="3">
                <c:v>Eye disorders</c:v>
              </c:pt>
              <c:pt idx="4">
                <c:v>Gastrointestinal disorders</c:v>
              </c:pt>
              <c:pt idx="5">
                <c:v>General disorders and administration site conditions</c:v>
              </c:pt>
              <c:pt idx="6">
                <c:v>Immune system disorders</c:v>
              </c:pt>
              <c:pt idx="7">
                <c:v>Infections and infestations</c:v>
              </c:pt>
              <c:pt idx="8">
                <c:v>Metabolism and nutrition disorders</c:v>
              </c:pt>
              <c:pt idx="9">
                <c:v>Neoplasms benign, malignant and unspecified</c:v>
              </c:pt>
              <c:pt idx="10">
                <c:v>Nervous system disorders</c:v>
              </c:pt>
              <c:pt idx="11">
                <c:v>Pregnancy, puerperium and perinatal conditions</c:v>
              </c:pt>
              <c:pt idx="12">
                <c:v>Product issues</c:v>
              </c:pt>
              <c:pt idx="13">
                <c:v>Renal and urinary disorders</c:v>
              </c:pt>
              <c:pt idx="14">
                <c:v>Respiratory, thoracic and mediastinal disorders</c:v>
              </c:pt>
              <c:pt idx="15">
                <c:v>Skin and subcutaneous tissue disorders</c:v>
              </c:pt>
              <c:pt idx="16">
                <c:v>Vascular disorders</c:v>
              </c:pt>
            </c:strLit>
          </c:cat>
          <c:val>
            <c:numLit>
              <c:formatCode>General</c:formatCode>
              <c:ptCount val="17"/>
              <c:pt idx="0">
                <c:v>704</c:v>
              </c:pt>
              <c:pt idx="1">
                <c:v>12</c:v>
              </c:pt>
              <c:pt idx="2">
                <c:v>12</c:v>
              </c:pt>
              <c:pt idx="3">
                <c:v>7</c:v>
              </c:pt>
              <c:pt idx="4">
                <c:v>5</c:v>
              </c:pt>
              <c:pt idx="5">
                <c:v>48</c:v>
              </c:pt>
              <c:pt idx="6">
                <c:v>62</c:v>
              </c:pt>
              <c:pt idx="7">
                <c:v>33</c:v>
              </c:pt>
              <c:pt idx="8">
                <c:v>10</c:v>
              </c:pt>
              <c:pt idx="9">
                <c:v>5</c:v>
              </c:pt>
              <c:pt idx="10">
                <c:v>12</c:v>
              </c:pt>
              <c:pt idx="11">
                <c:v>44</c:v>
              </c:pt>
              <c:pt idx="12">
                <c:v>6</c:v>
              </c:pt>
              <c:pt idx="13">
                <c:v>15</c:v>
              </c:pt>
              <c:pt idx="14">
                <c:v>5</c:v>
              </c:pt>
              <c:pt idx="15">
                <c:v>14</c:v>
              </c:pt>
              <c:pt idx="16">
                <c:v>5</c:v>
              </c:pt>
            </c:numLit>
          </c:val>
          <c:extLst>
            <c:ext xmlns:c16="http://schemas.microsoft.com/office/drawing/2014/chart" uri="{C3380CC4-5D6E-409C-BE32-E72D297353CC}">
              <c16:uniqueId val="{00000000-5D4C-4FAA-B0CC-AFEEDB8958F1}"/>
            </c:ext>
          </c:extLst>
        </c:ser>
        <c:dLbls>
          <c:dLblPos val="ctr"/>
          <c:showLegendKey val="0"/>
          <c:showVal val="0"/>
          <c:showCatName val="0"/>
          <c:showSerName val="0"/>
          <c:showPercent val="0"/>
          <c:showBubbleSize val="0"/>
        </c:dLbls>
        <c:gapWidth val="150"/>
        <c:overlap val="100"/>
        <c:axId val="405221600"/>
        <c:axId val="509877152"/>
      </c:barChart>
      <c:catAx>
        <c:axId val="405221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877152"/>
        <c:crosses val="autoZero"/>
        <c:auto val="1"/>
        <c:lblAlgn val="ctr"/>
        <c:lblOffset val="100"/>
        <c:noMultiLvlLbl val="0"/>
      </c:catAx>
      <c:valAx>
        <c:axId val="5098771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22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68580</xdr:rowOff>
    </xdr:from>
    <xdr:to>
      <xdr:col>26</xdr:col>
      <xdr:colOff>405741</xdr:colOff>
      <xdr:row>40</xdr:row>
      <xdr:rowOff>146539</xdr:rowOff>
    </xdr:to>
    <xdr:sp macro="" textlink="">
      <xdr:nvSpPr>
        <xdr:cNvPr id="2" name="Rectangle 1">
          <a:extLst>
            <a:ext uri="{FF2B5EF4-FFF2-40B4-BE49-F238E27FC236}">
              <a16:creationId xmlns:a16="http://schemas.microsoft.com/office/drawing/2014/main" id="{A230C68E-3160-2EBD-0E45-B89BC577F0A1}"/>
            </a:ext>
          </a:extLst>
        </xdr:cNvPr>
        <xdr:cNvSpPr/>
      </xdr:nvSpPr>
      <xdr:spPr>
        <a:xfrm>
          <a:off x="53340" y="68580"/>
          <a:ext cx="16354401" cy="7111805"/>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211677</xdr:colOff>
      <xdr:row>1</xdr:row>
      <xdr:rowOff>48786</xdr:rowOff>
    </xdr:from>
    <xdr:to>
      <xdr:col>15</xdr:col>
      <xdr:colOff>148441</xdr:colOff>
      <xdr:row>40</xdr:row>
      <xdr:rowOff>43961</xdr:rowOff>
    </xdr:to>
    <xdr:graphicFrame macro="">
      <xdr:nvGraphicFramePr>
        <xdr:cNvPr id="3" name="Chart 2">
          <a:extLst>
            <a:ext uri="{FF2B5EF4-FFF2-40B4-BE49-F238E27FC236}">
              <a16:creationId xmlns:a16="http://schemas.microsoft.com/office/drawing/2014/main" id="{EE9B7FA7-4023-48AC-A308-BD2F9E2E2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211678</xdr:colOff>
      <xdr:row>1</xdr:row>
      <xdr:rowOff>48787</xdr:rowOff>
    </xdr:from>
    <xdr:to>
      <xdr:col>26</xdr:col>
      <xdr:colOff>267196</xdr:colOff>
      <xdr:row>17</xdr:row>
      <xdr:rowOff>79169</xdr:rowOff>
    </xdr:to>
    <xdr:graphicFrame macro="">
      <xdr:nvGraphicFramePr>
        <xdr:cNvPr id="4" name="Chart 3">
          <a:extLst>
            <a:ext uri="{FF2B5EF4-FFF2-40B4-BE49-F238E27FC236}">
              <a16:creationId xmlns:a16="http://schemas.microsoft.com/office/drawing/2014/main" id="{1AB89C53-A649-439B-95D5-4725E6CCD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211677</xdr:colOff>
      <xdr:row>17</xdr:row>
      <xdr:rowOff>137854</xdr:rowOff>
    </xdr:from>
    <xdr:to>
      <xdr:col>26</xdr:col>
      <xdr:colOff>249115</xdr:colOff>
      <xdr:row>40</xdr:row>
      <xdr:rowOff>29309</xdr:rowOff>
    </xdr:to>
    <xdr:graphicFrame macro="">
      <xdr:nvGraphicFramePr>
        <xdr:cNvPr id="5" name="Chart 4">
          <a:extLst>
            <a:ext uri="{FF2B5EF4-FFF2-40B4-BE49-F238E27FC236}">
              <a16:creationId xmlns:a16="http://schemas.microsoft.com/office/drawing/2014/main" id="{5BD4119C-CF01-46D7-B41C-7DDE140B9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C2AAB9-09EE-4B9D-A892-3F7A4429999B}" name="Table1" displayName="Table1" ref="A1:AD1000" totalsRowShown="0" headerRowDxfId="2">
  <autoFilter ref="A1:AD1000" xr:uid="{0BC2AAB9-09EE-4B9D-A892-3F7A4429999B}"/>
  <tableColumns count="30">
    <tableColumn id="1" xr3:uid="{547DCCF4-4153-4B24-9895-94133959222F}" name="report_id"/>
    <tableColumn id="2" xr3:uid="{BA4103BD-AFF4-4BF4-BF93-2FFB4D184111}" name="receive_date" dataDxfId="3"/>
    <tableColumn id="3" xr3:uid="{2B2FCE58-AB8C-4F1E-A4FC-20C146C2F9F5}" name="year"/>
    <tableColumn id="4" xr3:uid="{5BEE4AF8-4BC8-42CE-917A-FDF9A1E2DCC3}" name="month"/>
    <tableColumn id="5" xr3:uid="{F5CC17A6-0F62-45E2-8A00-E00641F7718D}" name="quarter"/>
    <tableColumn id="6" xr3:uid="{04E7932D-920B-4E12-B407-0490365EACD9}" name="serious"/>
    <tableColumn id="7" xr3:uid="{BBBD55D4-9FCF-4BE6-9DE3-843906560C2F}" name="serious_flags"/>
    <tableColumn id="8" xr3:uid="{11F2A55F-4C30-4A15-8C69-229741C7DAD8}" name="is_fatal"/>
    <tableColumn id="9" xr3:uid="{455AF55A-56D1-47C7-BA38-FD51FC3FED20}" name="is_hospitalized"/>
    <tableColumn id="10" xr3:uid="{DDEA274E-4610-4EC8-88A7-03BB38E28E3C}" name="is_life_threat"/>
    <tableColumn id="11" xr3:uid="{32147A40-5B77-4602-9712-667BAC0C81DE}" name="is_disabling"/>
    <tableColumn id="12" xr3:uid="{F8127492-3D2A-45BA-A2EB-5965667317A0}" name="reactions"/>
    <tableColumn id="13" xr3:uid="{135CA14A-3F23-4C02-BBF9-6D75798BDA47}" name="primary_reaction"/>
    <tableColumn id="14" xr3:uid="{3741BF0E-EE0C-43E3-9650-92A6620D044A}" name="reaction_outcomes"/>
    <tableColumn id="15" xr3:uid="{BF481A6C-1AD6-4E0F-BCF8-A8DF1D65F601}" name="patient_recovered"/>
    <tableColumn id="16" xr3:uid="{A7F1C794-0E08-4DF2-AB68-5E4E15FA5FD4}" name="num_reactions"/>
    <tableColumn id="17" xr3:uid="{A1932E3A-6B6F-4541-A8DC-98BDFB592558}" name="suspect_drug"/>
    <tableColumn id="18" xr3:uid="{D2076863-ADB2-4FD6-AAE0-BC51765B58CC}" name="brand_name"/>
    <tableColumn id="19" xr3:uid="{B32908B0-A007-475E-9932-26055D2ADB6D}" name="drug_route"/>
    <tableColumn id="20" xr3:uid="{4642EA14-C5CF-464D-A66B-DD65C1E1961E}" name="drug_indication"/>
    <tableColumn id="21" xr3:uid="{3D827BF8-CFE0-401C-8F46-68C7D771FBE8}" name="manufacturer"/>
    <tableColumn id="22" xr3:uid="{CAC7890C-EE84-4ACA-86CD-646C59B26E4A}" name="pharm_class"/>
    <tableColumn id="23" xr3:uid="{B14A53D1-B46E-4D60-B15E-DCF92B0DF5D4}" name="num_drugs"/>
    <tableColumn id="24" xr3:uid="{3A337A4F-2A66-480A-B184-13D2A85A7360}" name="drug_count_category"/>
    <tableColumn id="25" xr3:uid="{C54BF3FF-E713-4D76-9413-DF65BE1C6E4A}" name="patient_age_years"/>
    <tableColumn id="26" xr3:uid="{9572F3AB-6A06-422D-BD61-91A071DB4911}" name="age_group"/>
    <tableColumn id="27" xr3:uid="{F47FD5AF-878D-444E-80EA-FED607171130}" name="patient_sex"/>
    <tableColumn id="28" xr3:uid="{2D560AAF-2348-4C11-8E87-718D740FAE0C}" name="patient_weight_kg"/>
    <tableColumn id="29" xr3:uid="{37089E0C-9665-41D4-8092-B4B3077F12FA}" name="country"/>
    <tableColumn id="30" xr3:uid="{E02D32CC-F32C-4F6D-AA24-23E411F1B49B}" name="report_age_day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7AA838-A812-4044-8A7E-932CB24B5FF7}" name="Table2" displayName="Table2" ref="A1:G1000" totalsRowShown="0" headerRowDxfId="0">
  <autoFilter ref="A1:G1000" xr:uid="{557AA838-A812-4044-8A7E-932CB24B5FF7}"/>
  <tableColumns count="7">
    <tableColumn id="1" xr3:uid="{63E3815C-7AC6-4B80-A579-6AF18D5DA4D1}" name="report_id" dataDxfId="1"/>
    <tableColumn id="2" xr3:uid="{983ABD80-1B14-42DD-B19A-7AB5DE578771}" name="primary_reaction"/>
    <tableColumn id="3" xr3:uid="{A6D0CAAE-DBCA-4A1E-BDCE-0E968749113B}" name="meddra_pt"/>
    <tableColumn id="4" xr3:uid="{060D0053-2546-4822-BE42-8494D8D28523}" name="meddra_soc"/>
    <tableColumn id="5" xr3:uid="{B9A14833-DB2F-44AA-AC90-D2B821189A3C}" name="causality">
      <calculatedColumnFormula>IFERROR(VLOOKUP(B2,Signal_detection!$A$1:$C$22,2,FALSE),"")</calculatedColumnFormula>
    </tableColumn>
    <tableColumn id="6" xr3:uid="{F94B5F2C-1FA0-44DB-96B7-DE150921375F}" name="signal_type">
      <calculatedColumnFormula>IFERROR(VLOOKUP(B2,Signal_detection!$A$1:$C$22,3,FALSE),"")</calculatedColumnFormula>
    </tableColumn>
    <tableColumn id="7" xr3:uid="{29D55349-562F-4A73-9BE5-9286FA6C8210}" name="serio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E430A-AE03-45CE-81E5-5411B4DF1232}">
  <dimension ref="A1:AD1000"/>
  <sheetViews>
    <sheetView tabSelected="1" zoomScale="73" zoomScaleNormal="64" workbookViewId="0">
      <selection activeCell="D15" sqref="D15"/>
    </sheetView>
  </sheetViews>
  <sheetFormatPr defaultRowHeight="14.4" x14ac:dyDescent="0.3"/>
  <cols>
    <col min="1" max="1" width="14.109375" customWidth="1"/>
    <col min="2" max="2" width="18.5546875" style="3" customWidth="1"/>
    <col min="4" max="4" width="10.88671875" customWidth="1"/>
    <col min="5" max="5" width="11.77734375" customWidth="1"/>
    <col min="6" max="6" width="12.21875" customWidth="1"/>
    <col min="7" max="7" width="57.33203125" customWidth="1"/>
    <col min="8" max="8" width="12.21875" customWidth="1"/>
    <col min="9" max="9" width="21.109375" customWidth="1"/>
    <col min="10" max="10" width="19" customWidth="1"/>
    <col min="11" max="11" width="32.6640625" customWidth="1"/>
    <col min="12" max="12" width="36.44140625" customWidth="1"/>
    <col min="13" max="13" width="29.77734375" customWidth="1"/>
    <col min="14" max="14" width="26.44140625" customWidth="1"/>
    <col min="15" max="15" width="27.109375" customWidth="1"/>
    <col min="16" max="16" width="20.88671875" customWidth="1"/>
    <col min="17" max="17" width="52.44140625" customWidth="1"/>
    <col min="18" max="18" width="17.5546875" customWidth="1"/>
    <col min="19" max="19" width="16.21875" customWidth="1"/>
    <col min="20" max="20" width="21.5546875" customWidth="1"/>
    <col min="21" max="21" width="19" customWidth="1"/>
    <col min="22" max="22" width="18.33203125" customWidth="1"/>
    <col min="23" max="23" width="16.21875" customWidth="1"/>
    <col min="24" max="24" width="28.21875" customWidth="1"/>
    <col min="25" max="25" width="24.77734375" customWidth="1"/>
    <col min="26" max="26" width="15.77734375" customWidth="1"/>
    <col min="27" max="27" width="16.88671875" customWidth="1"/>
    <col min="28" max="28" width="24.5546875" customWidth="1"/>
    <col min="29" max="29" width="12.21875" customWidth="1"/>
    <col min="30" max="30" width="22.88671875" customWidth="1"/>
  </cols>
  <sheetData>
    <row r="1" spans="1:30" x14ac:dyDescent="0.3">
      <c r="A1" s="1" t="s">
        <v>2462</v>
      </c>
      <c r="B1" s="2" t="s">
        <v>2463</v>
      </c>
      <c r="C1" s="1" t="s">
        <v>2464</v>
      </c>
      <c r="D1" s="1" t="s">
        <v>2465</v>
      </c>
      <c r="E1" s="1" t="s">
        <v>2466</v>
      </c>
      <c r="F1" s="1" t="s">
        <v>2467</v>
      </c>
      <c r="G1" s="1" t="s">
        <v>2468</v>
      </c>
      <c r="H1" s="1" t="s">
        <v>2469</v>
      </c>
      <c r="I1" s="1" t="s">
        <v>2470</v>
      </c>
      <c r="J1" s="1" t="s">
        <v>2471</v>
      </c>
      <c r="K1" s="1" t="s">
        <v>2472</v>
      </c>
      <c r="L1" s="1" t="s">
        <v>2473</v>
      </c>
      <c r="M1" s="1" t="s">
        <v>2474</v>
      </c>
      <c r="N1" s="1" t="s">
        <v>2475</v>
      </c>
      <c r="O1" s="1" t="s">
        <v>2476</v>
      </c>
      <c r="P1" s="1" t="s">
        <v>2477</v>
      </c>
      <c r="Q1" s="1" t="s">
        <v>2478</v>
      </c>
      <c r="R1" s="1" t="s">
        <v>2479</v>
      </c>
      <c r="S1" s="1" t="s">
        <v>2480</v>
      </c>
      <c r="T1" s="1" t="s">
        <v>2481</v>
      </c>
      <c r="U1" s="1" t="s">
        <v>2482</v>
      </c>
      <c r="V1" s="1" t="s">
        <v>2483</v>
      </c>
      <c r="W1" s="1" t="s">
        <v>2484</v>
      </c>
      <c r="X1" s="1" t="s">
        <v>2485</v>
      </c>
      <c r="Y1" s="1" t="s">
        <v>2486</v>
      </c>
      <c r="Z1" s="1" t="s">
        <v>2487</v>
      </c>
      <c r="AA1" s="1" t="s">
        <v>2488</v>
      </c>
      <c r="AB1" s="1" t="s">
        <v>2489</v>
      </c>
      <c r="AC1" s="1" t="s">
        <v>2490</v>
      </c>
      <c r="AD1" s="1" t="s">
        <v>2491</v>
      </c>
    </row>
    <row r="2" spans="1:30" x14ac:dyDescent="0.3">
      <c r="A2">
        <v>10136674</v>
      </c>
      <c r="B2" s="3">
        <v>45659</v>
      </c>
      <c r="C2">
        <v>2025</v>
      </c>
      <c r="D2">
        <v>1</v>
      </c>
      <c r="E2" t="s">
        <v>1579</v>
      </c>
      <c r="F2" t="s">
        <v>0</v>
      </c>
      <c r="G2" t="s">
        <v>1</v>
      </c>
      <c r="H2" t="b">
        <v>0</v>
      </c>
      <c r="I2" t="b">
        <v>1</v>
      </c>
      <c r="J2" t="b">
        <v>0</v>
      </c>
      <c r="K2" t="b">
        <v>0</v>
      </c>
      <c r="L2" t="s">
        <v>1580</v>
      </c>
      <c r="M2" t="s">
        <v>206</v>
      </c>
      <c r="N2" t="s">
        <v>12</v>
      </c>
      <c r="O2" t="b">
        <v>1</v>
      </c>
      <c r="P2">
        <v>3</v>
      </c>
      <c r="Q2" t="s">
        <v>695</v>
      </c>
      <c r="R2" t="s">
        <v>696</v>
      </c>
      <c r="S2">
        <v>58</v>
      </c>
      <c r="T2" t="s">
        <v>594</v>
      </c>
      <c r="U2" t="s">
        <v>501</v>
      </c>
      <c r="V2" t="s">
        <v>697</v>
      </c>
      <c r="W2">
        <v>12</v>
      </c>
      <c r="X2" t="s">
        <v>6</v>
      </c>
      <c r="Y2">
        <v>23</v>
      </c>
      <c r="Z2" t="s">
        <v>61</v>
      </c>
      <c r="AA2" t="s">
        <v>8</v>
      </c>
      <c r="AB2">
        <v>55</v>
      </c>
      <c r="AC2" t="s">
        <v>214</v>
      </c>
      <c r="AD2">
        <v>450</v>
      </c>
    </row>
    <row r="3" spans="1:30" x14ac:dyDescent="0.3">
      <c r="A3">
        <v>10233235</v>
      </c>
      <c r="B3" s="3">
        <v>45664</v>
      </c>
      <c r="C3">
        <v>2025</v>
      </c>
      <c r="D3">
        <v>1</v>
      </c>
      <c r="E3" t="s">
        <v>1579</v>
      </c>
      <c r="F3" t="s">
        <v>0</v>
      </c>
      <c r="G3" t="s">
        <v>1006</v>
      </c>
      <c r="H3" t="b">
        <v>1</v>
      </c>
      <c r="I3" t="b">
        <v>0</v>
      </c>
      <c r="J3" t="b">
        <v>1</v>
      </c>
      <c r="K3" t="b">
        <v>0</v>
      </c>
      <c r="L3" t="s">
        <v>459</v>
      </c>
      <c r="M3" t="s">
        <v>459</v>
      </c>
      <c r="N3" t="s">
        <v>5</v>
      </c>
      <c r="O3" t="b">
        <v>0</v>
      </c>
      <c r="P3">
        <v>1</v>
      </c>
      <c r="Q3" t="s">
        <v>1490</v>
      </c>
      <c r="R3" t="s">
        <v>5</v>
      </c>
      <c r="S3">
        <v>48</v>
      </c>
      <c r="T3" t="s">
        <v>1086</v>
      </c>
      <c r="U3" t="s">
        <v>5</v>
      </c>
      <c r="V3" t="s">
        <v>5</v>
      </c>
      <c r="W3">
        <v>2</v>
      </c>
      <c r="X3" t="s">
        <v>14</v>
      </c>
      <c r="Z3" t="s">
        <v>5</v>
      </c>
      <c r="AA3" t="s">
        <v>5</v>
      </c>
      <c r="AC3" t="s">
        <v>9</v>
      </c>
      <c r="AD3">
        <v>445</v>
      </c>
    </row>
    <row r="4" spans="1:30" x14ac:dyDescent="0.3">
      <c r="A4">
        <v>10285496</v>
      </c>
      <c r="B4" s="3">
        <v>45685</v>
      </c>
      <c r="C4">
        <v>2025</v>
      </c>
      <c r="D4">
        <v>1</v>
      </c>
      <c r="E4" t="s">
        <v>1579</v>
      </c>
      <c r="F4" t="s">
        <v>0</v>
      </c>
      <c r="G4" t="s">
        <v>10</v>
      </c>
      <c r="H4" t="b">
        <v>0</v>
      </c>
      <c r="I4" t="b">
        <v>0</v>
      </c>
      <c r="J4" t="b">
        <v>0</v>
      </c>
      <c r="K4" t="b">
        <v>0</v>
      </c>
      <c r="L4" t="s">
        <v>1581</v>
      </c>
      <c r="M4" t="s">
        <v>159</v>
      </c>
      <c r="N4" t="s">
        <v>57</v>
      </c>
      <c r="O4" t="b">
        <v>1</v>
      </c>
      <c r="P4">
        <v>11</v>
      </c>
      <c r="Q4" t="s">
        <v>311</v>
      </c>
      <c r="R4" t="s">
        <v>312</v>
      </c>
      <c r="S4">
        <v>50</v>
      </c>
      <c r="T4" t="s">
        <v>313</v>
      </c>
      <c r="U4" t="s">
        <v>81</v>
      </c>
      <c r="V4" t="s">
        <v>314</v>
      </c>
      <c r="W4">
        <v>7</v>
      </c>
      <c r="X4" t="s">
        <v>6</v>
      </c>
      <c r="Y4">
        <v>58</v>
      </c>
      <c r="Z4" t="s">
        <v>7</v>
      </c>
      <c r="AA4" t="s">
        <v>15</v>
      </c>
      <c r="AC4" t="s">
        <v>32</v>
      </c>
      <c r="AD4">
        <v>424</v>
      </c>
    </row>
    <row r="5" spans="1:30" x14ac:dyDescent="0.3">
      <c r="A5">
        <v>10356309</v>
      </c>
      <c r="B5" s="3">
        <v>45688</v>
      </c>
      <c r="C5">
        <v>2025</v>
      </c>
      <c r="D5">
        <v>1</v>
      </c>
      <c r="E5" t="s">
        <v>1579</v>
      </c>
      <c r="F5" t="s">
        <v>0</v>
      </c>
      <c r="G5" t="s">
        <v>1</v>
      </c>
      <c r="H5" t="b">
        <v>0</v>
      </c>
      <c r="I5" t="b">
        <v>1</v>
      </c>
      <c r="J5" t="b">
        <v>0</v>
      </c>
      <c r="K5" t="b">
        <v>0</v>
      </c>
      <c r="L5" t="s">
        <v>1582</v>
      </c>
      <c r="M5" t="s">
        <v>206</v>
      </c>
      <c r="N5" t="s">
        <v>70</v>
      </c>
      <c r="O5" t="b">
        <v>0</v>
      </c>
      <c r="P5">
        <v>59</v>
      </c>
      <c r="Q5" t="s">
        <v>135</v>
      </c>
      <c r="R5" t="s">
        <v>136</v>
      </c>
      <c r="S5">
        <v>58</v>
      </c>
      <c r="T5" t="s">
        <v>62</v>
      </c>
      <c r="U5" t="s">
        <v>81</v>
      </c>
      <c r="V5" t="s">
        <v>137</v>
      </c>
      <c r="W5">
        <v>40</v>
      </c>
      <c r="X5" t="s">
        <v>6</v>
      </c>
      <c r="Y5">
        <v>64</v>
      </c>
      <c r="Z5" t="s">
        <v>7</v>
      </c>
      <c r="AA5" t="s">
        <v>8</v>
      </c>
      <c r="AC5" t="s">
        <v>9</v>
      </c>
      <c r="AD5">
        <v>421</v>
      </c>
    </row>
    <row r="6" spans="1:30" x14ac:dyDescent="0.3">
      <c r="A6">
        <v>10450109</v>
      </c>
      <c r="B6" s="3">
        <v>45670</v>
      </c>
      <c r="C6">
        <v>2025</v>
      </c>
      <c r="D6">
        <v>1</v>
      </c>
      <c r="E6" t="s">
        <v>1579</v>
      </c>
      <c r="F6" t="s">
        <v>0</v>
      </c>
      <c r="G6" t="s">
        <v>10</v>
      </c>
      <c r="H6" t="b">
        <v>0</v>
      </c>
      <c r="I6" t="b">
        <v>0</v>
      </c>
      <c r="J6" t="b">
        <v>0</v>
      </c>
      <c r="K6" t="b">
        <v>0</v>
      </c>
      <c r="L6" t="s">
        <v>1583</v>
      </c>
      <c r="M6" t="s">
        <v>1584</v>
      </c>
      <c r="N6" t="s">
        <v>12</v>
      </c>
      <c r="O6" t="b">
        <v>1</v>
      </c>
      <c r="P6">
        <v>4</v>
      </c>
      <c r="Q6" t="s">
        <v>1585</v>
      </c>
      <c r="R6" t="s">
        <v>5</v>
      </c>
      <c r="S6">
        <v>48</v>
      </c>
      <c r="T6" t="s">
        <v>138</v>
      </c>
      <c r="U6" t="s">
        <v>5</v>
      </c>
      <c r="V6" t="s">
        <v>5</v>
      </c>
      <c r="W6">
        <v>4</v>
      </c>
      <c r="X6" t="s">
        <v>40</v>
      </c>
      <c r="Y6">
        <v>75</v>
      </c>
      <c r="Z6" t="s">
        <v>67</v>
      </c>
      <c r="AA6" t="s">
        <v>15</v>
      </c>
      <c r="AC6" t="s">
        <v>25</v>
      </c>
      <c r="AD6">
        <v>439</v>
      </c>
    </row>
    <row r="7" spans="1:30" x14ac:dyDescent="0.3">
      <c r="A7">
        <v>10607501</v>
      </c>
      <c r="B7" s="3">
        <v>45673</v>
      </c>
      <c r="C7">
        <v>2025</v>
      </c>
      <c r="D7">
        <v>1</v>
      </c>
      <c r="E7" t="s">
        <v>1579</v>
      </c>
      <c r="F7" t="s">
        <v>0</v>
      </c>
      <c r="G7" t="s">
        <v>197</v>
      </c>
      <c r="H7" t="b">
        <v>1</v>
      </c>
      <c r="I7" t="b">
        <v>1</v>
      </c>
      <c r="J7" t="b">
        <v>0</v>
      </c>
      <c r="K7" t="b">
        <v>0</v>
      </c>
      <c r="L7" t="s">
        <v>1586</v>
      </c>
      <c r="M7" t="s">
        <v>50</v>
      </c>
      <c r="N7" t="s">
        <v>63</v>
      </c>
      <c r="O7" t="b">
        <v>0</v>
      </c>
      <c r="P7">
        <v>2</v>
      </c>
      <c r="Q7" t="s">
        <v>1531</v>
      </c>
      <c r="R7" t="s">
        <v>5</v>
      </c>
      <c r="S7">
        <v>58</v>
      </c>
      <c r="T7" t="s">
        <v>1277</v>
      </c>
      <c r="U7" t="s">
        <v>5</v>
      </c>
      <c r="V7" t="s">
        <v>5</v>
      </c>
      <c r="W7">
        <v>3</v>
      </c>
      <c r="X7" t="s">
        <v>14</v>
      </c>
      <c r="Y7">
        <v>71</v>
      </c>
      <c r="Z7" t="s">
        <v>67</v>
      </c>
      <c r="AA7" t="s">
        <v>15</v>
      </c>
      <c r="AC7" t="s">
        <v>25</v>
      </c>
      <c r="AD7">
        <v>436</v>
      </c>
    </row>
    <row r="8" spans="1:30" x14ac:dyDescent="0.3">
      <c r="A8">
        <v>10660602</v>
      </c>
      <c r="B8" s="3">
        <v>45673</v>
      </c>
      <c r="C8">
        <v>2025</v>
      </c>
      <c r="D8">
        <v>1</v>
      </c>
      <c r="E8" t="s">
        <v>1579</v>
      </c>
      <c r="F8" t="s">
        <v>0</v>
      </c>
      <c r="G8" t="s">
        <v>10</v>
      </c>
      <c r="H8" t="b">
        <v>0</v>
      </c>
      <c r="I8" t="b">
        <v>0</v>
      </c>
      <c r="J8" t="b">
        <v>0</v>
      </c>
      <c r="K8" t="b">
        <v>0</v>
      </c>
      <c r="L8" t="s">
        <v>1587</v>
      </c>
      <c r="M8" t="s">
        <v>557</v>
      </c>
      <c r="N8" t="s">
        <v>63</v>
      </c>
      <c r="O8" t="b">
        <v>0</v>
      </c>
      <c r="P8">
        <v>21</v>
      </c>
      <c r="Q8" t="s">
        <v>949</v>
      </c>
      <c r="R8" t="s">
        <v>950</v>
      </c>
      <c r="S8">
        <v>48</v>
      </c>
      <c r="T8" t="s">
        <v>409</v>
      </c>
      <c r="U8" t="s">
        <v>951</v>
      </c>
      <c r="V8" t="s">
        <v>5</v>
      </c>
      <c r="W8">
        <v>40</v>
      </c>
      <c r="X8" t="s">
        <v>6</v>
      </c>
      <c r="Z8" t="s">
        <v>5</v>
      </c>
      <c r="AA8" t="s">
        <v>15</v>
      </c>
      <c r="AB8">
        <v>104.31</v>
      </c>
      <c r="AC8" t="s">
        <v>32</v>
      </c>
      <c r="AD8">
        <v>436</v>
      </c>
    </row>
    <row r="9" spans="1:30" x14ac:dyDescent="0.3">
      <c r="A9">
        <v>10675738</v>
      </c>
      <c r="B9" s="3">
        <v>45663</v>
      </c>
      <c r="C9">
        <v>2025</v>
      </c>
      <c r="D9">
        <v>1</v>
      </c>
      <c r="E9" t="s">
        <v>1579</v>
      </c>
      <c r="F9" t="s">
        <v>0</v>
      </c>
      <c r="G9" t="s">
        <v>10</v>
      </c>
      <c r="H9" t="b">
        <v>0</v>
      </c>
      <c r="I9" t="b">
        <v>0</v>
      </c>
      <c r="J9" t="b">
        <v>0</v>
      </c>
      <c r="K9" t="b">
        <v>0</v>
      </c>
      <c r="L9" t="s">
        <v>1588</v>
      </c>
      <c r="M9" t="s">
        <v>869</v>
      </c>
      <c r="N9" t="s">
        <v>12</v>
      </c>
      <c r="O9" t="b">
        <v>1</v>
      </c>
      <c r="P9">
        <v>4</v>
      </c>
      <c r="Q9" t="s">
        <v>887</v>
      </c>
      <c r="R9" t="s">
        <v>888</v>
      </c>
      <c r="S9">
        <v>58</v>
      </c>
      <c r="T9" t="s">
        <v>80</v>
      </c>
      <c r="U9" t="s">
        <v>889</v>
      </c>
      <c r="V9" t="s">
        <v>130</v>
      </c>
      <c r="W9">
        <v>2</v>
      </c>
      <c r="X9" t="s">
        <v>14</v>
      </c>
      <c r="Y9">
        <v>82</v>
      </c>
      <c r="Z9" t="s">
        <v>196</v>
      </c>
      <c r="AA9" t="s">
        <v>8</v>
      </c>
      <c r="AB9">
        <v>55</v>
      </c>
      <c r="AC9" t="s">
        <v>284</v>
      </c>
      <c r="AD9">
        <v>446</v>
      </c>
    </row>
    <row r="10" spans="1:30" x14ac:dyDescent="0.3">
      <c r="A10">
        <v>10786604</v>
      </c>
      <c r="B10" s="3">
        <v>45688</v>
      </c>
      <c r="C10">
        <v>2025</v>
      </c>
      <c r="D10">
        <v>1</v>
      </c>
      <c r="E10" t="s">
        <v>1579</v>
      </c>
      <c r="F10" t="s">
        <v>125</v>
      </c>
      <c r="G10" t="s">
        <v>10</v>
      </c>
      <c r="H10" t="b">
        <v>0</v>
      </c>
      <c r="I10" t="b">
        <v>0</v>
      </c>
      <c r="J10" t="b">
        <v>0</v>
      </c>
      <c r="K10" t="b">
        <v>0</v>
      </c>
      <c r="L10" t="s">
        <v>1343</v>
      </c>
      <c r="M10" t="s">
        <v>1343</v>
      </c>
      <c r="N10" t="s">
        <v>5</v>
      </c>
      <c r="O10" t="b">
        <v>0</v>
      </c>
      <c r="P10">
        <v>1</v>
      </c>
      <c r="Q10" t="s">
        <v>1374</v>
      </c>
      <c r="R10" t="s">
        <v>1375</v>
      </c>
      <c r="S10">
        <v>65</v>
      </c>
      <c r="T10" t="s">
        <v>335</v>
      </c>
      <c r="U10" t="s">
        <v>1376</v>
      </c>
      <c r="V10" t="s">
        <v>5</v>
      </c>
      <c r="W10">
        <v>3</v>
      </c>
      <c r="X10" t="s">
        <v>14</v>
      </c>
      <c r="Z10" t="s">
        <v>5</v>
      </c>
      <c r="AA10" t="s">
        <v>5</v>
      </c>
      <c r="AC10" t="s">
        <v>412</v>
      </c>
      <c r="AD10">
        <v>421</v>
      </c>
    </row>
    <row r="11" spans="1:30" x14ac:dyDescent="0.3">
      <c r="A11">
        <v>10853820</v>
      </c>
      <c r="B11" s="3">
        <v>45687</v>
      </c>
      <c r="C11">
        <v>2025</v>
      </c>
      <c r="D11">
        <v>1</v>
      </c>
      <c r="E11" t="s">
        <v>1579</v>
      </c>
      <c r="F11" t="s">
        <v>0</v>
      </c>
      <c r="G11" t="s">
        <v>1</v>
      </c>
      <c r="H11" t="b">
        <v>0</v>
      </c>
      <c r="I11" t="b">
        <v>1</v>
      </c>
      <c r="J11" t="b">
        <v>0</v>
      </c>
      <c r="K11" t="b">
        <v>0</v>
      </c>
      <c r="L11" t="s">
        <v>1589</v>
      </c>
      <c r="M11" t="s">
        <v>698</v>
      </c>
      <c r="N11" t="s">
        <v>57</v>
      </c>
      <c r="O11" t="b">
        <v>1</v>
      </c>
      <c r="P11">
        <v>6</v>
      </c>
      <c r="Q11" t="s">
        <v>521</v>
      </c>
      <c r="R11" t="s">
        <v>522</v>
      </c>
      <c r="S11">
        <v>48</v>
      </c>
      <c r="T11" t="s">
        <v>54</v>
      </c>
      <c r="U11" t="s">
        <v>523</v>
      </c>
      <c r="V11" t="s">
        <v>5</v>
      </c>
      <c r="W11">
        <v>6</v>
      </c>
      <c r="X11" t="s">
        <v>6</v>
      </c>
      <c r="Z11" t="s">
        <v>5</v>
      </c>
      <c r="AA11" t="s">
        <v>8</v>
      </c>
      <c r="AC11" t="s">
        <v>558</v>
      </c>
      <c r="AD11">
        <v>422</v>
      </c>
    </row>
    <row r="12" spans="1:30" x14ac:dyDescent="0.3">
      <c r="A12">
        <v>10876704</v>
      </c>
      <c r="B12" s="3">
        <v>45663</v>
      </c>
      <c r="C12">
        <v>2025</v>
      </c>
      <c r="D12">
        <v>1</v>
      </c>
      <c r="E12" t="s">
        <v>1579</v>
      </c>
      <c r="F12" t="s">
        <v>0</v>
      </c>
      <c r="G12" t="s">
        <v>10</v>
      </c>
      <c r="H12" t="b">
        <v>0</v>
      </c>
      <c r="I12" t="b">
        <v>0</v>
      </c>
      <c r="J12" t="b">
        <v>0</v>
      </c>
      <c r="K12" t="b">
        <v>0</v>
      </c>
      <c r="L12" t="s">
        <v>1590</v>
      </c>
      <c r="M12" t="s">
        <v>496</v>
      </c>
      <c r="N12" t="s">
        <v>12</v>
      </c>
      <c r="O12" t="b">
        <v>1</v>
      </c>
      <c r="P12">
        <v>3</v>
      </c>
      <c r="Q12" t="s">
        <v>927</v>
      </c>
      <c r="R12" t="s">
        <v>1318</v>
      </c>
      <c r="S12">
        <v>48</v>
      </c>
      <c r="T12" t="s">
        <v>378</v>
      </c>
      <c r="U12" t="s">
        <v>406</v>
      </c>
      <c r="V12" t="s">
        <v>5</v>
      </c>
      <c r="W12">
        <v>16</v>
      </c>
      <c r="X12" t="s">
        <v>6</v>
      </c>
      <c r="Y12">
        <v>67</v>
      </c>
      <c r="Z12" t="s">
        <v>67</v>
      </c>
      <c r="AA12" t="s">
        <v>8</v>
      </c>
      <c r="AC12" t="s">
        <v>32</v>
      </c>
      <c r="AD12">
        <v>446</v>
      </c>
    </row>
    <row r="13" spans="1:30" x14ac:dyDescent="0.3">
      <c r="A13">
        <v>10928940</v>
      </c>
      <c r="B13" s="3">
        <v>45660</v>
      </c>
      <c r="C13">
        <v>2025</v>
      </c>
      <c r="D13">
        <v>1</v>
      </c>
      <c r="E13" t="s">
        <v>1579</v>
      </c>
      <c r="F13" t="s">
        <v>0</v>
      </c>
      <c r="G13" t="s">
        <v>10</v>
      </c>
      <c r="H13" t="b">
        <v>0</v>
      </c>
      <c r="I13" t="b">
        <v>0</v>
      </c>
      <c r="J13" t="b">
        <v>0</v>
      </c>
      <c r="K13" t="b">
        <v>0</v>
      </c>
      <c r="L13" t="s">
        <v>1591</v>
      </c>
      <c r="M13" t="s">
        <v>102</v>
      </c>
      <c r="N13" t="s">
        <v>57</v>
      </c>
      <c r="O13" t="b">
        <v>1</v>
      </c>
      <c r="P13">
        <v>3</v>
      </c>
      <c r="Q13" t="s">
        <v>34</v>
      </c>
      <c r="R13" t="s">
        <v>690</v>
      </c>
      <c r="S13">
        <v>48</v>
      </c>
      <c r="T13" t="s">
        <v>49</v>
      </c>
      <c r="U13" t="s">
        <v>691</v>
      </c>
      <c r="V13" t="s">
        <v>38</v>
      </c>
      <c r="W13">
        <v>10</v>
      </c>
      <c r="X13" t="s">
        <v>6</v>
      </c>
      <c r="Y13">
        <v>13</v>
      </c>
      <c r="Z13" t="s">
        <v>19</v>
      </c>
      <c r="AA13" t="s">
        <v>15</v>
      </c>
      <c r="AB13">
        <v>124.74</v>
      </c>
      <c r="AC13" t="s">
        <v>32</v>
      </c>
      <c r="AD13">
        <v>449</v>
      </c>
    </row>
    <row r="14" spans="1:30" x14ac:dyDescent="0.3">
      <c r="A14">
        <v>10943373</v>
      </c>
      <c r="B14" s="3">
        <v>45680</v>
      </c>
      <c r="C14">
        <v>2025</v>
      </c>
      <c r="D14">
        <v>1</v>
      </c>
      <c r="E14" t="s">
        <v>1579</v>
      </c>
      <c r="F14" t="s">
        <v>125</v>
      </c>
      <c r="G14" t="s">
        <v>10</v>
      </c>
      <c r="H14" t="b">
        <v>0</v>
      </c>
      <c r="I14" t="b">
        <v>0</v>
      </c>
      <c r="J14" t="b">
        <v>0</v>
      </c>
      <c r="K14" t="b">
        <v>0</v>
      </c>
      <c r="L14" t="s">
        <v>342</v>
      </c>
      <c r="M14" t="s">
        <v>139</v>
      </c>
      <c r="N14" t="s">
        <v>5</v>
      </c>
      <c r="O14" t="b">
        <v>0</v>
      </c>
      <c r="P14">
        <v>3</v>
      </c>
      <c r="Q14" t="s">
        <v>34</v>
      </c>
      <c r="R14" t="s">
        <v>35</v>
      </c>
      <c r="S14">
        <v>48</v>
      </c>
      <c r="T14" t="s">
        <v>83</v>
      </c>
      <c r="U14" t="s">
        <v>37</v>
      </c>
      <c r="V14" t="s">
        <v>38</v>
      </c>
      <c r="W14">
        <v>4</v>
      </c>
      <c r="X14" t="s">
        <v>40</v>
      </c>
      <c r="Z14" t="s">
        <v>5</v>
      </c>
      <c r="AA14" t="s">
        <v>15</v>
      </c>
      <c r="AC14" t="s">
        <v>32</v>
      </c>
      <c r="AD14">
        <v>429</v>
      </c>
    </row>
    <row r="15" spans="1:30" x14ac:dyDescent="0.3">
      <c r="A15">
        <v>10943649</v>
      </c>
      <c r="B15" s="3">
        <v>45680</v>
      </c>
      <c r="C15">
        <v>2025</v>
      </c>
      <c r="D15">
        <v>1</v>
      </c>
      <c r="E15" t="s">
        <v>1579</v>
      </c>
      <c r="F15" t="s">
        <v>125</v>
      </c>
      <c r="G15" t="s">
        <v>10</v>
      </c>
      <c r="H15" t="b">
        <v>0</v>
      </c>
      <c r="I15" t="b">
        <v>0</v>
      </c>
      <c r="J15" t="b">
        <v>0</v>
      </c>
      <c r="K15" t="b">
        <v>0</v>
      </c>
      <c r="L15" t="s">
        <v>1412</v>
      </c>
      <c r="M15" t="s">
        <v>102</v>
      </c>
      <c r="N15" t="s">
        <v>5</v>
      </c>
      <c r="O15" t="b">
        <v>0</v>
      </c>
      <c r="P15">
        <v>3</v>
      </c>
      <c r="Q15" t="s">
        <v>34</v>
      </c>
      <c r="R15" t="s">
        <v>35</v>
      </c>
      <c r="S15">
        <v>48</v>
      </c>
      <c r="T15" t="s">
        <v>83</v>
      </c>
      <c r="U15" t="s">
        <v>37</v>
      </c>
      <c r="V15" t="s">
        <v>38</v>
      </c>
      <c r="W15">
        <v>1</v>
      </c>
      <c r="X15" t="s">
        <v>31</v>
      </c>
      <c r="Z15" t="s">
        <v>5</v>
      </c>
      <c r="AA15" t="s">
        <v>15</v>
      </c>
      <c r="AC15" t="s">
        <v>32</v>
      </c>
      <c r="AD15">
        <v>429</v>
      </c>
    </row>
    <row r="16" spans="1:30" x14ac:dyDescent="0.3">
      <c r="A16">
        <v>10946040</v>
      </c>
      <c r="B16" s="3">
        <v>45680</v>
      </c>
      <c r="C16">
        <v>2025</v>
      </c>
      <c r="D16">
        <v>1</v>
      </c>
      <c r="E16" t="s">
        <v>1579</v>
      </c>
      <c r="F16" t="s">
        <v>125</v>
      </c>
      <c r="G16" t="s">
        <v>10</v>
      </c>
      <c r="H16" t="b">
        <v>0</v>
      </c>
      <c r="I16" t="b">
        <v>0</v>
      </c>
      <c r="J16" t="b">
        <v>0</v>
      </c>
      <c r="K16" t="b">
        <v>0</v>
      </c>
      <c r="L16" t="s">
        <v>1592</v>
      </c>
      <c r="M16" t="s">
        <v>102</v>
      </c>
      <c r="N16" t="s">
        <v>5</v>
      </c>
      <c r="O16" t="b">
        <v>0</v>
      </c>
      <c r="P16">
        <v>4</v>
      </c>
      <c r="Q16" t="s">
        <v>34</v>
      </c>
      <c r="R16" t="s">
        <v>35</v>
      </c>
      <c r="S16">
        <v>48</v>
      </c>
      <c r="T16" t="s">
        <v>36</v>
      </c>
      <c r="U16" t="s">
        <v>37</v>
      </c>
      <c r="V16" t="s">
        <v>38</v>
      </c>
      <c r="W16">
        <v>3</v>
      </c>
      <c r="X16" t="s">
        <v>14</v>
      </c>
      <c r="Z16" t="s">
        <v>5</v>
      </c>
      <c r="AA16" t="s">
        <v>15</v>
      </c>
      <c r="AC16" t="s">
        <v>32</v>
      </c>
      <c r="AD16">
        <v>429</v>
      </c>
    </row>
    <row r="17" spans="1:30" x14ac:dyDescent="0.3">
      <c r="A17">
        <v>10975876</v>
      </c>
      <c r="B17" s="3">
        <v>45687</v>
      </c>
      <c r="C17">
        <v>2025</v>
      </c>
      <c r="D17">
        <v>1</v>
      </c>
      <c r="E17" t="s">
        <v>1579</v>
      </c>
      <c r="F17" t="s">
        <v>0</v>
      </c>
      <c r="G17" t="s">
        <v>1</v>
      </c>
      <c r="H17" t="b">
        <v>0</v>
      </c>
      <c r="I17" t="b">
        <v>1</v>
      </c>
      <c r="J17" t="b">
        <v>0</v>
      </c>
      <c r="K17" t="b">
        <v>0</v>
      </c>
      <c r="L17" t="s">
        <v>1593</v>
      </c>
      <c r="M17" t="s">
        <v>817</v>
      </c>
      <c r="N17" t="s">
        <v>70</v>
      </c>
      <c r="O17" t="b">
        <v>0</v>
      </c>
      <c r="P17">
        <v>68</v>
      </c>
      <c r="Q17" t="s">
        <v>3</v>
      </c>
      <c r="R17" t="s">
        <v>77</v>
      </c>
      <c r="S17">
        <v>30</v>
      </c>
      <c r="T17" t="s">
        <v>110</v>
      </c>
      <c r="U17" t="s">
        <v>4</v>
      </c>
      <c r="V17" t="s">
        <v>5</v>
      </c>
      <c r="W17">
        <v>12</v>
      </c>
      <c r="X17" t="s">
        <v>6</v>
      </c>
      <c r="Z17" t="s">
        <v>5</v>
      </c>
      <c r="AA17" t="s">
        <v>8</v>
      </c>
      <c r="AC17" t="s">
        <v>9</v>
      </c>
      <c r="AD17">
        <v>422</v>
      </c>
    </row>
    <row r="18" spans="1:30" x14ac:dyDescent="0.3">
      <c r="A18">
        <v>11069598</v>
      </c>
      <c r="B18" s="3">
        <v>45672</v>
      </c>
      <c r="C18">
        <v>2025</v>
      </c>
      <c r="D18">
        <v>1</v>
      </c>
      <c r="E18" t="s">
        <v>1579</v>
      </c>
      <c r="F18" t="s">
        <v>0</v>
      </c>
      <c r="G18" t="s">
        <v>50</v>
      </c>
      <c r="H18" t="b">
        <v>1</v>
      </c>
      <c r="I18" t="b">
        <v>0</v>
      </c>
      <c r="J18" t="b">
        <v>0</v>
      </c>
      <c r="K18" t="b">
        <v>0</v>
      </c>
      <c r="L18" t="s">
        <v>1594</v>
      </c>
      <c r="M18" t="s">
        <v>919</v>
      </c>
      <c r="N18" t="s">
        <v>63</v>
      </c>
      <c r="O18" t="b">
        <v>0</v>
      </c>
      <c r="P18">
        <v>37</v>
      </c>
      <c r="Q18" t="s">
        <v>954</v>
      </c>
      <c r="R18" t="s">
        <v>987</v>
      </c>
      <c r="S18">
        <v>48</v>
      </c>
      <c r="T18" t="s">
        <v>83</v>
      </c>
      <c r="U18" t="s">
        <v>37</v>
      </c>
      <c r="V18" t="s">
        <v>874</v>
      </c>
      <c r="W18">
        <v>23</v>
      </c>
      <c r="X18" t="s">
        <v>6</v>
      </c>
      <c r="Y18">
        <v>83</v>
      </c>
      <c r="Z18" t="s">
        <v>196</v>
      </c>
      <c r="AA18" t="s">
        <v>8</v>
      </c>
      <c r="AB18">
        <v>72</v>
      </c>
      <c r="AC18" t="s">
        <v>9</v>
      </c>
      <c r="AD18">
        <v>437</v>
      </c>
    </row>
    <row r="19" spans="1:30" x14ac:dyDescent="0.3">
      <c r="A19">
        <v>11101084</v>
      </c>
      <c r="B19" s="3">
        <v>45688</v>
      </c>
      <c r="C19">
        <v>2025</v>
      </c>
      <c r="D19">
        <v>1</v>
      </c>
      <c r="E19" t="s">
        <v>1579</v>
      </c>
      <c r="F19" t="s">
        <v>0</v>
      </c>
      <c r="G19" t="s">
        <v>50</v>
      </c>
      <c r="H19" t="b">
        <v>1</v>
      </c>
      <c r="I19" t="b">
        <v>0</v>
      </c>
      <c r="J19" t="b">
        <v>0</v>
      </c>
      <c r="K19" t="b">
        <v>0</v>
      </c>
      <c r="L19" t="s">
        <v>1595</v>
      </c>
      <c r="M19" t="s">
        <v>168</v>
      </c>
      <c r="N19" t="s">
        <v>5</v>
      </c>
      <c r="O19" t="b">
        <v>0</v>
      </c>
      <c r="P19">
        <v>9</v>
      </c>
      <c r="Q19" t="s">
        <v>632</v>
      </c>
      <c r="R19" t="s">
        <v>633</v>
      </c>
      <c r="S19">
        <v>42</v>
      </c>
      <c r="T19" t="s">
        <v>83</v>
      </c>
      <c r="U19" t="s">
        <v>634</v>
      </c>
      <c r="V19" t="s">
        <v>5</v>
      </c>
      <c r="W19">
        <v>2</v>
      </c>
      <c r="X19" t="s">
        <v>14</v>
      </c>
      <c r="Y19">
        <v>57</v>
      </c>
      <c r="Z19" t="s">
        <v>7</v>
      </c>
      <c r="AA19" t="s">
        <v>15</v>
      </c>
      <c r="AC19" t="s">
        <v>32</v>
      </c>
      <c r="AD19">
        <v>421</v>
      </c>
    </row>
    <row r="20" spans="1:30" x14ac:dyDescent="0.3">
      <c r="A20">
        <v>11140907</v>
      </c>
      <c r="B20" s="3">
        <v>45680</v>
      </c>
      <c r="C20">
        <v>2025</v>
      </c>
      <c r="D20">
        <v>1</v>
      </c>
      <c r="E20" t="s">
        <v>1579</v>
      </c>
      <c r="F20" t="s">
        <v>125</v>
      </c>
      <c r="G20" t="s">
        <v>10</v>
      </c>
      <c r="H20" t="b">
        <v>0</v>
      </c>
      <c r="I20" t="b">
        <v>0</v>
      </c>
      <c r="J20" t="b">
        <v>0</v>
      </c>
      <c r="K20" t="b">
        <v>0</v>
      </c>
      <c r="L20" t="s">
        <v>338</v>
      </c>
      <c r="M20" t="s">
        <v>102</v>
      </c>
      <c r="N20" t="s">
        <v>5</v>
      </c>
      <c r="O20" t="b">
        <v>0</v>
      </c>
      <c r="P20">
        <v>3</v>
      </c>
      <c r="Q20" t="s">
        <v>34</v>
      </c>
      <c r="R20" t="s">
        <v>35</v>
      </c>
      <c r="S20">
        <v>48</v>
      </c>
      <c r="T20" t="s">
        <v>83</v>
      </c>
      <c r="U20" t="s">
        <v>37</v>
      </c>
      <c r="V20" t="s">
        <v>38</v>
      </c>
      <c r="W20">
        <v>1</v>
      </c>
      <c r="X20" t="s">
        <v>31</v>
      </c>
      <c r="Z20" t="s">
        <v>5</v>
      </c>
      <c r="AA20" t="s">
        <v>15</v>
      </c>
      <c r="AC20" t="s">
        <v>32</v>
      </c>
      <c r="AD20">
        <v>429</v>
      </c>
    </row>
    <row r="21" spans="1:30" x14ac:dyDescent="0.3">
      <c r="A21">
        <v>11141220</v>
      </c>
      <c r="B21" s="3">
        <v>45678</v>
      </c>
      <c r="C21">
        <v>2025</v>
      </c>
      <c r="D21">
        <v>1</v>
      </c>
      <c r="E21" t="s">
        <v>1579</v>
      </c>
      <c r="F21" t="s">
        <v>125</v>
      </c>
      <c r="G21" t="s">
        <v>10</v>
      </c>
      <c r="H21" t="b">
        <v>0</v>
      </c>
      <c r="I21" t="b">
        <v>0</v>
      </c>
      <c r="J21" t="b">
        <v>0</v>
      </c>
      <c r="K21" t="b">
        <v>0</v>
      </c>
      <c r="L21" t="s">
        <v>1596</v>
      </c>
      <c r="M21" t="s">
        <v>1209</v>
      </c>
      <c r="N21" t="s">
        <v>5</v>
      </c>
      <c r="O21" t="b">
        <v>0</v>
      </c>
      <c r="P21">
        <v>3</v>
      </c>
      <c r="Q21" t="s">
        <v>34</v>
      </c>
      <c r="R21" t="s">
        <v>35</v>
      </c>
      <c r="S21">
        <v>48</v>
      </c>
      <c r="T21" t="s">
        <v>83</v>
      </c>
      <c r="U21" t="s">
        <v>37</v>
      </c>
      <c r="V21" t="s">
        <v>38</v>
      </c>
      <c r="W21">
        <v>2</v>
      </c>
      <c r="X21" t="s">
        <v>14</v>
      </c>
      <c r="Z21" t="s">
        <v>5</v>
      </c>
      <c r="AA21" t="s">
        <v>15</v>
      </c>
      <c r="AC21" t="s">
        <v>32</v>
      </c>
      <c r="AD21">
        <v>431</v>
      </c>
    </row>
    <row r="22" spans="1:30" x14ac:dyDescent="0.3">
      <c r="A22">
        <v>11176570</v>
      </c>
      <c r="B22" s="3">
        <v>45667</v>
      </c>
      <c r="C22">
        <v>2025</v>
      </c>
      <c r="D22">
        <v>1</v>
      </c>
      <c r="E22" t="s">
        <v>1579</v>
      </c>
      <c r="F22" t="s">
        <v>0</v>
      </c>
      <c r="G22" t="s">
        <v>16</v>
      </c>
      <c r="H22" t="b">
        <v>0</v>
      </c>
      <c r="I22" t="b">
        <v>1</v>
      </c>
      <c r="J22" t="b">
        <v>1</v>
      </c>
      <c r="K22" t="b">
        <v>0</v>
      </c>
      <c r="L22" t="s">
        <v>1597</v>
      </c>
      <c r="M22" t="s">
        <v>221</v>
      </c>
      <c r="N22" t="s">
        <v>12</v>
      </c>
      <c r="O22" t="b">
        <v>1</v>
      </c>
      <c r="P22">
        <v>13</v>
      </c>
      <c r="Q22" t="s">
        <v>200</v>
      </c>
      <c r="R22" t="s">
        <v>201</v>
      </c>
      <c r="S22">
        <v>48</v>
      </c>
      <c r="T22" t="s">
        <v>74</v>
      </c>
      <c r="U22" t="s">
        <v>202</v>
      </c>
      <c r="V22" t="s">
        <v>203</v>
      </c>
      <c r="W22">
        <v>2</v>
      </c>
      <c r="X22" t="s">
        <v>14</v>
      </c>
      <c r="Z22" t="s">
        <v>5</v>
      </c>
      <c r="AA22" t="s">
        <v>5</v>
      </c>
      <c r="AC22" t="s">
        <v>359</v>
      </c>
      <c r="AD22">
        <v>442</v>
      </c>
    </row>
    <row r="23" spans="1:30" x14ac:dyDescent="0.3">
      <c r="A23">
        <v>11198503</v>
      </c>
      <c r="B23" s="3">
        <v>45687</v>
      </c>
      <c r="C23">
        <v>2025</v>
      </c>
      <c r="D23">
        <v>1</v>
      </c>
      <c r="E23" t="s">
        <v>1579</v>
      </c>
      <c r="F23" t="s">
        <v>0</v>
      </c>
      <c r="G23" t="s">
        <v>1256</v>
      </c>
      <c r="H23" t="b">
        <v>0</v>
      </c>
      <c r="I23" t="b">
        <v>1</v>
      </c>
      <c r="J23" t="b">
        <v>1</v>
      </c>
      <c r="K23" t="b">
        <v>1</v>
      </c>
      <c r="L23" t="s">
        <v>1598</v>
      </c>
      <c r="M23" t="s">
        <v>1084</v>
      </c>
      <c r="N23" t="s">
        <v>63</v>
      </c>
      <c r="O23" t="b">
        <v>0</v>
      </c>
      <c r="P23">
        <v>61</v>
      </c>
      <c r="Q23" t="s">
        <v>127</v>
      </c>
      <c r="R23" t="s">
        <v>128</v>
      </c>
      <c r="S23">
        <v>58</v>
      </c>
      <c r="T23" t="s">
        <v>80</v>
      </c>
      <c r="U23" t="s">
        <v>129</v>
      </c>
      <c r="V23" t="s">
        <v>130</v>
      </c>
      <c r="W23">
        <v>88</v>
      </c>
      <c r="X23" t="s">
        <v>6</v>
      </c>
      <c r="Y23">
        <v>67</v>
      </c>
      <c r="Z23" t="s">
        <v>67</v>
      </c>
      <c r="AA23" t="s">
        <v>8</v>
      </c>
      <c r="AB23">
        <v>73</v>
      </c>
      <c r="AC23" t="s">
        <v>9</v>
      </c>
      <c r="AD23">
        <v>422</v>
      </c>
    </row>
    <row r="24" spans="1:30" x14ac:dyDescent="0.3">
      <c r="A24">
        <v>11202456</v>
      </c>
      <c r="B24" s="3">
        <v>45686</v>
      </c>
      <c r="C24">
        <v>2025</v>
      </c>
      <c r="D24">
        <v>1</v>
      </c>
      <c r="E24" t="s">
        <v>1579</v>
      </c>
      <c r="F24" t="s">
        <v>0</v>
      </c>
      <c r="G24" t="s">
        <v>10</v>
      </c>
      <c r="H24" t="b">
        <v>0</v>
      </c>
      <c r="I24" t="b">
        <v>0</v>
      </c>
      <c r="J24" t="b">
        <v>0</v>
      </c>
      <c r="K24" t="b">
        <v>0</v>
      </c>
      <c r="L24" t="s">
        <v>1599</v>
      </c>
      <c r="M24" t="s">
        <v>505</v>
      </c>
      <c r="N24" t="s">
        <v>118</v>
      </c>
      <c r="O24" t="b">
        <v>0</v>
      </c>
      <c r="P24">
        <v>12</v>
      </c>
      <c r="Q24" t="s">
        <v>135</v>
      </c>
      <c r="R24" t="s">
        <v>136</v>
      </c>
      <c r="S24">
        <v>58</v>
      </c>
      <c r="T24" t="s">
        <v>62</v>
      </c>
      <c r="U24" t="s">
        <v>81</v>
      </c>
      <c r="V24" t="s">
        <v>137</v>
      </c>
      <c r="W24">
        <v>14</v>
      </c>
      <c r="X24" t="s">
        <v>6</v>
      </c>
      <c r="Y24">
        <v>56</v>
      </c>
      <c r="Z24" t="s">
        <v>7</v>
      </c>
      <c r="AA24" t="s">
        <v>8</v>
      </c>
      <c r="AC24" t="s">
        <v>9</v>
      </c>
      <c r="AD24">
        <v>423</v>
      </c>
    </row>
    <row r="25" spans="1:30" x14ac:dyDescent="0.3">
      <c r="A25">
        <v>11242177</v>
      </c>
      <c r="B25" s="3">
        <v>45664</v>
      </c>
      <c r="C25">
        <v>2025</v>
      </c>
      <c r="D25">
        <v>1</v>
      </c>
      <c r="E25" t="s">
        <v>1579</v>
      </c>
      <c r="F25" t="s">
        <v>0</v>
      </c>
      <c r="G25" t="s">
        <v>10</v>
      </c>
      <c r="H25" t="b">
        <v>0</v>
      </c>
      <c r="I25" t="b">
        <v>0</v>
      </c>
      <c r="J25" t="b">
        <v>0</v>
      </c>
      <c r="K25" t="b">
        <v>0</v>
      </c>
      <c r="L25" t="s">
        <v>225</v>
      </c>
      <c r="M25" t="s">
        <v>225</v>
      </c>
      <c r="N25" t="s">
        <v>264</v>
      </c>
      <c r="O25" t="b">
        <v>0</v>
      </c>
      <c r="P25">
        <v>1</v>
      </c>
      <c r="Q25" t="s">
        <v>1224</v>
      </c>
      <c r="R25" t="s">
        <v>5</v>
      </c>
      <c r="S25">
        <v>58</v>
      </c>
      <c r="T25" t="s">
        <v>527</v>
      </c>
      <c r="U25" t="s">
        <v>5</v>
      </c>
      <c r="V25" t="s">
        <v>5</v>
      </c>
      <c r="W25">
        <v>2</v>
      </c>
      <c r="X25" t="s">
        <v>14</v>
      </c>
      <c r="Z25" t="s">
        <v>5</v>
      </c>
      <c r="AA25" t="s">
        <v>5</v>
      </c>
      <c r="AC25" t="s">
        <v>20</v>
      </c>
      <c r="AD25">
        <v>445</v>
      </c>
    </row>
    <row r="26" spans="1:30" x14ac:dyDescent="0.3">
      <c r="A26">
        <v>11242178</v>
      </c>
      <c r="B26" s="3">
        <v>45660</v>
      </c>
      <c r="C26">
        <v>2025</v>
      </c>
      <c r="D26">
        <v>1</v>
      </c>
      <c r="E26" t="s">
        <v>1579</v>
      </c>
      <c r="F26" t="s">
        <v>0</v>
      </c>
      <c r="G26" t="s">
        <v>10</v>
      </c>
      <c r="H26" t="b">
        <v>0</v>
      </c>
      <c r="I26" t="b">
        <v>0</v>
      </c>
      <c r="J26" t="b">
        <v>0</v>
      </c>
      <c r="K26" t="b">
        <v>0</v>
      </c>
      <c r="L26" t="s">
        <v>107</v>
      </c>
      <c r="M26" t="s">
        <v>107</v>
      </c>
      <c r="N26" t="s">
        <v>5</v>
      </c>
      <c r="O26" t="b">
        <v>0</v>
      </c>
      <c r="P26">
        <v>1</v>
      </c>
      <c r="Q26" t="s">
        <v>1224</v>
      </c>
      <c r="R26" t="s">
        <v>5</v>
      </c>
      <c r="S26">
        <v>58</v>
      </c>
      <c r="T26" t="s">
        <v>527</v>
      </c>
      <c r="U26" t="s">
        <v>5</v>
      </c>
      <c r="V26" t="s">
        <v>5</v>
      </c>
      <c r="W26">
        <v>4</v>
      </c>
      <c r="X26" t="s">
        <v>40</v>
      </c>
      <c r="Z26" t="s">
        <v>5</v>
      </c>
      <c r="AA26" t="s">
        <v>5</v>
      </c>
      <c r="AC26" t="s">
        <v>20</v>
      </c>
      <c r="AD26">
        <v>449</v>
      </c>
    </row>
    <row r="27" spans="1:30" x14ac:dyDescent="0.3">
      <c r="A27">
        <v>11322501</v>
      </c>
      <c r="B27" s="3">
        <v>45681</v>
      </c>
      <c r="C27">
        <v>2025</v>
      </c>
      <c r="D27">
        <v>1</v>
      </c>
      <c r="E27" t="s">
        <v>1579</v>
      </c>
      <c r="F27" t="s">
        <v>0</v>
      </c>
      <c r="G27" t="s">
        <v>1</v>
      </c>
      <c r="H27" t="b">
        <v>0</v>
      </c>
      <c r="I27" t="b">
        <v>1</v>
      </c>
      <c r="J27" t="b">
        <v>0</v>
      </c>
      <c r="K27" t="b">
        <v>0</v>
      </c>
      <c r="L27" t="s">
        <v>1600</v>
      </c>
      <c r="M27" t="s">
        <v>332</v>
      </c>
      <c r="N27" t="s">
        <v>12</v>
      </c>
      <c r="O27" t="b">
        <v>1</v>
      </c>
      <c r="P27">
        <v>11</v>
      </c>
      <c r="Q27" t="s">
        <v>90</v>
      </c>
      <c r="R27" t="s">
        <v>91</v>
      </c>
      <c r="S27">
        <v>58</v>
      </c>
      <c r="T27" t="s">
        <v>1064</v>
      </c>
      <c r="U27" t="s">
        <v>92</v>
      </c>
      <c r="V27" t="s">
        <v>93</v>
      </c>
      <c r="W27">
        <v>7</v>
      </c>
      <c r="X27" t="s">
        <v>6</v>
      </c>
      <c r="Y27">
        <v>2</v>
      </c>
      <c r="Z27" t="s">
        <v>219</v>
      </c>
      <c r="AA27" t="s">
        <v>8</v>
      </c>
      <c r="AC27" t="s">
        <v>9</v>
      </c>
      <c r="AD27">
        <v>428</v>
      </c>
    </row>
    <row r="28" spans="1:30" x14ac:dyDescent="0.3">
      <c r="A28">
        <v>11342116</v>
      </c>
      <c r="B28" s="3">
        <v>45664</v>
      </c>
      <c r="C28">
        <v>2025</v>
      </c>
      <c r="D28">
        <v>1</v>
      </c>
      <c r="E28" t="s">
        <v>1579</v>
      </c>
      <c r="F28" t="s">
        <v>0</v>
      </c>
      <c r="G28" t="s">
        <v>1</v>
      </c>
      <c r="H28" t="b">
        <v>0</v>
      </c>
      <c r="I28" t="b">
        <v>1</v>
      </c>
      <c r="J28" t="b">
        <v>0</v>
      </c>
      <c r="K28" t="b">
        <v>0</v>
      </c>
      <c r="L28" t="s">
        <v>1601</v>
      </c>
      <c r="M28" t="s">
        <v>991</v>
      </c>
      <c r="N28" t="s">
        <v>63</v>
      </c>
      <c r="O28" t="b">
        <v>0</v>
      </c>
      <c r="P28">
        <v>16</v>
      </c>
      <c r="Q28" t="s">
        <v>879</v>
      </c>
      <c r="R28" t="s">
        <v>880</v>
      </c>
      <c r="S28">
        <v>58</v>
      </c>
      <c r="T28" t="s">
        <v>422</v>
      </c>
      <c r="U28" t="s">
        <v>881</v>
      </c>
      <c r="V28" t="s">
        <v>5</v>
      </c>
      <c r="W28">
        <v>13</v>
      </c>
      <c r="X28" t="s">
        <v>6</v>
      </c>
      <c r="Y28">
        <v>82</v>
      </c>
      <c r="Z28" t="s">
        <v>196</v>
      </c>
      <c r="AA28" t="s">
        <v>8</v>
      </c>
      <c r="AB28">
        <v>87</v>
      </c>
      <c r="AC28" t="s">
        <v>32</v>
      </c>
      <c r="AD28">
        <v>445</v>
      </c>
    </row>
    <row r="29" spans="1:30" x14ac:dyDescent="0.3">
      <c r="A29">
        <v>11404045</v>
      </c>
      <c r="B29" s="3">
        <v>45670</v>
      </c>
      <c r="C29">
        <v>2025</v>
      </c>
      <c r="D29">
        <v>1</v>
      </c>
      <c r="E29" t="s">
        <v>1579</v>
      </c>
      <c r="F29" t="s">
        <v>0</v>
      </c>
      <c r="G29" t="s">
        <v>16</v>
      </c>
      <c r="H29" t="b">
        <v>0</v>
      </c>
      <c r="I29" t="b">
        <v>1</v>
      </c>
      <c r="J29" t="b">
        <v>1</v>
      </c>
      <c r="K29" t="b">
        <v>0</v>
      </c>
      <c r="L29" t="s">
        <v>1602</v>
      </c>
      <c r="M29" t="s">
        <v>397</v>
      </c>
      <c r="N29" t="s">
        <v>12</v>
      </c>
      <c r="O29" t="b">
        <v>1</v>
      </c>
      <c r="P29">
        <v>8</v>
      </c>
      <c r="Q29" t="s">
        <v>1531</v>
      </c>
      <c r="R29" t="s">
        <v>5</v>
      </c>
      <c r="S29">
        <v>58</v>
      </c>
      <c r="T29" t="s">
        <v>83</v>
      </c>
      <c r="U29" t="s">
        <v>5</v>
      </c>
      <c r="V29" t="s">
        <v>5</v>
      </c>
      <c r="W29">
        <v>36</v>
      </c>
      <c r="X29" t="s">
        <v>6</v>
      </c>
      <c r="Y29">
        <v>60</v>
      </c>
      <c r="Z29" t="s">
        <v>7</v>
      </c>
      <c r="AA29" t="s">
        <v>15</v>
      </c>
      <c r="AB29">
        <v>80</v>
      </c>
      <c r="AC29" t="s">
        <v>25</v>
      </c>
      <c r="AD29">
        <v>439</v>
      </c>
    </row>
    <row r="30" spans="1:30" x14ac:dyDescent="0.3">
      <c r="A30">
        <v>11489618</v>
      </c>
      <c r="B30" s="3">
        <v>45663</v>
      </c>
      <c r="C30">
        <v>2025</v>
      </c>
      <c r="D30">
        <v>1</v>
      </c>
      <c r="E30" t="s">
        <v>1579</v>
      </c>
      <c r="F30" t="s">
        <v>0</v>
      </c>
      <c r="G30" t="s">
        <v>10</v>
      </c>
      <c r="H30" t="b">
        <v>0</v>
      </c>
      <c r="I30" t="b">
        <v>0</v>
      </c>
      <c r="J30" t="b">
        <v>0</v>
      </c>
      <c r="K30" t="b">
        <v>0</v>
      </c>
      <c r="L30" t="s">
        <v>1151</v>
      </c>
      <c r="M30" t="s">
        <v>1151</v>
      </c>
      <c r="N30" t="s">
        <v>12</v>
      </c>
      <c r="O30" t="b">
        <v>1</v>
      </c>
      <c r="P30">
        <v>1</v>
      </c>
      <c r="Q30" t="s">
        <v>141</v>
      </c>
      <c r="R30" t="s">
        <v>142</v>
      </c>
      <c r="S30">
        <v>48</v>
      </c>
      <c r="T30" t="s">
        <v>143</v>
      </c>
      <c r="U30" t="s">
        <v>144</v>
      </c>
      <c r="V30" t="s">
        <v>5</v>
      </c>
      <c r="W30">
        <v>11</v>
      </c>
      <c r="X30" t="s">
        <v>6</v>
      </c>
      <c r="Y30">
        <v>39</v>
      </c>
      <c r="Z30" t="s">
        <v>61</v>
      </c>
      <c r="AA30" t="s">
        <v>8</v>
      </c>
      <c r="AB30">
        <v>61.7</v>
      </c>
      <c r="AC30" t="s">
        <v>32</v>
      </c>
      <c r="AD30">
        <v>446</v>
      </c>
    </row>
    <row r="31" spans="1:30" x14ac:dyDescent="0.3">
      <c r="A31">
        <v>11591887</v>
      </c>
      <c r="B31" s="3">
        <v>45681</v>
      </c>
      <c r="C31">
        <v>2025</v>
      </c>
      <c r="D31">
        <v>1</v>
      </c>
      <c r="E31" t="s">
        <v>1579</v>
      </c>
      <c r="F31" t="s">
        <v>0</v>
      </c>
      <c r="G31" t="s">
        <v>1</v>
      </c>
      <c r="H31" t="b">
        <v>0</v>
      </c>
      <c r="I31" t="b">
        <v>1</v>
      </c>
      <c r="J31" t="b">
        <v>0</v>
      </c>
      <c r="K31" t="b">
        <v>0</v>
      </c>
      <c r="L31" t="s">
        <v>1603</v>
      </c>
      <c r="M31" t="s">
        <v>517</v>
      </c>
      <c r="N31" t="s">
        <v>140</v>
      </c>
      <c r="O31" t="b">
        <v>0</v>
      </c>
      <c r="P31">
        <v>34</v>
      </c>
      <c r="Q31" t="s">
        <v>135</v>
      </c>
      <c r="R31" t="s">
        <v>136</v>
      </c>
      <c r="S31">
        <v>58</v>
      </c>
      <c r="T31" t="s">
        <v>62</v>
      </c>
      <c r="U31" t="s">
        <v>81</v>
      </c>
      <c r="V31" t="s">
        <v>137</v>
      </c>
      <c r="W31">
        <v>34</v>
      </c>
      <c r="X31" t="s">
        <v>6</v>
      </c>
      <c r="Y31">
        <v>55</v>
      </c>
      <c r="Z31" t="s">
        <v>7</v>
      </c>
      <c r="AA31" t="s">
        <v>8</v>
      </c>
      <c r="AC31" t="s">
        <v>9</v>
      </c>
      <c r="AD31">
        <v>428</v>
      </c>
    </row>
    <row r="32" spans="1:30" x14ac:dyDescent="0.3">
      <c r="A32">
        <v>11610486</v>
      </c>
      <c r="B32" s="3">
        <v>45672</v>
      </c>
      <c r="C32">
        <v>2025</v>
      </c>
      <c r="D32">
        <v>1</v>
      </c>
      <c r="E32" t="s">
        <v>1579</v>
      </c>
      <c r="F32" t="s">
        <v>0</v>
      </c>
      <c r="G32" t="s">
        <v>1</v>
      </c>
      <c r="H32" t="b">
        <v>0</v>
      </c>
      <c r="I32" t="b">
        <v>1</v>
      </c>
      <c r="J32" t="b">
        <v>0</v>
      </c>
      <c r="K32" t="b">
        <v>0</v>
      </c>
      <c r="L32" t="s">
        <v>1604</v>
      </c>
      <c r="M32" t="s">
        <v>1542</v>
      </c>
      <c r="N32" t="s">
        <v>12</v>
      </c>
      <c r="O32" t="b">
        <v>1</v>
      </c>
      <c r="P32">
        <v>3</v>
      </c>
      <c r="Q32" t="s">
        <v>835</v>
      </c>
      <c r="R32" t="s">
        <v>836</v>
      </c>
      <c r="S32">
        <v>65</v>
      </c>
      <c r="T32" t="s">
        <v>694</v>
      </c>
      <c r="U32" t="s">
        <v>837</v>
      </c>
      <c r="V32" t="s">
        <v>540</v>
      </c>
      <c r="W32">
        <v>5</v>
      </c>
      <c r="X32" t="s">
        <v>40</v>
      </c>
      <c r="Y32">
        <v>61</v>
      </c>
      <c r="Z32" t="s">
        <v>7</v>
      </c>
      <c r="AA32" t="s">
        <v>8</v>
      </c>
      <c r="AC32" t="s">
        <v>1359</v>
      </c>
      <c r="AD32">
        <v>437</v>
      </c>
    </row>
    <row r="33" spans="1:30" x14ac:dyDescent="0.3">
      <c r="A33">
        <v>11624304</v>
      </c>
      <c r="B33" s="3">
        <v>45683</v>
      </c>
      <c r="C33">
        <v>2025</v>
      </c>
      <c r="D33">
        <v>1</v>
      </c>
      <c r="E33" t="s">
        <v>1579</v>
      </c>
      <c r="F33" t="s">
        <v>125</v>
      </c>
      <c r="G33" t="s">
        <v>10</v>
      </c>
      <c r="H33" t="b">
        <v>0</v>
      </c>
      <c r="I33" t="b">
        <v>0</v>
      </c>
      <c r="J33" t="b">
        <v>0</v>
      </c>
      <c r="K33" t="b">
        <v>0</v>
      </c>
      <c r="L33" t="s">
        <v>1605</v>
      </c>
      <c r="M33" t="s">
        <v>896</v>
      </c>
      <c r="N33" t="s">
        <v>63</v>
      </c>
      <c r="O33" t="b">
        <v>0</v>
      </c>
      <c r="P33">
        <v>4</v>
      </c>
      <c r="Q33" t="s">
        <v>1348</v>
      </c>
      <c r="R33" t="s">
        <v>1349</v>
      </c>
      <c r="S33">
        <v>48</v>
      </c>
      <c r="T33" t="s">
        <v>22</v>
      </c>
      <c r="U33" t="s">
        <v>106</v>
      </c>
      <c r="V33" t="s">
        <v>5</v>
      </c>
      <c r="W33">
        <v>1</v>
      </c>
      <c r="X33" t="s">
        <v>31</v>
      </c>
      <c r="Y33">
        <v>56</v>
      </c>
      <c r="Z33" t="s">
        <v>7</v>
      </c>
      <c r="AA33" t="s">
        <v>8</v>
      </c>
      <c r="AC33" t="s">
        <v>32</v>
      </c>
      <c r="AD33">
        <v>426</v>
      </c>
    </row>
    <row r="34" spans="1:30" x14ac:dyDescent="0.3">
      <c r="A34">
        <v>11633442</v>
      </c>
      <c r="B34" s="3">
        <v>45677</v>
      </c>
      <c r="C34">
        <v>2025</v>
      </c>
      <c r="D34">
        <v>1</v>
      </c>
      <c r="E34" t="s">
        <v>1579</v>
      </c>
      <c r="F34" t="s">
        <v>0</v>
      </c>
      <c r="G34" t="s">
        <v>10</v>
      </c>
      <c r="H34" t="b">
        <v>0</v>
      </c>
      <c r="I34" t="b">
        <v>0</v>
      </c>
      <c r="J34" t="b">
        <v>0</v>
      </c>
      <c r="K34" t="b">
        <v>0</v>
      </c>
      <c r="L34" t="s">
        <v>1606</v>
      </c>
      <c r="M34" t="s">
        <v>396</v>
      </c>
      <c r="N34" t="s">
        <v>5</v>
      </c>
      <c r="O34" t="b">
        <v>0</v>
      </c>
      <c r="P34">
        <v>4</v>
      </c>
      <c r="Q34" t="s">
        <v>588</v>
      </c>
      <c r="R34" t="s">
        <v>589</v>
      </c>
      <c r="S34" t="s">
        <v>5</v>
      </c>
      <c r="T34" t="s">
        <v>218</v>
      </c>
      <c r="U34" t="s">
        <v>591</v>
      </c>
      <c r="V34" t="s">
        <v>592</v>
      </c>
      <c r="W34">
        <v>2</v>
      </c>
      <c r="X34" t="s">
        <v>14</v>
      </c>
      <c r="Z34" t="s">
        <v>5</v>
      </c>
      <c r="AA34" t="s">
        <v>8</v>
      </c>
      <c r="AC34" t="s">
        <v>32</v>
      </c>
      <c r="AD34">
        <v>432</v>
      </c>
    </row>
    <row r="35" spans="1:30" x14ac:dyDescent="0.3">
      <c r="A35">
        <v>11706030</v>
      </c>
      <c r="B35" s="3">
        <v>45685</v>
      </c>
      <c r="C35">
        <v>2025</v>
      </c>
      <c r="D35">
        <v>1</v>
      </c>
      <c r="E35" t="s">
        <v>1579</v>
      </c>
      <c r="F35" t="s">
        <v>0</v>
      </c>
      <c r="G35" t="s">
        <v>1</v>
      </c>
      <c r="H35" t="b">
        <v>0</v>
      </c>
      <c r="I35" t="b">
        <v>1</v>
      </c>
      <c r="J35" t="b">
        <v>0</v>
      </c>
      <c r="K35" t="b">
        <v>0</v>
      </c>
      <c r="L35" t="s">
        <v>1607</v>
      </c>
      <c r="M35" t="s">
        <v>109</v>
      </c>
      <c r="N35" t="s">
        <v>5</v>
      </c>
      <c r="O35" t="b">
        <v>0</v>
      </c>
      <c r="P35">
        <v>4</v>
      </c>
      <c r="Q35" t="s">
        <v>162</v>
      </c>
      <c r="R35" t="s">
        <v>163</v>
      </c>
      <c r="S35" t="s">
        <v>5</v>
      </c>
      <c r="T35" t="s">
        <v>865</v>
      </c>
      <c r="U35" t="s">
        <v>88</v>
      </c>
      <c r="V35" t="s">
        <v>89</v>
      </c>
      <c r="W35">
        <v>2</v>
      </c>
      <c r="X35" t="s">
        <v>14</v>
      </c>
      <c r="Y35">
        <v>53</v>
      </c>
      <c r="Z35" t="s">
        <v>7</v>
      </c>
      <c r="AA35" t="s">
        <v>8</v>
      </c>
      <c r="AB35">
        <v>69</v>
      </c>
      <c r="AC35" t="s">
        <v>32</v>
      </c>
      <c r="AD35">
        <v>424</v>
      </c>
    </row>
    <row r="36" spans="1:30" x14ac:dyDescent="0.3">
      <c r="A36">
        <v>11713362</v>
      </c>
      <c r="B36" s="3">
        <v>45685</v>
      </c>
      <c r="C36">
        <v>2025</v>
      </c>
      <c r="D36">
        <v>1</v>
      </c>
      <c r="E36" t="s">
        <v>1579</v>
      </c>
      <c r="F36" t="s">
        <v>0</v>
      </c>
      <c r="G36" t="s">
        <v>10</v>
      </c>
      <c r="H36" t="b">
        <v>0</v>
      </c>
      <c r="I36" t="b">
        <v>0</v>
      </c>
      <c r="J36" t="b">
        <v>0</v>
      </c>
      <c r="K36" t="b">
        <v>0</v>
      </c>
      <c r="L36" t="s">
        <v>1608</v>
      </c>
      <c r="M36" t="s">
        <v>152</v>
      </c>
      <c r="N36" t="s">
        <v>63</v>
      </c>
      <c r="O36" t="b">
        <v>0</v>
      </c>
      <c r="P36">
        <v>2</v>
      </c>
      <c r="Q36" t="s">
        <v>127</v>
      </c>
      <c r="R36" t="s">
        <v>128</v>
      </c>
      <c r="S36">
        <v>65</v>
      </c>
      <c r="T36" t="s">
        <v>80</v>
      </c>
      <c r="U36" t="s">
        <v>129</v>
      </c>
      <c r="V36" t="s">
        <v>130</v>
      </c>
      <c r="W36">
        <v>1</v>
      </c>
      <c r="X36" t="s">
        <v>31</v>
      </c>
      <c r="Y36">
        <v>58</v>
      </c>
      <c r="Z36" t="s">
        <v>7</v>
      </c>
      <c r="AA36" t="s">
        <v>8</v>
      </c>
      <c r="AC36" t="s">
        <v>32</v>
      </c>
      <c r="AD36">
        <v>424</v>
      </c>
    </row>
    <row r="37" spans="1:30" x14ac:dyDescent="0.3">
      <c r="A37">
        <v>11749584</v>
      </c>
      <c r="B37" s="3">
        <v>45677</v>
      </c>
      <c r="C37">
        <v>2025</v>
      </c>
      <c r="D37">
        <v>1</v>
      </c>
      <c r="E37" t="s">
        <v>1579</v>
      </c>
      <c r="F37" t="s">
        <v>0</v>
      </c>
      <c r="G37" t="s">
        <v>10</v>
      </c>
      <c r="H37" t="b">
        <v>0</v>
      </c>
      <c r="I37" t="b">
        <v>0</v>
      </c>
      <c r="J37" t="b">
        <v>0</v>
      </c>
      <c r="K37" t="b">
        <v>0</v>
      </c>
      <c r="L37" t="s">
        <v>1609</v>
      </c>
      <c r="M37" t="s">
        <v>567</v>
      </c>
      <c r="N37" t="s">
        <v>2</v>
      </c>
      <c r="O37" t="b">
        <v>1</v>
      </c>
      <c r="P37">
        <v>27</v>
      </c>
      <c r="Q37" t="s">
        <v>135</v>
      </c>
      <c r="R37" t="s">
        <v>136</v>
      </c>
      <c r="S37">
        <v>58</v>
      </c>
      <c r="T37" t="s">
        <v>62</v>
      </c>
      <c r="U37" t="s">
        <v>81</v>
      </c>
      <c r="V37" t="s">
        <v>137</v>
      </c>
      <c r="W37">
        <v>34</v>
      </c>
      <c r="X37" t="s">
        <v>6</v>
      </c>
      <c r="Y37">
        <v>56</v>
      </c>
      <c r="Z37" t="s">
        <v>7</v>
      </c>
      <c r="AA37" t="s">
        <v>8</v>
      </c>
      <c r="AB37">
        <v>75</v>
      </c>
      <c r="AC37" t="s">
        <v>9</v>
      </c>
      <c r="AD37">
        <v>432</v>
      </c>
    </row>
    <row r="38" spans="1:30" x14ac:dyDescent="0.3">
      <c r="A38">
        <v>11817639</v>
      </c>
      <c r="B38" s="3">
        <v>45673</v>
      </c>
      <c r="C38">
        <v>2025</v>
      </c>
      <c r="D38">
        <v>1</v>
      </c>
      <c r="E38" t="s">
        <v>1579</v>
      </c>
      <c r="F38" t="s">
        <v>125</v>
      </c>
      <c r="G38" t="s">
        <v>10</v>
      </c>
      <c r="H38" t="b">
        <v>0</v>
      </c>
      <c r="I38" t="b">
        <v>0</v>
      </c>
      <c r="J38" t="b">
        <v>0</v>
      </c>
      <c r="K38" t="b">
        <v>0</v>
      </c>
      <c r="L38" t="s">
        <v>1405</v>
      </c>
      <c r="M38" t="s">
        <v>33</v>
      </c>
      <c r="N38" t="s">
        <v>5</v>
      </c>
      <c r="O38" t="b">
        <v>0</v>
      </c>
      <c r="P38">
        <v>4</v>
      </c>
      <c r="Q38" t="s">
        <v>34</v>
      </c>
      <c r="R38" t="s">
        <v>35</v>
      </c>
      <c r="S38">
        <v>48</v>
      </c>
      <c r="T38" t="s">
        <v>393</v>
      </c>
      <c r="U38" t="s">
        <v>37</v>
      </c>
      <c r="V38" t="s">
        <v>38</v>
      </c>
      <c r="W38">
        <v>2</v>
      </c>
      <c r="X38" t="s">
        <v>14</v>
      </c>
      <c r="Y38">
        <v>5</v>
      </c>
      <c r="Z38" t="s">
        <v>46</v>
      </c>
      <c r="AA38" t="s">
        <v>15</v>
      </c>
      <c r="AB38">
        <v>43.09</v>
      </c>
      <c r="AC38" t="s">
        <v>32</v>
      </c>
      <c r="AD38">
        <v>436</v>
      </c>
    </row>
    <row r="39" spans="1:30" x14ac:dyDescent="0.3">
      <c r="A39">
        <v>11844191</v>
      </c>
      <c r="B39" s="3">
        <v>45686</v>
      </c>
      <c r="C39">
        <v>2025</v>
      </c>
      <c r="D39">
        <v>1</v>
      </c>
      <c r="E39" t="s">
        <v>1579</v>
      </c>
      <c r="F39" t="s">
        <v>0</v>
      </c>
      <c r="G39" t="s">
        <v>10</v>
      </c>
      <c r="H39" t="b">
        <v>0</v>
      </c>
      <c r="I39" t="b">
        <v>0</v>
      </c>
      <c r="J39" t="b">
        <v>0</v>
      </c>
      <c r="K39" t="b">
        <v>0</v>
      </c>
      <c r="L39" t="s">
        <v>1610</v>
      </c>
      <c r="M39" t="s">
        <v>1610</v>
      </c>
      <c r="N39" t="s">
        <v>12</v>
      </c>
      <c r="O39" t="b">
        <v>1</v>
      </c>
      <c r="P39">
        <v>1</v>
      </c>
      <c r="Q39" t="s">
        <v>418</v>
      </c>
      <c r="R39" t="s">
        <v>419</v>
      </c>
      <c r="S39">
        <v>50</v>
      </c>
      <c r="T39" t="s">
        <v>150</v>
      </c>
      <c r="U39" t="s">
        <v>177</v>
      </c>
      <c r="V39" t="s">
        <v>5</v>
      </c>
      <c r="W39">
        <v>6</v>
      </c>
      <c r="X39" t="s">
        <v>6</v>
      </c>
      <c r="Z39" t="s">
        <v>5</v>
      </c>
      <c r="AA39" t="s">
        <v>8</v>
      </c>
      <c r="AC39" t="s">
        <v>32</v>
      </c>
      <c r="AD39">
        <v>423</v>
      </c>
    </row>
    <row r="40" spans="1:30" x14ac:dyDescent="0.3">
      <c r="A40">
        <v>11844688</v>
      </c>
      <c r="B40" s="3">
        <v>45677</v>
      </c>
      <c r="C40">
        <v>2025</v>
      </c>
      <c r="D40">
        <v>1</v>
      </c>
      <c r="E40" t="s">
        <v>1579</v>
      </c>
      <c r="F40" t="s">
        <v>0</v>
      </c>
      <c r="G40" t="s">
        <v>10</v>
      </c>
      <c r="H40" t="b">
        <v>0</v>
      </c>
      <c r="I40" t="b">
        <v>0</v>
      </c>
      <c r="J40" t="b">
        <v>0</v>
      </c>
      <c r="K40" t="b">
        <v>0</v>
      </c>
      <c r="L40" t="s">
        <v>1611</v>
      </c>
      <c r="M40" t="s">
        <v>741</v>
      </c>
      <c r="N40" t="s">
        <v>140</v>
      </c>
      <c r="O40" t="b">
        <v>0</v>
      </c>
      <c r="P40">
        <v>46</v>
      </c>
      <c r="Q40" t="s">
        <v>581</v>
      </c>
      <c r="R40" t="s">
        <v>607</v>
      </c>
      <c r="S40">
        <v>42</v>
      </c>
      <c r="T40" t="s">
        <v>80</v>
      </c>
      <c r="U40" t="s">
        <v>81</v>
      </c>
      <c r="V40" t="s">
        <v>584</v>
      </c>
      <c r="W40">
        <v>31</v>
      </c>
      <c r="X40" t="s">
        <v>6</v>
      </c>
      <c r="Y40">
        <v>42</v>
      </c>
      <c r="Z40" t="s">
        <v>7</v>
      </c>
      <c r="AA40" t="s">
        <v>8</v>
      </c>
      <c r="AB40">
        <v>105</v>
      </c>
      <c r="AC40" t="s">
        <v>9</v>
      </c>
      <c r="AD40">
        <v>432</v>
      </c>
    </row>
    <row r="41" spans="1:30" x14ac:dyDescent="0.3">
      <c r="A41">
        <v>11971850</v>
      </c>
      <c r="B41" s="3">
        <v>45663</v>
      </c>
      <c r="C41">
        <v>2025</v>
      </c>
      <c r="D41">
        <v>1</v>
      </c>
      <c r="E41" t="s">
        <v>1579</v>
      </c>
      <c r="F41" t="s">
        <v>0</v>
      </c>
      <c r="G41" t="s">
        <v>10</v>
      </c>
      <c r="H41" t="b">
        <v>0</v>
      </c>
      <c r="I41" t="b">
        <v>0</v>
      </c>
      <c r="J41" t="b">
        <v>0</v>
      </c>
      <c r="K41" t="b">
        <v>0</v>
      </c>
      <c r="L41" t="s">
        <v>1612</v>
      </c>
      <c r="M41" t="s">
        <v>1613</v>
      </c>
      <c r="N41" t="s">
        <v>5</v>
      </c>
      <c r="O41" t="b">
        <v>0</v>
      </c>
      <c r="P41">
        <v>234</v>
      </c>
      <c r="Q41" t="s">
        <v>695</v>
      </c>
      <c r="R41" t="s">
        <v>696</v>
      </c>
      <c r="S41">
        <v>58</v>
      </c>
      <c r="T41" t="s">
        <v>594</v>
      </c>
      <c r="U41" t="s">
        <v>501</v>
      </c>
      <c r="V41" t="s">
        <v>697</v>
      </c>
      <c r="W41">
        <v>3</v>
      </c>
      <c r="X41" t="s">
        <v>14</v>
      </c>
      <c r="Z41" t="s">
        <v>5</v>
      </c>
      <c r="AA41" t="s">
        <v>5</v>
      </c>
      <c r="AC41" t="s">
        <v>284</v>
      </c>
      <c r="AD41">
        <v>446</v>
      </c>
    </row>
    <row r="42" spans="1:30" x14ac:dyDescent="0.3">
      <c r="A42">
        <v>11982644</v>
      </c>
      <c r="B42" s="3">
        <v>45667</v>
      </c>
      <c r="C42">
        <v>2025</v>
      </c>
      <c r="D42">
        <v>1</v>
      </c>
      <c r="E42" t="s">
        <v>1579</v>
      </c>
      <c r="F42" t="s">
        <v>0</v>
      </c>
      <c r="G42" t="s">
        <v>10</v>
      </c>
      <c r="H42" t="b">
        <v>0</v>
      </c>
      <c r="I42" t="b">
        <v>0</v>
      </c>
      <c r="J42" t="b">
        <v>0</v>
      </c>
      <c r="K42" t="b">
        <v>0</v>
      </c>
      <c r="L42" t="s">
        <v>1419</v>
      </c>
      <c r="M42" t="s">
        <v>1419</v>
      </c>
      <c r="N42" t="s">
        <v>264</v>
      </c>
      <c r="O42" t="b">
        <v>0</v>
      </c>
      <c r="P42">
        <v>1</v>
      </c>
      <c r="Q42" t="s">
        <v>471</v>
      </c>
      <c r="R42" t="s">
        <v>472</v>
      </c>
      <c r="S42">
        <v>65</v>
      </c>
      <c r="T42" t="s">
        <v>83</v>
      </c>
      <c r="U42" t="s">
        <v>473</v>
      </c>
      <c r="V42" t="s">
        <v>5</v>
      </c>
      <c r="W42">
        <v>4</v>
      </c>
      <c r="X42" t="s">
        <v>40</v>
      </c>
      <c r="Y42">
        <v>81</v>
      </c>
      <c r="Z42" t="s">
        <v>196</v>
      </c>
      <c r="AA42" t="s">
        <v>15</v>
      </c>
      <c r="AC42" t="s">
        <v>32</v>
      </c>
      <c r="AD42">
        <v>442</v>
      </c>
    </row>
    <row r="43" spans="1:30" x14ac:dyDescent="0.3">
      <c r="A43">
        <v>11987598</v>
      </c>
      <c r="B43" s="3">
        <v>45672</v>
      </c>
      <c r="C43">
        <v>2025</v>
      </c>
      <c r="D43">
        <v>1</v>
      </c>
      <c r="E43" t="s">
        <v>1579</v>
      </c>
      <c r="F43" t="s">
        <v>0</v>
      </c>
      <c r="G43" t="s">
        <v>10</v>
      </c>
      <c r="H43" t="b">
        <v>0</v>
      </c>
      <c r="I43" t="b">
        <v>0</v>
      </c>
      <c r="J43" t="b">
        <v>0</v>
      </c>
      <c r="K43" t="b">
        <v>0</v>
      </c>
      <c r="L43" t="s">
        <v>1614</v>
      </c>
      <c r="M43" t="s">
        <v>216</v>
      </c>
      <c r="N43" t="s">
        <v>5</v>
      </c>
      <c r="O43" t="b">
        <v>0</v>
      </c>
      <c r="P43">
        <v>9</v>
      </c>
      <c r="Q43" t="s">
        <v>135</v>
      </c>
      <c r="R43" t="s">
        <v>136</v>
      </c>
      <c r="S43">
        <v>58</v>
      </c>
      <c r="T43" t="s">
        <v>299</v>
      </c>
      <c r="U43" t="s">
        <v>81</v>
      </c>
      <c r="V43" t="s">
        <v>137</v>
      </c>
      <c r="W43">
        <v>14</v>
      </c>
      <c r="X43" t="s">
        <v>6</v>
      </c>
      <c r="Y43">
        <v>41</v>
      </c>
      <c r="Z43" t="s">
        <v>7</v>
      </c>
      <c r="AA43" t="s">
        <v>8</v>
      </c>
      <c r="AC43" t="s">
        <v>9</v>
      </c>
      <c r="AD43">
        <v>437</v>
      </c>
    </row>
    <row r="44" spans="1:30" x14ac:dyDescent="0.3">
      <c r="A44">
        <v>11987895</v>
      </c>
      <c r="B44" s="3">
        <v>45678</v>
      </c>
      <c r="C44">
        <v>2025</v>
      </c>
      <c r="D44">
        <v>1</v>
      </c>
      <c r="E44" t="s">
        <v>1579</v>
      </c>
      <c r="F44" t="s">
        <v>0</v>
      </c>
      <c r="G44" t="s">
        <v>1</v>
      </c>
      <c r="H44" t="b">
        <v>0</v>
      </c>
      <c r="I44" t="b">
        <v>1</v>
      </c>
      <c r="J44" t="b">
        <v>0</v>
      </c>
      <c r="K44" t="b">
        <v>0</v>
      </c>
      <c r="L44" t="s">
        <v>285</v>
      </c>
      <c r="M44" t="s">
        <v>285</v>
      </c>
      <c r="N44" t="s">
        <v>264</v>
      </c>
      <c r="O44" t="b">
        <v>0</v>
      </c>
      <c r="P44">
        <v>1</v>
      </c>
      <c r="Q44" t="s">
        <v>643</v>
      </c>
      <c r="R44" t="s">
        <v>644</v>
      </c>
      <c r="S44">
        <v>65</v>
      </c>
      <c r="T44" t="s">
        <v>1403</v>
      </c>
      <c r="U44" t="s">
        <v>645</v>
      </c>
      <c r="V44" t="s">
        <v>111</v>
      </c>
      <c r="W44">
        <v>3</v>
      </c>
      <c r="X44" t="s">
        <v>14</v>
      </c>
      <c r="Y44">
        <v>56</v>
      </c>
      <c r="Z44" t="s">
        <v>7</v>
      </c>
      <c r="AA44" t="s">
        <v>8</v>
      </c>
      <c r="AC44" t="s">
        <v>32</v>
      </c>
      <c r="AD44">
        <v>431</v>
      </c>
    </row>
    <row r="45" spans="1:30" x14ac:dyDescent="0.3">
      <c r="A45">
        <v>12088971</v>
      </c>
      <c r="B45" s="3">
        <v>45677</v>
      </c>
      <c r="C45">
        <v>2025</v>
      </c>
      <c r="D45">
        <v>1</v>
      </c>
      <c r="E45" t="s">
        <v>1579</v>
      </c>
      <c r="F45" t="s">
        <v>0</v>
      </c>
      <c r="G45" t="s">
        <v>50</v>
      </c>
      <c r="H45" t="b">
        <v>1</v>
      </c>
      <c r="I45" t="b">
        <v>0</v>
      </c>
      <c r="J45" t="b">
        <v>0</v>
      </c>
      <c r="K45" t="b">
        <v>0</v>
      </c>
      <c r="L45" t="s">
        <v>1468</v>
      </c>
      <c r="M45" t="s">
        <v>1468</v>
      </c>
      <c r="N45" t="s">
        <v>5</v>
      </c>
      <c r="O45" t="b">
        <v>0</v>
      </c>
      <c r="P45">
        <v>1</v>
      </c>
      <c r="Q45" t="s">
        <v>1374</v>
      </c>
      <c r="R45" t="s">
        <v>1375</v>
      </c>
      <c r="S45">
        <v>65</v>
      </c>
      <c r="T45" t="s">
        <v>335</v>
      </c>
      <c r="U45" t="s">
        <v>1376</v>
      </c>
      <c r="V45" t="s">
        <v>5</v>
      </c>
      <c r="W45">
        <v>1</v>
      </c>
      <c r="X45" t="s">
        <v>31</v>
      </c>
      <c r="Y45">
        <v>77</v>
      </c>
      <c r="Z45" t="s">
        <v>67</v>
      </c>
      <c r="AA45" t="s">
        <v>15</v>
      </c>
      <c r="AC45" t="s">
        <v>32</v>
      </c>
      <c r="AD45">
        <v>432</v>
      </c>
    </row>
    <row r="46" spans="1:30" x14ac:dyDescent="0.3">
      <c r="A46">
        <v>12092675</v>
      </c>
      <c r="B46" s="3">
        <v>45672</v>
      </c>
      <c r="C46">
        <v>2025</v>
      </c>
      <c r="D46">
        <v>1</v>
      </c>
      <c r="E46" t="s">
        <v>1579</v>
      </c>
      <c r="F46" t="s">
        <v>0</v>
      </c>
      <c r="G46" t="s">
        <v>10</v>
      </c>
      <c r="H46" t="b">
        <v>0</v>
      </c>
      <c r="I46" t="b">
        <v>0</v>
      </c>
      <c r="J46" t="b">
        <v>0</v>
      </c>
      <c r="K46" t="b">
        <v>0</v>
      </c>
      <c r="L46" t="s">
        <v>1615</v>
      </c>
      <c r="M46" t="s">
        <v>1288</v>
      </c>
      <c r="N46" t="s">
        <v>57</v>
      </c>
      <c r="O46" t="b">
        <v>1</v>
      </c>
      <c r="P46">
        <v>3</v>
      </c>
      <c r="Q46" t="s">
        <v>386</v>
      </c>
      <c r="R46" t="s">
        <v>387</v>
      </c>
      <c r="S46">
        <v>65</v>
      </c>
      <c r="T46" t="s">
        <v>1616</v>
      </c>
      <c r="U46" t="s">
        <v>388</v>
      </c>
      <c r="V46" t="s">
        <v>111</v>
      </c>
      <c r="W46">
        <v>4</v>
      </c>
      <c r="X46" t="s">
        <v>40</v>
      </c>
      <c r="Y46">
        <v>23</v>
      </c>
      <c r="Z46" t="s">
        <v>61</v>
      </c>
      <c r="AA46" t="s">
        <v>15</v>
      </c>
      <c r="AC46" t="s">
        <v>32</v>
      </c>
      <c r="AD46">
        <v>437</v>
      </c>
    </row>
    <row r="47" spans="1:30" x14ac:dyDescent="0.3">
      <c r="A47">
        <v>12098603</v>
      </c>
      <c r="B47" s="3">
        <v>45671</v>
      </c>
      <c r="C47">
        <v>2025</v>
      </c>
      <c r="D47">
        <v>1</v>
      </c>
      <c r="E47" t="s">
        <v>1579</v>
      </c>
      <c r="F47" t="s">
        <v>0</v>
      </c>
      <c r="G47" t="s">
        <v>10</v>
      </c>
      <c r="H47" t="b">
        <v>0</v>
      </c>
      <c r="I47" t="b">
        <v>0</v>
      </c>
      <c r="J47" t="b">
        <v>0</v>
      </c>
      <c r="K47" t="b">
        <v>0</v>
      </c>
      <c r="L47" t="s">
        <v>1617</v>
      </c>
      <c r="M47" t="s">
        <v>126</v>
      </c>
      <c r="N47" t="s">
        <v>63</v>
      </c>
      <c r="O47" t="b">
        <v>0</v>
      </c>
      <c r="P47">
        <v>4</v>
      </c>
      <c r="Q47" t="s">
        <v>127</v>
      </c>
      <c r="R47" t="s">
        <v>128</v>
      </c>
      <c r="S47">
        <v>65</v>
      </c>
      <c r="T47" t="s">
        <v>80</v>
      </c>
      <c r="U47" t="s">
        <v>129</v>
      </c>
      <c r="V47" t="s">
        <v>130</v>
      </c>
      <c r="W47">
        <v>17</v>
      </c>
      <c r="X47" t="s">
        <v>6</v>
      </c>
      <c r="Y47">
        <v>60</v>
      </c>
      <c r="Z47" t="s">
        <v>7</v>
      </c>
      <c r="AA47" t="s">
        <v>8</v>
      </c>
      <c r="AC47" t="s">
        <v>9</v>
      </c>
      <c r="AD47">
        <v>438</v>
      </c>
    </row>
    <row r="48" spans="1:30" x14ac:dyDescent="0.3">
      <c r="A48">
        <v>12114532</v>
      </c>
      <c r="B48" s="3">
        <v>45671</v>
      </c>
      <c r="C48">
        <v>2025</v>
      </c>
      <c r="D48">
        <v>1</v>
      </c>
      <c r="E48" t="s">
        <v>1579</v>
      </c>
      <c r="F48" t="s">
        <v>0</v>
      </c>
      <c r="G48" t="s">
        <v>10</v>
      </c>
      <c r="H48" t="b">
        <v>0</v>
      </c>
      <c r="I48" t="b">
        <v>0</v>
      </c>
      <c r="J48" t="b">
        <v>0</v>
      </c>
      <c r="K48" t="b">
        <v>0</v>
      </c>
      <c r="L48" t="s">
        <v>1618</v>
      </c>
      <c r="M48" t="s">
        <v>1005</v>
      </c>
      <c r="N48" t="s">
        <v>94</v>
      </c>
      <c r="O48" t="b">
        <v>1</v>
      </c>
      <c r="P48">
        <v>4</v>
      </c>
      <c r="Q48" t="s">
        <v>1399</v>
      </c>
      <c r="R48" t="s">
        <v>5</v>
      </c>
      <c r="S48">
        <v>48</v>
      </c>
      <c r="T48" t="s">
        <v>105</v>
      </c>
      <c r="U48" t="s">
        <v>5</v>
      </c>
      <c r="V48" t="s">
        <v>5</v>
      </c>
      <c r="W48">
        <v>15</v>
      </c>
      <c r="X48" t="s">
        <v>6</v>
      </c>
      <c r="Y48">
        <v>46</v>
      </c>
      <c r="Z48" t="s">
        <v>7</v>
      </c>
      <c r="AA48" t="s">
        <v>15</v>
      </c>
      <c r="AC48" t="s">
        <v>20</v>
      </c>
      <c r="AD48">
        <v>438</v>
      </c>
    </row>
    <row r="49" spans="1:30" x14ac:dyDescent="0.3">
      <c r="A49">
        <v>12168501</v>
      </c>
      <c r="B49" s="3">
        <v>45660</v>
      </c>
      <c r="C49">
        <v>2025</v>
      </c>
      <c r="D49">
        <v>1</v>
      </c>
      <c r="E49" t="s">
        <v>1579</v>
      </c>
      <c r="F49" t="s">
        <v>0</v>
      </c>
      <c r="G49" t="s">
        <v>1</v>
      </c>
      <c r="H49" t="b">
        <v>0</v>
      </c>
      <c r="I49" t="b">
        <v>1</v>
      </c>
      <c r="J49" t="b">
        <v>0</v>
      </c>
      <c r="K49" t="b">
        <v>0</v>
      </c>
      <c r="L49" t="s">
        <v>1619</v>
      </c>
      <c r="M49" t="s">
        <v>397</v>
      </c>
      <c r="N49" t="s">
        <v>229</v>
      </c>
      <c r="O49" t="b">
        <v>0</v>
      </c>
      <c r="P49">
        <v>6</v>
      </c>
      <c r="Q49" t="s">
        <v>1081</v>
      </c>
      <c r="R49" t="s">
        <v>1082</v>
      </c>
      <c r="S49">
        <v>65</v>
      </c>
      <c r="T49" t="s">
        <v>83</v>
      </c>
      <c r="U49" t="s">
        <v>501</v>
      </c>
      <c r="V49" t="s">
        <v>1000</v>
      </c>
      <c r="W49">
        <v>14</v>
      </c>
      <c r="X49" t="s">
        <v>6</v>
      </c>
      <c r="Y49">
        <v>68</v>
      </c>
      <c r="Z49" t="s">
        <v>67</v>
      </c>
      <c r="AA49" t="s">
        <v>15</v>
      </c>
      <c r="AC49" t="s">
        <v>32</v>
      </c>
      <c r="AD49">
        <v>449</v>
      </c>
    </row>
    <row r="50" spans="1:30" x14ac:dyDescent="0.3">
      <c r="A50">
        <v>12233210</v>
      </c>
      <c r="B50" s="3">
        <v>45670</v>
      </c>
      <c r="C50">
        <v>2025</v>
      </c>
      <c r="D50">
        <v>1</v>
      </c>
      <c r="E50" t="s">
        <v>1579</v>
      </c>
      <c r="F50" t="s">
        <v>0</v>
      </c>
      <c r="G50" t="s">
        <v>197</v>
      </c>
      <c r="H50" t="b">
        <v>1</v>
      </c>
      <c r="I50" t="b">
        <v>1</v>
      </c>
      <c r="J50" t="b">
        <v>0</v>
      </c>
      <c r="K50" t="b">
        <v>0</v>
      </c>
      <c r="L50" t="s">
        <v>1620</v>
      </c>
      <c r="M50" t="s">
        <v>1165</v>
      </c>
      <c r="N50" t="s">
        <v>5</v>
      </c>
      <c r="O50" t="b">
        <v>0</v>
      </c>
      <c r="P50">
        <v>4</v>
      </c>
      <c r="Q50" t="s">
        <v>528</v>
      </c>
      <c r="R50" t="s">
        <v>529</v>
      </c>
      <c r="S50">
        <v>65</v>
      </c>
      <c r="T50" t="s">
        <v>530</v>
      </c>
      <c r="U50" t="s">
        <v>531</v>
      </c>
      <c r="V50" t="s">
        <v>392</v>
      </c>
      <c r="W50">
        <v>6</v>
      </c>
      <c r="X50" t="s">
        <v>6</v>
      </c>
      <c r="Z50" t="s">
        <v>5</v>
      </c>
      <c r="AA50" t="s">
        <v>5</v>
      </c>
      <c r="AC50" t="s">
        <v>32</v>
      </c>
      <c r="AD50">
        <v>439</v>
      </c>
    </row>
    <row r="51" spans="1:30" x14ac:dyDescent="0.3">
      <c r="A51">
        <v>12394229</v>
      </c>
      <c r="B51" s="3">
        <v>45674</v>
      </c>
      <c r="C51">
        <v>2025</v>
      </c>
      <c r="D51">
        <v>1</v>
      </c>
      <c r="E51" t="s">
        <v>1579</v>
      </c>
      <c r="F51" t="s">
        <v>0</v>
      </c>
      <c r="G51" t="s">
        <v>10</v>
      </c>
      <c r="H51" t="b">
        <v>0</v>
      </c>
      <c r="I51" t="b">
        <v>0</v>
      </c>
      <c r="J51" t="b">
        <v>0</v>
      </c>
      <c r="K51" t="b">
        <v>0</v>
      </c>
      <c r="L51" t="s">
        <v>1621</v>
      </c>
      <c r="M51" t="s">
        <v>833</v>
      </c>
      <c r="N51" t="s">
        <v>5</v>
      </c>
      <c r="O51" t="b">
        <v>0</v>
      </c>
      <c r="P51">
        <v>18</v>
      </c>
      <c r="Q51" t="s">
        <v>189</v>
      </c>
      <c r="R51" t="s">
        <v>190</v>
      </c>
      <c r="S51">
        <v>48</v>
      </c>
      <c r="T51" t="s">
        <v>393</v>
      </c>
      <c r="U51" t="s">
        <v>191</v>
      </c>
      <c r="V51" t="s">
        <v>84</v>
      </c>
      <c r="W51">
        <v>6</v>
      </c>
      <c r="X51" t="s">
        <v>6</v>
      </c>
      <c r="Z51" t="s">
        <v>5</v>
      </c>
      <c r="AA51" t="s">
        <v>8</v>
      </c>
      <c r="AB51">
        <v>41.28</v>
      </c>
      <c r="AC51" t="s">
        <v>32</v>
      </c>
      <c r="AD51">
        <v>435</v>
      </c>
    </row>
    <row r="52" spans="1:30" x14ac:dyDescent="0.3">
      <c r="A52">
        <v>12454848</v>
      </c>
      <c r="B52" s="3">
        <v>45664</v>
      </c>
      <c r="C52">
        <v>2025</v>
      </c>
      <c r="D52">
        <v>1</v>
      </c>
      <c r="E52" t="s">
        <v>1579</v>
      </c>
      <c r="F52" t="s">
        <v>0</v>
      </c>
      <c r="G52" t="s">
        <v>10</v>
      </c>
      <c r="H52" t="b">
        <v>0</v>
      </c>
      <c r="I52" t="b">
        <v>0</v>
      </c>
      <c r="J52" t="b">
        <v>0</v>
      </c>
      <c r="K52" t="b">
        <v>0</v>
      </c>
      <c r="L52" t="s">
        <v>179</v>
      </c>
      <c r="M52" t="s">
        <v>179</v>
      </c>
      <c r="N52" t="s">
        <v>12</v>
      </c>
      <c r="O52" t="b">
        <v>1</v>
      </c>
      <c r="P52">
        <v>1</v>
      </c>
      <c r="Q52" t="s">
        <v>892</v>
      </c>
      <c r="R52" t="s">
        <v>5</v>
      </c>
      <c r="S52">
        <v>65</v>
      </c>
      <c r="T52" t="s">
        <v>1146</v>
      </c>
      <c r="U52" t="s">
        <v>5</v>
      </c>
      <c r="V52" t="s">
        <v>5</v>
      </c>
      <c r="W52">
        <v>8</v>
      </c>
      <c r="X52" t="s">
        <v>6</v>
      </c>
      <c r="Y52">
        <v>69</v>
      </c>
      <c r="Z52" t="s">
        <v>67</v>
      </c>
      <c r="AA52" t="s">
        <v>15</v>
      </c>
      <c r="AC52" t="s">
        <v>25</v>
      </c>
      <c r="AD52">
        <v>445</v>
      </c>
    </row>
    <row r="53" spans="1:30" x14ac:dyDescent="0.3">
      <c r="A53">
        <v>12461980</v>
      </c>
      <c r="B53" s="3">
        <v>45659</v>
      </c>
      <c r="C53">
        <v>2025</v>
      </c>
      <c r="D53">
        <v>1</v>
      </c>
      <c r="E53" t="s">
        <v>1579</v>
      </c>
      <c r="F53" t="s">
        <v>125</v>
      </c>
      <c r="G53" t="s">
        <v>10</v>
      </c>
      <c r="H53" t="b">
        <v>0</v>
      </c>
      <c r="I53" t="b">
        <v>0</v>
      </c>
      <c r="J53" t="b">
        <v>0</v>
      </c>
      <c r="K53" t="b">
        <v>0</v>
      </c>
      <c r="L53" t="s">
        <v>755</v>
      </c>
      <c r="M53" t="s">
        <v>755</v>
      </c>
      <c r="N53" t="s">
        <v>5</v>
      </c>
      <c r="O53" t="b">
        <v>0</v>
      </c>
      <c r="P53">
        <v>1</v>
      </c>
      <c r="Q53" t="s">
        <v>289</v>
      </c>
      <c r="R53" t="s">
        <v>290</v>
      </c>
      <c r="S53" t="s">
        <v>5</v>
      </c>
      <c r="T53" t="s">
        <v>183</v>
      </c>
      <c r="U53" t="s">
        <v>271</v>
      </c>
      <c r="V53" t="s">
        <v>292</v>
      </c>
      <c r="W53">
        <v>20</v>
      </c>
      <c r="X53" t="s">
        <v>6</v>
      </c>
      <c r="Y53">
        <v>61</v>
      </c>
      <c r="Z53" t="s">
        <v>7</v>
      </c>
      <c r="AA53" t="s">
        <v>15</v>
      </c>
      <c r="AC53" t="s">
        <v>9</v>
      </c>
      <c r="AD53">
        <v>450</v>
      </c>
    </row>
    <row r="54" spans="1:30" x14ac:dyDescent="0.3">
      <c r="A54">
        <v>12468340</v>
      </c>
      <c r="B54" s="3">
        <v>45670</v>
      </c>
      <c r="C54">
        <v>2025</v>
      </c>
      <c r="D54">
        <v>1</v>
      </c>
      <c r="E54" t="s">
        <v>1579</v>
      </c>
      <c r="F54" t="s">
        <v>0</v>
      </c>
      <c r="G54" t="s">
        <v>10</v>
      </c>
      <c r="H54" t="b">
        <v>0</v>
      </c>
      <c r="I54" t="b">
        <v>0</v>
      </c>
      <c r="J54" t="b">
        <v>0</v>
      </c>
      <c r="K54" t="b">
        <v>0</v>
      </c>
      <c r="L54" t="s">
        <v>1622</v>
      </c>
      <c r="M54" t="s">
        <v>875</v>
      </c>
      <c r="N54" t="s">
        <v>118</v>
      </c>
      <c r="O54" t="b">
        <v>0</v>
      </c>
      <c r="P54">
        <v>9</v>
      </c>
      <c r="Q54" t="s">
        <v>208</v>
      </c>
      <c r="R54" t="s">
        <v>209</v>
      </c>
      <c r="S54">
        <v>48</v>
      </c>
      <c r="T54" t="s">
        <v>80</v>
      </c>
      <c r="U54" t="s">
        <v>210</v>
      </c>
      <c r="V54" t="s">
        <v>5</v>
      </c>
      <c r="W54">
        <v>6</v>
      </c>
      <c r="X54" t="s">
        <v>6</v>
      </c>
      <c r="Y54">
        <v>61</v>
      </c>
      <c r="Z54" t="s">
        <v>7</v>
      </c>
      <c r="AA54" t="s">
        <v>8</v>
      </c>
      <c r="AC54" t="s">
        <v>9</v>
      </c>
      <c r="AD54">
        <v>439</v>
      </c>
    </row>
    <row r="55" spans="1:30" x14ac:dyDescent="0.3">
      <c r="A55">
        <v>12493060</v>
      </c>
      <c r="B55" s="3">
        <v>45665</v>
      </c>
      <c r="C55">
        <v>2025</v>
      </c>
      <c r="D55">
        <v>1</v>
      </c>
      <c r="E55" t="s">
        <v>1579</v>
      </c>
      <c r="F55" t="s">
        <v>0</v>
      </c>
      <c r="G55" t="s">
        <v>10</v>
      </c>
      <c r="H55" t="b">
        <v>0</v>
      </c>
      <c r="I55" t="b">
        <v>0</v>
      </c>
      <c r="J55" t="b">
        <v>0</v>
      </c>
      <c r="K55" t="b">
        <v>0</v>
      </c>
      <c r="L55" t="s">
        <v>1623</v>
      </c>
      <c r="M55" t="s">
        <v>1226</v>
      </c>
      <c r="N55" t="s">
        <v>17</v>
      </c>
      <c r="O55" t="b">
        <v>0</v>
      </c>
      <c r="P55">
        <v>6</v>
      </c>
      <c r="Q55" t="s">
        <v>289</v>
      </c>
      <c r="R55" t="s">
        <v>290</v>
      </c>
      <c r="S55" t="s">
        <v>5</v>
      </c>
      <c r="T55" t="s">
        <v>291</v>
      </c>
      <c r="U55" t="s">
        <v>271</v>
      </c>
      <c r="V55" t="s">
        <v>292</v>
      </c>
      <c r="W55">
        <v>13</v>
      </c>
      <c r="X55" t="s">
        <v>6</v>
      </c>
      <c r="Y55">
        <v>61</v>
      </c>
      <c r="Z55" t="s">
        <v>7</v>
      </c>
      <c r="AA55" t="s">
        <v>8</v>
      </c>
      <c r="AC55" t="s">
        <v>9</v>
      </c>
      <c r="AD55">
        <v>444</v>
      </c>
    </row>
    <row r="56" spans="1:30" x14ac:dyDescent="0.3">
      <c r="A56">
        <v>12496635</v>
      </c>
      <c r="B56" s="3">
        <v>45667</v>
      </c>
      <c r="C56">
        <v>2025</v>
      </c>
      <c r="D56">
        <v>1</v>
      </c>
      <c r="E56" t="s">
        <v>1579</v>
      </c>
      <c r="F56" t="s">
        <v>0</v>
      </c>
      <c r="G56" t="s">
        <v>10</v>
      </c>
      <c r="H56" t="b">
        <v>0</v>
      </c>
      <c r="I56" t="b">
        <v>0</v>
      </c>
      <c r="J56" t="b">
        <v>0</v>
      </c>
      <c r="K56" t="b">
        <v>0</v>
      </c>
      <c r="L56" t="s">
        <v>1624</v>
      </c>
      <c r="M56" t="s">
        <v>650</v>
      </c>
      <c r="N56" t="s">
        <v>17</v>
      </c>
      <c r="O56" t="b">
        <v>0</v>
      </c>
      <c r="P56">
        <v>5</v>
      </c>
      <c r="Q56" t="s">
        <v>193</v>
      </c>
      <c r="R56" t="s">
        <v>194</v>
      </c>
      <c r="S56">
        <v>65</v>
      </c>
      <c r="T56" t="s">
        <v>5</v>
      </c>
      <c r="U56" t="s">
        <v>195</v>
      </c>
      <c r="V56" t="s">
        <v>5</v>
      </c>
      <c r="W56">
        <v>13</v>
      </c>
      <c r="X56" t="s">
        <v>6</v>
      </c>
      <c r="Y56">
        <v>62</v>
      </c>
      <c r="Z56" t="s">
        <v>7</v>
      </c>
      <c r="AA56" t="s">
        <v>8</v>
      </c>
      <c r="AC56" t="s">
        <v>9</v>
      </c>
      <c r="AD56">
        <v>442</v>
      </c>
    </row>
    <row r="57" spans="1:30" x14ac:dyDescent="0.3">
      <c r="A57">
        <v>12501748</v>
      </c>
      <c r="B57" s="3">
        <v>45682</v>
      </c>
      <c r="C57">
        <v>2025</v>
      </c>
      <c r="D57">
        <v>1</v>
      </c>
      <c r="E57" t="s">
        <v>1579</v>
      </c>
      <c r="F57" t="s">
        <v>0</v>
      </c>
      <c r="G57" t="s">
        <v>1</v>
      </c>
      <c r="H57" t="b">
        <v>0</v>
      </c>
      <c r="I57" t="b">
        <v>1</v>
      </c>
      <c r="J57" t="b">
        <v>0</v>
      </c>
      <c r="K57" t="b">
        <v>0</v>
      </c>
      <c r="L57" t="s">
        <v>1625</v>
      </c>
      <c r="M57" t="s">
        <v>1391</v>
      </c>
      <c r="N57" t="s">
        <v>70</v>
      </c>
      <c r="O57" t="b">
        <v>0</v>
      </c>
      <c r="P57">
        <v>10</v>
      </c>
      <c r="Q57" t="s">
        <v>1028</v>
      </c>
      <c r="R57" t="s">
        <v>1029</v>
      </c>
      <c r="S57">
        <v>41</v>
      </c>
      <c r="T57" t="s">
        <v>1010</v>
      </c>
      <c r="U57" t="s">
        <v>871</v>
      </c>
      <c r="V57" t="s">
        <v>1030</v>
      </c>
      <c r="W57">
        <v>9</v>
      </c>
      <c r="X57" t="s">
        <v>6</v>
      </c>
      <c r="Z57" t="s">
        <v>5</v>
      </c>
      <c r="AA57" t="s">
        <v>8</v>
      </c>
      <c r="AB57">
        <v>59</v>
      </c>
      <c r="AC57" t="s">
        <v>20</v>
      </c>
      <c r="AD57">
        <v>427</v>
      </c>
    </row>
    <row r="58" spans="1:30" x14ac:dyDescent="0.3">
      <c r="A58">
        <v>12541347</v>
      </c>
      <c r="B58" s="3">
        <v>45664</v>
      </c>
      <c r="C58">
        <v>2025</v>
      </c>
      <c r="D58">
        <v>1</v>
      </c>
      <c r="E58" t="s">
        <v>1579</v>
      </c>
      <c r="F58" t="s">
        <v>0</v>
      </c>
      <c r="G58" t="s">
        <v>10</v>
      </c>
      <c r="H58" t="b">
        <v>0</v>
      </c>
      <c r="I58" t="b">
        <v>0</v>
      </c>
      <c r="J58" t="b">
        <v>0</v>
      </c>
      <c r="K58" t="b">
        <v>0</v>
      </c>
      <c r="L58" t="s">
        <v>1626</v>
      </c>
      <c r="M58" t="s">
        <v>378</v>
      </c>
      <c r="N58" t="s">
        <v>118</v>
      </c>
      <c r="O58" t="b">
        <v>0</v>
      </c>
      <c r="P58">
        <v>11</v>
      </c>
      <c r="Q58" t="s">
        <v>499</v>
      </c>
      <c r="R58" t="s">
        <v>500</v>
      </c>
      <c r="S58">
        <v>41</v>
      </c>
      <c r="T58" t="s">
        <v>237</v>
      </c>
      <c r="U58" t="s">
        <v>501</v>
      </c>
      <c r="V58" t="s">
        <v>130</v>
      </c>
      <c r="W58">
        <v>12</v>
      </c>
      <c r="X58" t="s">
        <v>6</v>
      </c>
      <c r="Y58">
        <v>51</v>
      </c>
      <c r="Z58" t="s">
        <v>7</v>
      </c>
      <c r="AA58" t="s">
        <v>15</v>
      </c>
      <c r="AB58">
        <v>138.80000000000001</v>
      </c>
      <c r="AC58" t="s">
        <v>32</v>
      </c>
      <c r="AD58">
        <v>445</v>
      </c>
    </row>
    <row r="59" spans="1:30" x14ac:dyDescent="0.3">
      <c r="A59">
        <v>12607639</v>
      </c>
      <c r="B59" s="3">
        <v>45671</v>
      </c>
      <c r="C59">
        <v>2025</v>
      </c>
      <c r="D59">
        <v>1</v>
      </c>
      <c r="E59" t="s">
        <v>1579</v>
      </c>
      <c r="F59" t="s">
        <v>0</v>
      </c>
      <c r="G59" t="s">
        <v>1</v>
      </c>
      <c r="H59" t="b">
        <v>0</v>
      </c>
      <c r="I59" t="b">
        <v>1</v>
      </c>
      <c r="J59" t="b">
        <v>0</v>
      </c>
      <c r="K59" t="b">
        <v>0</v>
      </c>
      <c r="L59" t="s">
        <v>1627</v>
      </c>
      <c r="M59" t="s">
        <v>275</v>
      </c>
      <c r="N59" t="s">
        <v>70</v>
      </c>
      <c r="O59" t="b">
        <v>0</v>
      </c>
      <c r="P59">
        <v>55</v>
      </c>
      <c r="Q59" t="s">
        <v>230</v>
      </c>
      <c r="R59" t="s">
        <v>268</v>
      </c>
      <c r="S59">
        <v>48</v>
      </c>
      <c r="T59" t="s">
        <v>269</v>
      </c>
      <c r="U59" t="s">
        <v>231</v>
      </c>
      <c r="V59" t="s">
        <v>232</v>
      </c>
      <c r="W59">
        <v>57</v>
      </c>
      <c r="X59" t="s">
        <v>6</v>
      </c>
      <c r="Z59" t="s">
        <v>5</v>
      </c>
      <c r="AA59" t="s">
        <v>5</v>
      </c>
      <c r="AC59" t="s">
        <v>32</v>
      </c>
      <c r="AD59">
        <v>438</v>
      </c>
    </row>
    <row r="60" spans="1:30" x14ac:dyDescent="0.3">
      <c r="A60">
        <v>12631786</v>
      </c>
      <c r="B60" s="3">
        <v>45673</v>
      </c>
      <c r="C60">
        <v>2025</v>
      </c>
      <c r="D60">
        <v>1</v>
      </c>
      <c r="E60" t="s">
        <v>1579</v>
      </c>
      <c r="F60" t="s">
        <v>0</v>
      </c>
      <c r="G60" t="s">
        <v>1</v>
      </c>
      <c r="H60" t="b">
        <v>0</v>
      </c>
      <c r="I60" t="b">
        <v>1</v>
      </c>
      <c r="J60" t="b">
        <v>0</v>
      </c>
      <c r="K60" t="b">
        <v>0</v>
      </c>
      <c r="L60" t="s">
        <v>1628</v>
      </c>
      <c r="M60" t="s">
        <v>1315</v>
      </c>
      <c r="N60" t="s">
        <v>5</v>
      </c>
      <c r="O60" t="b">
        <v>0</v>
      </c>
      <c r="P60">
        <v>3</v>
      </c>
      <c r="Q60" t="s">
        <v>1077</v>
      </c>
      <c r="R60" t="s">
        <v>5</v>
      </c>
      <c r="S60">
        <v>58</v>
      </c>
      <c r="T60" t="s">
        <v>590</v>
      </c>
      <c r="U60" t="s">
        <v>5</v>
      </c>
      <c r="V60" t="s">
        <v>5</v>
      </c>
      <c r="W60">
        <v>12</v>
      </c>
      <c r="X60" t="s">
        <v>6</v>
      </c>
      <c r="Z60" t="s">
        <v>5</v>
      </c>
      <c r="AA60" t="s">
        <v>8</v>
      </c>
      <c r="AB60">
        <v>68.947000000000003</v>
      </c>
      <c r="AC60" t="s">
        <v>32</v>
      </c>
      <c r="AD60">
        <v>436</v>
      </c>
    </row>
    <row r="61" spans="1:30" x14ac:dyDescent="0.3">
      <c r="A61">
        <v>12653514</v>
      </c>
      <c r="B61" s="3">
        <v>45659</v>
      </c>
      <c r="C61">
        <v>2025</v>
      </c>
      <c r="D61">
        <v>1</v>
      </c>
      <c r="E61" t="s">
        <v>1579</v>
      </c>
      <c r="F61" t="s">
        <v>0</v>
      </c>
      <c r="G61" t="s">
        <v>10</v>
      </c>
      <c r="H61" t="b">
        <v>0</v>
      </c>
      <c r="I61" t="b">
        <v>0</v>
      </c>
      <c r="J61" t="b">
        <v>0</v>
      </c>
      <c r="K61" t="b">
        <v>0</v>
      </c>
      <c r="L61" t="s">
        <v>1629</v>
      </c>
      <c r="M61" t="s">
        <v>354</v>
      </c>
      <c r="N61" t="s">
        <v>5</v>
      </c>
      <c r="O61" t="b">
        <v>0</v>
      </c>
      <c r="P61">
        <v>2</v>
      </c>
      <c r="Q61" t="s">
        <v>293</v>
      </c>
      <c r="R61" t="s">
        <v>294</v>
      </c>
      <c r="S61">
        <v>48</v>
      </c>
      <c r="T61" t="s">
        <v>5</v>
      </c>
      <c r="U61" t="s">
        <v>106</v>
      </c>
      <c r="V61" t="s">
        <v>5</v>
      </c>
      <c r="W61">
        <v>1</v>
      </c>
      <c r="X61" t="s">
        <v>31</v>
      </c>
      <c r="Z61" t="s">
        <v>5</v>
      </c>
      <c r="AA61" t="s">
        <v>8</v>
      </c>
      <c r="AC61" t="s">
        <v>32</v>
      </c>
      <c r="AD61">
        <v>450</v>
      </c>
    </row>
    <row r="62" spans="1:30" x14ac:dyDescent="0.3">
      <c r="A62">
        <v>12675092</v>
      </c>
      <c r="B62" s="3">
        <v>45673</v>
      </c>
      <c r="C62">
        <v>2025</v>
      </c>
      <c r="D62">
        <v>1</v>
      </c>
      <c r="E62" t="s">
        <v>1579</v>
      </c>
      <c r="F62" t="s">
        <v>0</v>
      </c>
      <c r="G62" t="s">
        <v>1</v>
      </c>
      <c r="H62" t="b">
        <v>0</v>
      </c>
      <c r="I62" t="b">
        <v>1</v>
      </c>
      <c r="J62" t="b">
        <v>0</v>
      </c>
      <c r="K62" t="b">
        <v>0</v>
      </c>
      <c r="L62" t="s">
        <v>1630</v>
      </c>
      <c r="M62" t="s">
        <v>608</v>
      </c>
      <c r="N62" t="s">
        <v>17</v>
      </c>
      <c r="O62" t="b">
        <v>0</v>
      </c>
      <c r="P62">
        <v>7</v>
      </c>
      <c r="Q62" t="s">
        <v>1107</v>
      </c>
      <c r="R62" t="s">
        <v>1108</v>
      </c>
      <c r="S62">
        <v>65</v>
      </c>
      <c r="T62" t="s">
        <v>83</v>
      </c>
      <c r="U62" t="s">
        <v>1109</v>
      </c>
      <c r="V62" t="s">
        <v>38</v>
      </c>
      <c r="W62">
        <v>28</v>
      </c>
      <c r="X62" t="s">
        <v>6</v>
      </c>
      <c r="Z62" t="s">
        <v>5</v>
      </c>
      <c r="AA62" t="s">
        <v>5</v>
      </c>
      <c r="AC62" t="s">
        <v>56</v>
      </c>
      <c r="AD62">
        <v>436</v>
      </c>
    </row>
    <row r="63" spans="1:30" x14ac:dyDescent="0.3">
      <c r="A63">
        <v>12711230</v>
      </c>
      <c r="B63" s="3">
        <v>45680</v>
      </c>
      <c r="C63">
        <v>2025</v>
      </c>
      <c r="D63">
        <v>1</v>
      </c>
      <c r="E63" t="s">
        <v>1579</v>
      </c>
      <c r="F63" t="s">
        <v>0</v>
      </c>
      <c r="G63" t="s">
        <v>10</v>
      </c>
      <c r="H63" t="b">
        <v>0</v>
      </c>
      <c r="I63" t="b">
        <v>0</v>
      </c>
      <c r="J63" t="b">
        <v>0</v>
      </c>
      <c r="K63" t="b">
        <v>0</v>
      </c>
      <c r="L63" t="s">
        <v>1631</v>
      </c>
      <c r="M63" t="s">
        <v>742</v>
      </c>
      <c r="N63" t="s">
        <v>63</v>
      </c>
      <c r="O63" t="b">
        <v>0</v>
      </c>
      <c r="P63">
        <v>3</v>
      </c>
      <c r="Q63" t="s">
        <v>227</v>
      </c>
      <c r="R63" t="s">
        <v>256</v>
      </c>
      <c r="S63" t="s">
        <v>5</v>
      </c>
      <c r="T63" t="s">
        <v>80</v>
      </c>
      <c r="U63" t="s">
        <v>258</v>
      </c>
      <c r="V63" t="s">
        <v>259</v>
      </c>
      <c r="W63">
        <v>19</v>
      </c>
      <c r="X63" t="s">
        <v>6</v>
      </c>
      <c r="Y63">
        <v>60</v>
      </c>
      <c r="Z63" t="s">
        <v>7</v>
      </c>
      <c r="AA63" t="s">
        <v>8</v>
      </c>
      <c r="AC63" t="s">
        <v>5</v>
      </c>
      <c r="AD63">
        <v>429</v>
      </c>
    </row>
    <row r="64" spans="1:30" x14ac:dyDescent="0.3">
      <c r="A64">
        <v>12732919</v>
      </c>
      <c r="B64" s="3">
        <v>45663</v>
      </c>
      <c r="C64">
        <v>2025</v>
      </c>
      <c r="D64">
        <v>1</v>
      </c>
      <c r="E64" t="s">
        <v>1579</v>
      </c>
      <c r="F64" t="s">
        <v>0</v>
      </c>
      <c r="G64" t="s">
        <v>10</v>
      </c>
      <c r="H64" t="b">
        <v>0</v>
      </c>
      <c r="I64" t="b">
        <v>0</v>
      </c>
      <c r="J64" t="b">
        <v>0</v>
      </c>
      <c r="K64" t="b">
        <v>0</v>
      </c>
      <c r="L64" t="s">
        <v>1632</v>
      </c>
      <c r="M64" t="s">
        <v>745</v>
      </c>
      <c r="N64" t="s">
        <v>140</v>
      </c>
      <c r="O64" t="b">
        <v>0</v>
      </c>
      <c r="P64">
        <v>36</v>
      </c>
      <c r="Q64" t="s">
        <v>135</v>
      </c>
      <c r="R64" t="s">
        <v>136</v>
      </c>
      <c r="S64">
        <v>58</v>
      </c>
      <c r="T64" t="s">
        <v>62</v>
      </c>
      <c r="U64" t="s">
        <v>81</v>
      </c>
      <c r="V64" t="s">
        <v>137</v>
      </c>
      <c r="W64">
        <v>20</v>
      </c>
      <c r="X64" t="s">
        <v>6</v>
      </c>
      <c r="Y64">
        <v>66</v>
      </c>
      <c r="Z64" t="s">
        <v>67</v>
      </c>
      <c r="AA64" t="s">
        <v>15</v>
      </c>
      <c r="AC64" t="s">
        <v>9</v>
      </c>
      <c r="AD64">
        <v>446</v>
      </c>
    </row>
    <row r="65" spans="1:30" x14ac:dyDescent="0.3">
      <c r="A65">
        <v>12756396</v>
      </c>
      <c r="B65" s="3">
        <v>45678</v>
      </c>
      <c r="C65">
        <v>2025</v>
      </c>
      <c r="D65">
        <v>1</v>
      </c>
      <c r="E65" t="s">
        <v>1579</v>
      </c>
      <c r="F65" t="s">
        <v>0</v>
      </c>
      <c r="G65" t="s">
        <v>10</v>
      </c>
      <c r="H65" t="b">
        <v>0</v>
      </c>
      <c r="I65" t="b">
        <v>0</v>
      </c>
      <c r="J65" t="b">
        <v>0</v>
      </c>
      <c r="K65" t="b">
        <v>0</v>
      </c>
      <c r="L65" t="s">
        <v>1633</v>
      </c>
      <c r="M65" t="s">
        <v>249</v>
      </c>
      <c r="N65" t="s">
        <v>57</v>
      </c>
      <c r="O65" t="b">
        <v>1</v>
      </c>
      <c r="P65">
        <v>5</v>
      </c>
      <c r="Q65" t="s">
        <v>141</v>
      </c>
      <c r="R65" t="s">
        <v>142</v>
      </c>
      <c r="S65">
        <v>48</v>
      </c>
      <c r="T65" t="s">
        <v>143</v>
      </c>
      <c r="U65" t="s">
        <v>144</v>
      </c>
      <c r="V65" t="s">
        <v>5</v>
      </c>
      <c r="W65">
        <v>16</v>
      </c>
      <c r="X65" t="s">
        <v>6</v>
      </c>
      <c r="Y65">
        <v>70</v>
      </c>
      <c r="Z65" t="s">
        <v>67</v>
      </c>
      <c r="AA65" t="s">
        <v>15</v>
      </c>
      <c r="AC65" t="s">
        <v>32</v>
      </c>
      <c r="AD65">
        <v>431</v>
      </c>
    </row>
    <row r="66" spans="1:30" x14ac:dyDescent="0.3">
      <c r="A66">
        <v>12773286</v>
      </c>
      <c r="B66" s="3">
        <v>45664</v>
      </c>
      <c r="C66">
        <v>2025</v>
      </c>
      <c r="D66">
        <v>1</v>
      </c>
      <c r="E66" t="s">
        <v>1579</v>
      </c>
      <c r="F66" t="s">
        <v>0</v>
      </c>
      <c r="G66" t="s">
        <v>1</v>
      </c>
      <c r="H66" t="b">
        <v>0</v>
      </c>
      <c r="I66" t="b">
        <v>1</v>
      </c>
      <c r="J66" t="b">
        <v>0</v>
      </c>
      <c r="K66" t="b">
        <v>0</v>
      </c>
      <c r="L66" t="s">
        <v>1634</v>
      </c>
      <c r="M66" t="s">
        <v>76</v>
      </c>
      <c r="N66" t="s">
        <v>70</v>
      </c>
      <c r="O66" t="b">
        <v>0</v>
      </c>
      <c r="P66">
        <v>28</v>
      </c>
      <c r="Q66" t="s">
        <v>289</v>
      </c>
      <c r="R66" t="s">
        <v>290</v>
      </c>
      <c r="S66" t="s">
        <v>5</v>
      </c>
      <c r="T66" t="s">
        <v>291</v>
      </c>
      <c r="U66" t="s">
        <v>271</v>
      </c>
      <c r="V66" t="s">
        <v>292</v>
      </c>
      <c r="W66">
        <v>23</v>
      </c>
      <c r="X66" t="s">
        <v>6</v>
      </c>
      <c r="Z66" t="s">
        <v>5</v>
      </c>
      <c r="AA66" t="s">
        <v>8</v>
      </c>
      <c r="AC66" t="s">
        <v>9</v>
      </c>
      <c r="AD66">
        <v>445</v>
      </c>
    </row>
    <row r="67" spans="1:30" x14ac:dyDescent="0.3">
      <c r="A67">
        <v>12775353</v>
      </c>
      <c r="B67" s="3">
        <v>45667</v>
      </c>
      <c r="C67">
        <v>2025</v>
      </c>
      <c r="D67">
        <v>1</v>
      </c>
      <c r="E67" t="s">
        <v>1579</v>
      </c>
      <c r="F67" t="s">
        <v>0</v>
      </c>
      <c r="G67" t="s">
        <v>220</v>
      </c>
      <c r="H67" t="b">
        <v>0</v>
      </c>
      <c r="I67" t="b">
        <v>0</v>
      </c>
      <c r="J67" t="b">
        <v>0</v>
      </c>
      <c r="K67" t="b">
        <v>1</v>
      </c>
      <c r="L67" t="s">
        <v>1635</v>
      </c>
      <c r="M67" t="s">
        <v>215</v>
      </c>
      <c r="N67" t="s">
        <v>5</v>
      </c>
      <c r="O67" t="b">
        <v>0</v>
      </c>
      <c r="P67">
        <v>17</v>
      </c>
      <c r="Q67" t="s">
        <v>1024</v>
      </c>
      <c r="R67" t="s">
        <v>1025</v>
      </c>
      <c r="S67" t="s">
        <v>5</v>
      </c>
      <c r="T67" t="s">
        <v>80</v>
      </c>
      <c r="U67" t="s">
        <v>447</v>
      </c>
      <c r="V67" t="s">
        <v>1026</v>
      </c>
      <c r="W67">
        <v>32</v>
      </c>
      <c r="X67" t="s">
        <v>6</v>
      </c>
      <c r="Z67" t="s">
        <v>5</v>
      </c>
      <c r="AA67" t="s">
        <v>8</v>
      </c>
      <c r="AC67" t="s">
        <v>9</v>
      </c>
      <c r="AD67">
        <v>442</v>
      </c>
    </row>
    <row r="68" spans="1:30" x14ac:dyDescent="0.3">
      <c r="A68">
        <v>12785185</v>
      </c>
      <c r="B68" s="3">
        <v>45664</v>
      </c>
      <c r="C68">
        <v>2025</v>
      </c>
      <c r="D68">
        <v>1</v>
      </c>
      <c r="E68" t="s">
        <v>1579</v>
      </c>
      <c r="F68" t="s">
        <v>0</v>
      </c>
      <c r="G68" t="s">
        <v>10</v>
      </c>
      <c r="H68" t="b">
        <v>0</v>
      </c>
      <c r="I68" t="b">
        <v>0</v>
      </c>
      <c r="J68" t="b">
        <v>0</v>
      </c>
      <c r="K68" t="b">
        <v>0</v>
      </c>
      <c r="L68" t="s">
        <v>579</v>
      </c>
      <c r="M68" t="s">
        <v>579</v>
      </c>
      <c r="N68" t="s">
        <v>5</v>
      </c>
      <c r="O68" t="b">
        <v>0</v>
      </c>
      <c r="P68">
        <v>1</v>
      </c>
      <c r="Q68" t="s">
        <v>141</v>
      </c>
      <c r="R68" t="s">
        <v>142</v>
      </c>
      <c r="S68">
        <v>48</v>
      </c>
      <c r="T68" t="s">
        <v>143</v>
      </c>
      <c r="U68" t="s">
        <v>144</v>
      </c>
      <c r="V68" t="s">
        <v>5</v>
      </c>
      <c r="W68">
        <v>24</v>
      </c>
      <c r="X68" t="s">
        <v>6</v>
      </c>
      <c r="Y68">
        <v>27</v>
      </c>
      <c r="Z68" t="s">
        <v>61</v>
      </c>
      <c r="AA68" t="s">
        <v>8</v>
      </c>
      <c r="AC68" t="s">
        <v>32</v>
      </c>
      <c r="AD68">
        <v>445</v>
      </c>
    </row>
    <row r="69" spans="1:30" x14ac:dyDescent="0.3">
      <c r="A69">
        <v>12794381</v>
      </c>
      <c r="B69" s="3">
        <v>45681</v>
      </c>
      <c r="C69">
        <v>2025</v>
      </c>
      <c r="D69">
        <v>1</v>
      </c>
      <c r="E69" t="s">
        <v>1579</v>
      </c>
      <c r="F69" t="s">
        <v>125</v>
      </c>
      <c r="G69" t="s">
        <v>10</v>
      </c>
      <c r="H69" t="b">
        <v>0</v>
      </c>
      <c r="I69" t="b">
        <v>0</v>
      </c>
      <c r="J69" t="b">
        <v>0</v>
      </c>
      <c r="K69" t="b">
        <v>0</v>
      </c>
      <c r="L69" t="s">
        <v>1636</v>
      </c>
      <c r="M69" t="s">
        <v>102</v>
      </c>
      <c r="N69" t="s">
        <v>5</v>
      </c>
      <c r="O69" t="b">
        <v>0</v>
      </c>
      <c r="P69">
        <v>3</v>
      </c>
      <c r="Q69" t="s">
        <v>34</v>
      </c>
      <c r="R69" t="s">
        <v>35</v>
      </c>
      <c r="S69">
        <v>48</v>
      </c>
      <c r="T69" t="s">
        <v>36</v>
      </c>
      <c r="U69" t="s">
        <v>37</v>
      </c>
      <c r="V69" t="s">
        <v>38</v>
      </c>
      <c r="W69">
        <v>3</v>
      </c>
      <c r="X69" t="s">
        <v>14</v>
      </c>
      <c r="Z69" t="s">
        <v>5</v>
      </c>
      <c r="AA69" t="s">
        <v>15</v>
      </c>
      <c r="AC69" t="s">
        <v>32</v>
      </c>
      <c r="AD69">
        <v>428</v>
      </c>
    </row>
    <row r="70" spans="1:30" x14ac:dyDescent="0.3">
      <c r="A70">
        <v>12794519</v>
      </c>
      <c r="B70" s="3">
        <v>45688</v>
      </c>
      <c r="C70">
        <v>2025</v>
      </c>
      <c r="D70">
        <v>1</v>
      </c>
      <c r="E70" t="s">
        <v>1579</v>
      </c>
      <c r="F70" t="s">
        <v>125</v>
      </c>
      <c r="G70" t="s">
        <v>10</v>
      </c>
      <c r="H70" t="b">
        <v>0</v>
      </c>
      <c r="I70" t="b">
        <v>0</v>
      </c>
      <c r="J70" t="b">
        <v>0</v>
      </c>
      <c r="K70" t="b">
        <v>0</v>
      </c>
      <c r="L70" t="s">
        <v>1637</v>
      </c>
      <c r="M70" t="s">
        <v>1083</v>
      </c>
      <c r="N70" t="s">
        <v>5</v>
      </c>
      <c r="O70" t="b">
        <v>0</v>
      </c>
      <c r="P70">
        <v>2</v>
      </c>
      <c r="Q70" t="s">
        <v>34</v>
      </c>
      <c r="R70" t="s">
        <v>690</v>
      </c>
      <c r="S70">
        <v>48</v>
      </c>
      <c r="T70" t="s">
        <v>265</v>
      </c>
      <c r="U70" t="s">
        <v>691</v>
      </c>
      <c r="V70" t="s">
        <v>38</v>
      </c>
      <c r="W70">
        <v>4</v>
      </c>
      <c r="X70" t="s">
        <v>40</v>
      </c>
      <c r="Z70" t="s">
        <v>5</v>
      </c>
      <c r="AA70" t="s">
        <v>15</v>
      </c>
      <c r="AC70" t="s">
        <v>32</v>
      </c>
      <c r="AD70">
        <v>421</v>
      </c>
    </row>
    <row r="71" spans="1:30" x14ac:dyDescent="0.3">
      <c r="A71">
        <v>12800446</v>
      </c>
      <c r="B71" s="3">
        <v>45671</v>
      </c>
      <c r="C71">
        <v>2025</v>
      </c>
      <c r="D71">
        <v>1</v>
      </c>
      <c r="E71" t="s">
        <v>1579</v>
      </c>
      <c r="F71" t="s">
        <v>0</v>
      </c>
      <c r="G71" t="s">
        <v>10</v>
      </c>
      <c r="H71" t="b">
        <v>0</v>
      </c>
      <c r="I71" t="b">
        <v>0</v>
      </c>
      <c r="J71" t="b">
        <v>0</v>
      </c>
      <c r="K71" t="b">
        <v>0</v>
      </c>
      <c r="L71" t="s">
        <v>1638</v>
      </c>
      <c r="M71" t="s">
        <v>1328</v>
      </c>
      <c r="N71" t="s">
        <v>63</v>
      </c>
      <c r="O71" t="b">
        <v>0</v>
      </c>
      <c r="P71">
        <v>4</v>
      </c>
      <c r="Q71" t="s">
        <v>141</v>
      </c>
      <c r="R71" t="s">
        <v>142</v>
      </c>
      <c r="S71" t="s">
        <v>5</v>
      </c>
      <c r="T71" t="s">
        <v>143</v>
      </c>
      <c r="U71" t="s">
        <v>144</v>
      </c>
      <c r="V71" t="s">
        <v>5</v>
      </c>
      <c r="W71">
        <v>14</v>
      </c>
      <c r="X71" t="s">
        <v>6</v>
      </c>
      <c r="Z71" t="s">
        <v>5</v>
      </c>
      <c r="AA71" t="s">
        <v>8</v>
      </c>
      <c r="AC71" t="s">
        <v>32</v>
      </c>
      <c r="AD71">
        <v>438</v>
      </c>
    </row>
    <row r="72" spans="1:30" x14ac:dyDescent="0.3">
      <c r="A72">
        <v>12825513</v>
      </c>
      <c r="B72" s="3">
        <v>45665</v>
      </c>
      <c r="C72">
        <v>2025</v>
      </c>
      <c r="D72">
        <v>1</v>
      </c>
      <c r="E72" t="s">
        <v>1579</v>
      </c>
      <c r="F72" t="s">
        <v>0</v>
      </c>
      <c r="G72" t="s">
        <v>1</v>
      </c>
      <c r="H72" t="b">
        <v>0</v>
      </c>
      <c r="I72" t="b">
        <v>1</v>
      </c>
      <c r="J72" t="b">
        <v>0</v>
      </c>
      <c r="K72" t="b">
        <v>0</v>
      </c>
      <c r="L72" t="s">
        <v>1639</v>
      </c>
      <c r="M72" t="s">
        <v>1097</v>
      </c>
      <c r="N72" t="s">
        <v>118</v>
      </c>
      <c r="O72" t="b">
        <v>0</v>
      </c>
      <c r="P72">
        <v>19</v>
      </c>
      <c r="Q72" t="s">
        <v>323</v>
      </c>
      <c r="R72" t="s">
        <v>324</v>
      </c>
      <c r="S72">
        <v>42</v>
      </c>
      <c r="T72" t="s">
        <v>257</v>
      </c>
      <c r="U72" t="s">
        <v>325</v>
      </c>
      <c r="V72" t="s">
        <v>326</v>
      </c>
      <c r="W72">
        <v>8</v>
      </c>
      <c r="X72" t="s">
        <v>6</v>
      </c>
      <c r="Z72" t="s">
        <v>5</v>
      </c>
      <c r="AA72" t="s">
        <v>5</v>
      </c>
      <c r="AC72" t="s">
        <v>154</v>
      </c>
      <c r="AD72">
        <v>444</v>
      </c>
    </row>
    <row r="73" spans="1:30" x14ac:dyDescent="0.3">
      <c r="A73">
        <v>12856938</v>
      </c>
      <c r="B73" s="3">
        <v>45665</v>
      </c>
      <c r="C73">
        <v>2025</v>
      </c>
      <c r="D73">
        <v>1</v>
      </c>
      <c r="E73" t="s">
        <v>1579</v>
      </c>
      <c r="F73" t="s">
        <v>125</v>
      </c>
      <c r="G73" t="s">
        <v>10</v>
      </c>
      <c r="H73" t="b">
        <v>0</v>
      </c>
      <c r="I73" t="b">
        <v>0</v>
      </c>
      <c r="J73" t="b">
        <v>0</v>
      </c>
      <c r="K73" t="b">
        <v>0</v>
      </c>
      <c r="L73" t="s">
        <v>1640</v>
      </c>
      <c r="M73" t="s">
        <v>126</v>
      </c>
      <c r="N73" t="s">
        <v>5</v>
      </c>
      <c r="O73" t="b">
        <v>0</v>
      </c>
      <c r="P73">
        <v>5</v>
      </c>
      <c r="Q73" t="s">
        <v>208</v>
      </c>
      <c r="R73" t="s">
        <v>286</v>
      </c>
      <c r="S73" t="s">
        <v>5</v>
      </c>
      <c r="T73" t="s">
        <v>80</v>
      </c>
      <c r="U73" t="s">
        <v>210</v>
      </c>
      <c r="V73" t="s">
        <v>5</v>
      </c>
      <c r="W73">
        <v>7</v>
      </c>
      <c r="X73" t="s">
        <v>6</v>
      </c>
      <c r="Y73">
        <v>62</v>
      </c>
      <c r="Z73" t="s">
        <v>7</v>
      </c>
      <c r="AA73" t="s">
        <v>15</v>
      </c>
      <c r="AB73">
        <v>74</v>
      </c>
      <c r="AC73" t="s">
        <v>32</v>
      </c>
      <c r="AD73">
        <v>444</v>
      </c>
    </row>
    <row r="74" spans="1:30" x14ac:dyDescent="0.3">
      <c r="A74">
        <v>12905536</v>
      </c>
      <c r="B74" s="3">
        <v>45679</v>
      </c>
      <c r="C74">
        <v>2025</v>
      </c>
      <c r="D74">
        <v>1</v>
      </c>
      <c r="E74" t="s">
        <v>1579</v>
      </c>
      <c r="F74" t="s">
        <v>0</v>
      </c>
      <c r="G74" t="s">
        <v>10</v>
      </c>
      <c r="H74" t="b">
        <v>0</v>
      </c>
      <c r="I74" t="b">
        <v>0</v>
      </c>
      <c r="J74" t="b">
        <v>0</v>
      </c>
      <c r="K74" t="b">
        <v>0</v>
      </c>
      <c r="L74" t="s">
        <v>1641</v>
      </c>
      <c r="M74" t="s">
        <v>1178</v>
      </c>
      <c r="N74" t="s">
        <v>57</v>
      </c>
      <c r="O74" t="b">
        <v>1</v>
      </c>
      <c r="P74">
        <v>3</v>
      </c>
      <c r="Q74" t="s">
        <v>423</v>
      </c>
      <c r="R74" t="s">
        <v>424</v>
      </c>
      <c r="S74">
        <v>50</v>
      </c>
      <c r="T74" t="s">
        <v>150</v>
      </c>
      <c r="U74" t="s">
        <v>177</v>
      </c>
      <c r="V74" t="s">
        <v>292</v>
      </c>
      <c r="W74">
        <v>18</v>
      </c>
      <c r="X74" t="s">
        <v>6</v>
      </c>
      <c r="Z74" t="s">
        <v>5</v>
      </c>
      <c r="AA74" t="s">
        <v>8</v>
      </c>
      <c r="AC74" t="s">
        <v>32</v>
      </c>
      <c r="AD74">
        <v>430</v>
      </c>
    </row>
    <row r="75" spans="1:30" x14ac:dyDescent="0.3">
      <c r="A75">
        <v>12947869</v>
      </c>
      <c r="B75" s="3">
        <v>45686</v>
      </c>
      <c r="C75">
        <v>2025</v>
      </c>
      <c r="D75">
        <v>1</v>
      </c>
      <c r="E75" t="s">
        <v>1579</v>
      </c>
      <c r="F75" t="s">
        <v>0</v>
      </c>
      <c r="G75" t="s">
        <v>1</v>
      </c>
      <c r="H75" t="b">
        <v>0</v>
      </c>
      <c r="I75" t="b">
        <v>1</v>
      </c>
      <c r="J75" t="b">
        <v>0</v>
      </c>
      <c r="K75" t="b">
        <v>0</v>
      </c>
      <c r="L75" t="s">
        <v>1642</v>
      </c>
      <c r="M75" t="s">
        <v>980</v>
      </c>
      <c r="N75" t="s">
        <v>63</v>
      </c>
      <c r="O75" t="b">
        <v>0</v>
      </c>
      <c r="P75">
        <v>7</v>
      </c>
      <c r="Q75" t="s">
        <v>135</v>
      </c>
      <c r="R75" t="s">
        <v>136</v>
      </c>
      <c r="S75">
        <v>58</v>
      </c>
      <c r="T75" t="s">
        <v>62</v>
      </c>
      <c r="U75" t="s">
        <v>81</v>
      </c>
      <c r="V75" t="s">
        <v>137</v>
      </c>
      <c r="W75">
        <v>2</v>
      </c>
      <c r="X75" t="s">
        <v>14</v>
      </c>
      <c r="Y75">
        <v>57</v>
      </c>
      <c r="Z75" t="s">
        <v>7</v>
      </c>
      <c r="AA75" t="s">
        <v>15</v>
      </c>
      <c r="AC75" t="s">
        <v>9</v>
      </c>
      <c r="AD75">
        <v>423</v>
      </c>
    </row>
    <row r="76" spans="1:30" x14ac:dyDescent="0.3">
      <c r="A76">
        <v>12970249</v>
      </c>
      <c r="B76" s="3">
        <v>45684</v>
      </c>
      <c r="C76">
        <v>2025</v>
      </c>
      <c r="D76">
        <v>1</v>
      </c>
      <c r="E76" t="s">
        <v>1579</v>
      </c>
      <c r="F76" t="s">
        <v>0</v>
      </c>
      <c r="G76" t="s">
        <v>1</v>
      </c>
      <c r="H76" t="b">
        <v>0</v>
      </c>
      <c r="I76" t="b">
        <v>1</v>
      </c>
      <c r="J76" t="b">
        <v>0</v>
      </c>
      <c r="K76" t="b">
        <v>0</v>
      </c>
      <c r="L76" t="s">
        <v>1643</v>
      </c>
      <c r="M76" t="s">
        <v>138</v>
      </c>
      <c r="N76" t="s">
        <v>70</v>
      </c>
      <c r="O76" t="b">
        <v>0</v>
      </c>
      <c r="P76">
        <v>16</v>
      </c>
      <c r="Q76" t="s">
        <v>141</v>
      </c>
      <c r="R76" t="s">
        <v>142</v>
      </c>
      <c r="S76">
        <v>48</v>
      </c>
      <c r="T76" t="s">
        <v>143</v>
      </c>
      <c r="U76" t="s">
        <v>144</v>
      </c>
      <c r="V76" t="s">
        <v>5</v>
      </c>
      <c r="W76">
        <v>38</v>
      </c>
      <c r="X76" t="s">
        <v>6</v>
      </c>
      <c r="Y76">
        <v>35</v>
      </c>
      <c r="Z76" t="s">
        <v>61</v>
      </c>
      <c r="AA76" t="s">
        <v>8</v>
      </c>
      <c r="AC76" t="s">
        <v>32</v>
      </c>
      <c r="AD76">
        <v>425</v>
      </c>
    </row>
    <row r="77" spans="1:30" x14ac:dyDescent="0.3">
      <c r="A77">
        <v>12977814</v>
      </c>
      <c r="B77" s="3">
        <v>45667</v>
      </c>
      <c r="C77">
        <v>2025</v>
      </c>
      <c r="D77">
        <v>1</v>
      </c>
      <c r="E77" t="s">
        <v>1579</v>
      </c>
      <c r="F77" t="s">
        <v>0</v>
      </c>
      <c r="G77" t="s">
        <v>16</v>
      </c>
      <c r="H77" t="b">
        <v>0</v>
      </c>
      <c r="I77" t="b">
        <v>1</v>
      </c>
      <c r="J77" t="b">
        <v>1</v>
      </c>
      <c r="K77" t="b">
        <v>0</v>
      </c>
      <c r="L77" t="s">
        <v>1644</v>
      </c>
      <c r="M77" t="s">
        <v>896</v>
      </c>
      <c r="N77" t="s">
        <v>57</v>
      </c>
      <c r="O77" t="b">
        <v>1</v>
      </c>
      <c r="P77">
        <v>21</v>
      </c>
      <c r="Q77" t="s">
        <v>475</v>
      </c>
      <c r="R77" t="s">
        <v>476</v>
      </c>
      <c r="S77">
        <v>48</v>
      </c>
      <c r="T77" t="s">
        <v>213</v>
      </c>
      <c r="U77" t="s">
        <v>4</v>
      </c>
      <c r="V77" t="s">
        <v>5</v>
      </c>
      <c r="W77">
        <v>17</v>
      </c>
      <c r="X77" t="s">
        <v>6</v>
      </c>
      <c r="Y77">
        <v>13</v>
      </c>
      <c r="Z77" t="s">
        <v>19</v>
      </c>
      <c r="AA77" t="s">
        <v>15</v>
      </c>
      <c r="AB77">
        <v>69</v>
      </c>
      <c r="AC77" t="s">
        <v>116</v>
      </c>
      <c r="AD77">
        <v>442</v>
      </c>
    </row>
    <row r="78" spans="1:30" x14ac:dyDescent="0.3">
      <c r="A78">
        <v>13003676</v>
      </c>
      <c r="B78" s="3">
        <v>45688</v>
      </c>
      <c r="C78">
        <v>2025</v>
      </c>
      <c r="D78">
        <v>1</v>
      </c>
      <c r="E78" t="s">
        <v>1579</v>
      </c>
      <c r="F78" t="s">
        <v>0</v>
      </c>
      <c r="G78" t="s">
        <v>10</v>
      </c>
      <c r="H78" t="b">
        <v>0</v>
      </c>
      <c r="I78" t="b">
        <v>0</v>
      </c>
      <c r="J78" t="b">
        <v>0</v>
      </c>
      <c r="K78" t="b">
        <v>0</v>
      </c>
      <c r="L78" t="s">
        <v>1645</v>
      </c>
      <c r="M78" t="s">
        <v>1267</v>
      </c>
      <c r="N78" t="s">
        <v>57</v>
      </c>
      <c r="O78" t="b">
        <v>1</v>
      </c>
      <c r="P78">
        <v>8</v>
      </c>
      <c r="Q78" t="s">
        <v>162</v>
      </c>
      <c r="R78" t="s">
        <v>163</v>
      </c>
      <c r="S78">
        <v>48</v>
      </c>
      <c r="T78" t="s">
        <v>87</v>
      </c>
      <c r="U78" t="s">
        <v>88</v>
      </c>
      <c r="V78" t="s">
        <v>89</v>
      </c>
      <c r="W78">
        <v>24</v>
      </c>
      <c r="X78" t="s">
        <v>6</v>
      </c>
      <c r="Y78">
        <v>63</v>
      </c>
      <c r="Z78" t="s">
        <v>7</v>
      </c>
      <c r="AA78" t="s">
        <v>8</v>
      </c>
      <c r="AB78">
        <v>73.8</v>
      </c>
      <c r="AC78" t="s">
        <v>32</v>
      </c>
      <c r="AD78">
        <v>421</v>
      </c>
    </row>
    <row r="79" spans="1:30" x14ac:dyDescent="0.3">
      <c r="A79">
        <v>13042481</v>
      </c>
      <c r="B79" s="3">
        <v>45664</v>
      </c>
      <c r="C79">
        <v>2025</v>
      </c>
      <c r="D79">
        <v>1</v>
      </c>
      <c r="E79" t="s">
        <v>1579</v>
      </c>
      <c r="F79" t="s">
        <v>0</v>
      </c>
      <c r="G79" t="s">
        <v>1</v>
      </c>
      <c r="H79" t="b">
        <v>0</v>
      </c>
      <c r="I79" t="b">
        <v>1</v>
      </c>
      <c r="J79" t="b">
        <v>0</v>
      </c>
      <c r="K79" t="b">
        <v>0</v>
      </c>
      <c r="L79" t="s">
        <v>551</v>
      </c>
      <c r="M79" t="s">
        <v>551</v>
      </c>
      <c r="N79" t="s">
        <v>12</v>
      </c>
      <c r="O79" t="b">
        <v>1</v>
      </c>
      <c r="P79">
        <v>1</v>
      </c>
      <c r="Q79" t="s">
        <v>181</v>
      </c>
      <c r="R79" t="s">
        <v>182</v>
      </c>
      <c r="S79">
        <v>58</v>
      </c>
      <c r="T79" t="s">
        <v>291</v>
      </c>
      <c r="U79" t="s">
        <v>184</v>
      </c>
      <c r="V79" t="s">
        <v>5</v>
      </c>
      <c r="W79">
        <v>5</v>
      </c>
      <c r="X79" t="s">
        <v>40</v>
      </c>
      <c r="Y79">
        <v>17</v>
      </c>
      <c r="Z79" t="s">
        <v>19</v>
      </c>
      <c r="AA79" t="s">
        <v>8</v>
      </c>
      <c r="AB79">
        <v>56</v>
      </c>
      <c r="AC79" t="s">
        <v>32</v>
      </c>
      <c r="AD79">
        <v>445</v>
      </c>
    </row>
    <row r="80" spans="1:30" x14ac:dyDescent="0.3">
      <c r="A80">
        <v>13052897</v>
      </c>
      <c r="B80" s="3">
        <v>45667</v>
      </c>
      <c r="C80">
        <v>2025</v>
      </c>
      <c r="D80">
        <v>1</v>
      </c>
      <c r="E80" t="s">
        <v>1579</v>
      </c>
      <c r="F80" t="s">
        <v>0</v>
      </c>
      <c r="G80" t="s">
        <v>10</v>
      </c>
      <c r="H80" t="b">
        <v>0</v>
      </c>
      <c r="I80" t="b">
        <v>0</v>
      </c>
      <c r="J80" t="b">
        <v>0</v>
      </c>
      <c r="K80" t="b">
        <v>0</v>
      </c>
      <c r="L80" t="s">
        <v>1646</v>
      </c>
      <c r="M80" t="s">
        <v>165</v>
      </c>
      <c r="N80" t="s">
        <v>17</v>
      </c>
      <c r="O80" t="b">
        <v>0</v>
      </c>
      <c r="P80">
        <v>30</v>
      </c>
      <c r="Q80" t="s">
        <v>1312</v>
      </c>
      <c r="R80" t="s">
        <v>5</v>
      </c>
      <c r="S80">
        <v>58</v>
      </c>
      <c r="T80" t="s">
        <v>80</v>
      </c>
      <c r="U80" t="s">
        <v>5</v>
      </c>
      <c r="V80" t="s">
        <v>5</v>
      </c>
      <c r="W80">
        <v>30</v>
      </c>
      <c r="X80" t="s">
        <v>6</v>
      </c>
      <c r="Y80">
        <v>56</v>
      </c>
      <c r="Z80" t="s">
        <v>7</v>
      </c>
      <c r="AA80" t="s">
        <v>8</v>
      </c>
      <c r="AC80" t="s">
        <v>9</v>
      </c>
      <c r="AD80">
        <v>442</v>
      </c>
    </row>
    <row r="81" spans="1:30" x14ac:dyDescent="0.3">
      <c r="A81">
        <v>13116045</v>
      </c>
      <c r="B81" s="3">
        <v>45670</v>
      </c>
      <c r="C81">
        <v>2025</v>
      </c>
      <c r="D81">
        <v>1</v>
      </c>
      <c r="E81" t="s">
        <v>1579</v>
      </c>
      <c r="F81" t="s">
        <v>125</v>
      </c>
      <c r="G81" t="s">
        <v>10</v>
      </c>
      <c r="H81" t="b">
        <v>0</v>
      </c>
      <c r="I81" t="b">
        <v>0</v>
      </c>
      <c r="J81" t="b">
        <v>0</v>
      </c>
      <c r="K81" t="b">
        <v>0</v>
      </c>
      <c r="L81" t="s">
        <v>1647</v>
      </c>
      <c r="M81" t="s">
        <v>666</v>
      </c>
      <c r="N81" t="s">
        <v>63</v>
      </c>
      <c r="O81" t="b">
        <v>0</v>
      </c>
      <c r="P81">
        <v>4</v>
      </c>
      <c r="Q81" t="s">
        <v>175</v>
      </c>
      <c r="R81" t="s">
        <v>176</v>
      </c>
      <c r="S81">
        <v>50</v>
      </c>
      <c r="T81" t="s">
        <v>150</v>
      </c>
      <c r="U81" t="s">
        <v>177</v>
      </c>
      <c r="V81" t="s">
        <v>178</v>
      </c>
      <c r="W81">
        <v>4</v>
      </c>
      <c r="X81" t="s">
        <v>40</v>
      </c>
      <c r="Y81">
        <v>60</v>
      </c>
      <c r="Z81" t="s">
        <v>7</v>
      </c>
      <c r="AA81" t="s">
        <v>8</v>
      </c>
      <c r="AC81" t="s">
        <v>32</v>
      </c>
      <c r="AD81">
        <v>439</v>
      </c>
    </row>
    <row r="82" spans="1:30" x14ac:dyDescent="0.3">
      <c r="A82">
        <v>13120063</v>
      </c>
      <c r="B82" s="3">
        <v>45680</v>
      </c>
      <c r="C82">
        <v>2025</v>
      </c>
      <c r="D82">
        <v>1</v>
      </c>
      <c r="E82" t="s">
        <v>1579</v>
      </c>
      <c r="F82" t="s">
        <v>0</v>
      </c>
      <c r="G82" t="s">
        <v>1006</v>
      </c>
      <c r="H82" t="b">
        <v>1</v>
      </c>
      <c r="I82" t="b">
        <v>0</v>
      </c>
      <c r="J82" t="b">
        <v>1</v>
      </c>
      <c r="K82" t="b">
        <v>0</v>
      </c>
      <c r="L82" t="s">
        <v>1648</v>
      </c>
      <c r="M82" t="s">
        <v>255</v>
      </c>
      <c r="N82" t="s">
        <v>63</v>
      </c>
      <c r="O82" t="b">
        <v>0</v>
      </c>
      <c r="P82">
        <v>4</v>
      </c>
      <c r="Q82" t="s">
        <v>638</v>
      </c>
      <c r="R82" t="s">
        <v>639</v>
      </c>
      <c r="S82">
        <v>65</v>
      </c>
      <c r="T82" t="s">
        <v>252</v>
      </c>
      <c r="U82" t="s">
        <v>640</v>
      </c>
      <c r="V82" t="s">
        <v>641</v>
      </c>
      <c r="W82">
        <v>7</v>
      </c>
      <c r="X82" t="s">
        <v>6</v>
      </c>
      <c r="Z82" t="s">
        <v>5</v>
      </c>
      <c r="AA82" t="s">
        <v>15</v>
      </c>
      <c r="AC82" t="s">
        <v>558</v>
      </c>
      <c r="AD82">
        <v>429</v>
      </c>
    </row>
    <row r="83" spans="1:30" x14ac:dyDescent="0.3">
      <c r="A83">
        <v>13149197</v>
      </c>
      <c r="B83" s="3">
        <v>45659</v>
      </c>
      <c r="C83">
        <v>2025</v>
      </c>
      <c r="D83">
        <v>1</v>
      </c>
      <c r="E83" t="s">
        <v>1579</v>
      </c>
      <c r="F83" t="s">
        <v>0</v>
      </c>
      <c r="G83" t="s">
        <v>1006</v>
      </c>
      <c r="H83" t="b">
        <v>1</v>
      </c>
      <c r="I83" t="b">
        <v>0</v>
      </c>
      <c r="J83" t="b">
        <v>1</v>
      </c>
      <c r="K83" t="b">
        <v>0</v>
      </c>
      <c r="L83" t="s">
        <v>1649</v>
      </c>
      <c r="M83" t="s">
        <v>255</v>
      </c>
      <c r="N83" t="s">
        <v>118</v>
      </c>
      <c r="O83" t="b">
        <v>0</v>
      </c>
      <c r="P83">
        <v>11</v>
      </c>
      <c r="Q83" t="s">
        <v>250</v>
      </c>
      <c r="R83" t="s">
        <v>251</v>
      </c>
      <c r="S83">
        <v>65</v>
      </c>
      <c r="T83" t="s">
        <v>252</v>
      </c>
      <c r="U83" t="s">
        <v>253</v>
      </c>
      <c r="V83" t="s">
        <v>5</v>
      </c>
      <c r="W83">
        <v>7</v>
      </c>
      <c r="X83" t="s">
        <v>6</v>
      </c>
      <c r="Z83" t="s">
        <v>5</v>
      </c>
      <c r="AA83" t="s">
        <v>15</v>
      </c>
      <c r="AC83" t="s">
        <v>558</v>
      </c>
      <c r="AD83">
        <v>450</v>
      </c>
    </row>
    <row r="84" spans="1:30" x14ac:dyDescent="0.3">
      <c r="A84">
        <v>13225778</v>
      </c>
      <c r="B84" s="3">
        <v>45672</v>
      </c>
      <c r="C84">
        <v>2025</v>
      </c>
      <c r="D84">
        <v>1</v>
      </c>
      <c r="E84" t="s">
        <v>1579</v>
      </c>
      <c r="F84" t="s">
        <v>0</v>
      </c>
      <c r="G84" t="s">
        <v>10</v>
      </c>
      <c r="H84" t="b">
        <v>0</v>
      </c>
      <c r="I84" t="b">
        <v>0</v>
      </c>
      <c r="J84" t="b">
        <v>0</v>
      </c>
      <c r="K84" t="b">
        <v>0</v>
      </c>
      <c r="L84" t="s">
        <v>838</v>
      </c>
      <c r="M84" t="s">
        <v>838</v>
      </c>
      <c r="N84" t="s">
        <v>12</v>
      </c>
      <c r="O84" t="b">
        <v>1</v>
      </c>
      <c r="P84">
        <v>1</v>
      </c>
      <c r="Q84" t="s">
        <v>418</v>
      </c>
      <c r="R84" t="s">
        <v>419</v>
      </c>
      <c r="S84">
        <v>50</v>
      </c>
      <c r="T84" t="s">
        <v>150</v>
      </c>
      <c r="U84" t="s">
        <v>177</v>
      </c>
      <c r="V84" t="s">
        <v>5</v>
      </c>
      <c r="W84">
        <v>4</v>
      </c>
      <c r="X84" t="s">
        <v>40</v>
      </c>
      <c r="Y84">
        <v>57</v>
      </c>
      <c r="Z84" t="s">
        <v>7</v>
      </c>
      <c r="AA84" t="s">
        <v>8</v>
      </c>
      <c r="AC84" t="s">
        <v>32</v>
      </c>
      <c r="AD84">
        <v>437</v>
      </c>
    </row>
    <row r="85" spans="1:30" x14ac:dyDescent="0.3">
      <c r="A85">
        <v>13229365</v>
      </c>
      <c r="B85" s="3">
        <v>45672</v>
      </c>
      <c r="C85">
        <v>2025</v>
      </c>
      <c r="D85">
        <v>1</v>
      </c>
      <c r="E85" t="s">
        <v>1579</v>
      </c>
      <c r="F85" t="s">
        <v>0</v>
      </c>
      <c r="G85" t="s">
        <v>10</v>
      </c>
      <c r="H85" t="b">
        <v>0</v>
      </c>
      <c r="I85" t="b">
        <v>0</v>
      </c>
      <c r="J85" t="b">
        <v>0</v>
      </c>
      <c r="K85" t="b">
        <v>0</v>
      </c>
      <c r="L85" t="s">
        <v>1650</v>
      </c>
      <c r="M85" t="s">
        <v>838</v>
      </c>
      <c r="N85" t="s">
        <v>174</v>
      </c>
      <c r="O85" t="b">
        <v>0</v>
      </c>
      <c r="P85">
        <v>2</v>
      </c>
      <c r="Q85" t="s">
        <v>423</v>
      </c>
      <c r="R85" t="s">
        <v>424</v>
      </c>
      <c r="S85">
        <v>50</v>
      </c>
      <c r="T85" t="s">
        <v>150</v>
      </c>
      <c r="U85" t="s">
        <v>177</v>
      </c>
      <c r="V85" t="s">
        <v>292</v>
      </c>
      <c r="W85">
        <v>2</v>
      </c>
      <c r="X85" t="s">
        <v>14</v>
      </c>
      <c r="Z85" t="s">
        <v>5</v>
      </c>
      <c r="AA85" t="s">
        <v>8</v>
      </c>
      <c r="AC85" t="s">
        <v>32</v>
      </c>
      <c r="AD85">
        <v>437</v>
      </c>
    </row>
    <row r="86" spans="1:30" x14ac:dyDescent="0.3">
      <c r="A86">
        <v>13266498</v>
      </c>
      <c r="B86" s="3">
        <v>45670</v>
      </c>
      <c r="C86">
        <v>2025</v>
      </c>
      <c r="D86">
        <v>1</v>
      </c>
      <c r="E86" t="s">
        <v>1579</v>
      </c>
      <c r="F86" t="s">
        <v>0</v>
      </c>
      <c r="G86" t="s">
        <v>151</v>
      </c>
      <c r="H86" t="b">
        <v>0</v>
      </c>
      <c r="I86" t="b">
        <v>1</v>
      </c>
      <c r="J86" t="b">
        <v>0</v>
      </c>
      <c r="K86" t="b">
        <v>1</v>
      </c>
      <c r="L86" t="s">
        <v>1651</v>
      </c>
      <c r="M86" t="s">
        <v>417</v>
      </c>
      <c r="N86" t="s">
        <v>63</v>
      </c>
      <c r="O86" t="b">
        <v>0</v>
      </c>
      <c r="P86">
        <v>20</v>
      </c>
      <c r="Q86" t="s">
        <v>1123</v>
      </c>
      <c r="R86" t="s">
        <v>1124</v>
      </c>
      <c r="S86">
        <v>65</v>
      </c>
      <c r="T86" t="s">
        <v>80</v>
      </c>
      <c r="U86" t="s">
        <v>1125</v>
      </c>
      <c r="V86" t="s">
        <v>1105</v>
      </c>
      <c r="W86">
        <v>65</v>
      </c>
      <c r="X86" t="s">
        <v>6</v>
      </c>
      <c r="Y86">
        <v>60</v>
      </c>
      <c r="Z86" t="s">
        <v>7</v>
      </c>
      <c r="AA86" t="s">
        <v>8</v>
      </c>
      <c r="AB86">
        <v>97</v>
      </c>
      <c r="AC86" t="s">
        <v>56</v>
      </c>
      <c r="AD86">
        <v>439</v>
      </c>
    </row>
    <row r="87" spans="1:30" x14ac:dyDescent="0.3">
      <c r="A87">
        <v>13301281</v>
      </c>
      <c r="B87" s="3">
        <v>45686</v>
      </c>
      <c r="C87">
        <v>2025</v>
      </c>
      <c r="D87">
        <v>1</v>
      </c>
      <c r="E87" t="s">
        <v>1579</v>
      </c>
      <c r="F87" t="s">
        <v>125</v>
      </c>
      <c r="G87" t="s">
        <v>10</v>
      </c>
      <c r="H87" t="b">
        <v>0</v>
      </c>
      <c r="I87" t="b">
        <v>0</v>
      </c>
      <c r="J87" t="b">
        <v>0</v>
      </c>
      <c r="K87" t="b">
        <v>0</v>
      </c>
      <c r="L87" t="s">
        <v>1550</v>
      </c>
      <c r="M87" t="s">
        <v>717</v>
      </c>
      <c r="N87" t="s">
        <v>57</v>
      </c>
      <c r="O87" t="b">
        <v>1</v>
      </c>
      <c r="P87">
        <v>2</v>
      </c>
      <c r="Q87" t="s">
        <v>333</v>
      </c>
      <c r="R87" t="s">
        <v>334</v>
      </c>
      <c r="S87">
        <v>48</v>
      </c>
      <c r="T87" t="s">
        <v>188</v>
      </c>
      <c r="U87" t="s">
        <v>210</v>
      </c>
      <c r="V87" t="s">
        <v>5</v>
      </c>
      <c r="W87">
        <v>7</v>
      </c>
      <c r="X87" t="s">
        <v>6</v>
      </c>
      <c r="Y87">
        <v>78</v>
      </c>
      <c r="Z87" t="s">
        <v>67</v>
      </c>
      <c r="AA87" t="s">
        <v>8</v>
      </c>
      <c r="AB87">
        <v>75</v>
      </c>
      <c r="AC87" t="s">
        <v>32</v>
      </c>
      <c r="AD87">
        <v>423</v>
      </c>
    </row>
    <row r="88" spans="1:30" x14ac:dyDescent="0.3">
      <c r="A88">
        <v>13365526</v>
      </c>
      <c r="B88" s="3">
        <v>45663</v>
      </c>
      <c r="C88">
        <v>2025</v>
      </c>
      <c r="D88">
        <v>1</v>
      </c>
      <c r="E88" t="s">
        <v>1579</v>
      </c>
      <c r="F88" t="s">
        <v>0</v>
      </c>
      <c r="G88" t="s">
        <v>50</v>
      </c>
      <c r="H88" t="b">
        <v>1</v>
      </c>
      <c r="I88" t="b">
        <v>0</v>
      </c>
      <c r="J88" t="b">
        <v>0</v>
      </c>
      <c r="K88" t="b">
        <v>0</v>
      </c>
      <c r="L88" t="s">
        <v>1565</v>
      </c>
      <c r="M88" t="s">
        <v>1565</v>
      </c>
      <c r="N88" t="s">
        <v>5</v>
      </c>
      <c r="O88" t="b">
        <v>0</v>
      </c>
      <c r="P88">
        <v>1</v>
      </c>
      <c r="Q88" t="s">
        <v>1652</v>
      </c>
      <c r="R88" t="s">
        <v>1653</v>
      </c>
      <c r="S88">
        <v>65</v>
      </c>
      <c r="T88" t="s">
        <v>1654</v>
      </c>
      <c r="U88" t="s">
        <v>1655</v>
      </c>
      <c r="V88" t="s">
        <v>1368</v>
      </c>
      <c r="W88">
        <v>1</v>
      </c>
      <c r="X88" t="s">
        <v>31</v>
      </c>
      <c r="Z88" t="s">
        <v>5</v>
      </c>
      <c r="AA88" t="s">
        <v>15</v>
      </c>
      <c r="AC88" t="s">
        <v>32</v>
      </c>
      <c r="AD88">
        <v>446</v>
      </c>
    </row>
    <row r="89" spans="1:30" x14ac:dyDescent="0.3">
      <c r="A89">
        <v>13376730</v>
      </c>
      <c r="B89" s="3">
        <v>45663</v>
      </c>
      <c r="C89">
        <v>2025</v>
      </c>
      <c r="D89">
        <v>1</v>
      </c>
      <c r="E89" t="s">
        <v>1579</v>
      </c>
      <c r="F89" t="s">
        <v>0</v>
      </c>
      <c r="G89" t="s">
        <v>10</v>
      </c>
      <c r="H89" t="b">
        <v>0</v>
      </c>
      <c r="I89" t="b">
        <v>0</v>
      </c>
      <c r="J89" t="b">
        <v>0</v>
      </c>
      <c r="K89" t="b">
        <v>0</v>
      </c>
      <c r="L89" t="s">
        <v>838</v>
      </c>
      <c r="M89" t="s">
        <v>838</v>
      </c>
      <c r="N89" t="s">
        <v>12</v>
      </c>
      <c r="O89" t="b">
        <v>1</v>
      </c>
      <c r="P89">
        <v>1</v>
      </c>
      <c r="Q89" t="s">
        <v>1656</v>
      </c>
      <c r="R89" t="s">
        <v>1657</v>
      </c>
      <c r="S89">
        <v>65</v>
      </c>
      <c r="T89" t="s">
        <v>1654</v>
      </c>
      <c r="U89" t="s">
        <v>1519</v>
      </c>
      <c r="V89" t="s">
        <v>1049</v>
      </c>
      <c r="W89">
        <v>1</v>
      </c>
      <c r="X89" t="s">
        <v>31</v>
      </c>
      <c r="Z89" t="s">
        <v>5</v>
      </c>
      <c r="AA89" t="s">
        <v>8</v>
      </c>
      <c r="AC89" t="s">
        <v>32</v>
      </c>
      <c r="AD89">
        <v>446</v>
      </c>
    </row>
    <row r="90" spans="1:30" x14ac:dyDescent="0.3">
      <c r="A90">
        <v>13384174</v>
      </c>
      <c r="B90" s="3">
        <v>45679</v>
      </c>
      <c r="C90">
        <v>2025</v>
      </c>
      <c r="D90">
        <v>1</v>
      </c>
      <c r="E90" t="s">
        <v>1579</v>
      </c>
      <c r="F90" t="s">
        <v>125</v>
      </c>
      <c r="G90" t="s">
        <v>10</v>
      </c>
      <c r="H90" t="b">
        <v>0</v>
      </c>
      <c r="I90" t="b">
        <v>0</v>
      </c>
      <c r="J90" t="b">
        <v>0</v>
      </c>
      <c r="K90" t="b">
        <v>0</v>
      </c>
      <c r="L90" t="s">
        <v>1658</v>
      </c>
      <c r="M90" t="s">
        <v>274</v>
      </c>
      <c r="N90" t="s">
        <v>63</v>
      </c>
      <c r="O90" t="b">
        <v>0</v>
      </c>
      <c r="P90">
        <v>4</v>
      </c>
      <c r="Q90" t="s">
        <v>542</v>
      </c>
      <c r="R90" t="s">
        <v>5</v>
      </c>
      <c r="S90" t="s">
        <v>5</v>
      </c>
      <c r="T90" t="s">
        <v>131</v>
      </c>
      <c r="U90" t="s">
        <v>5</v>
      </c>
      <c r="V90" t="s">
        <v>5</v>
      </c>
      <c r="W90">
        <v>5</v>
      </c>
      <c r="X90" t="s">
        <v>40</v>
      </c>
      <c r="Y90">
        <v>41</v>
      </c>
      <c r="Z90" t="s">
        <v>7</v>
      </c>
      <c r="AA90" t="s">
        <v>8</v>
      </c>
      <c r="AC90" t="s">
        <v>32</v>
      </c>
      <c r="AD90">
        <v>430</v>
      </c>
    </row>
    <row r="91" spans="1:30" x14ac:dyDescent="0.3">
      <c r="A91">
        <v>13398168</v>
      </c>
      <c r="B91" s="3">
        <v>45680</v>
      </c>
      <c r="C91">
        <v>2025</v>
      </c>
      <c r="D91">
        <v>1</v>
      </c>
      <c r="E91" t="s">
        <v>1579</v>
      </c>
      <c r="F91" t="s">
        <v>0</v>
      </c>
      <c r="G91" t="s">
        <v>1</v>
      </c>
      <c r="H91" t="b">
        <v>0</v>
      </c>
      <c r="I91" t="b">
        <v>1</v>
      </c>
      <c r="J91" t="b">
        <v>0</v>
      </c>
      <c r="K91" t="b">
        <v>0</v>
      </c>
      <c r="L91" t="s">
        <v>1378</v>
      </c>
      <c r="M91" t="s">
        <v>1378</v>
      </c>
      <c r="N91" t="s">
        <v>5</v>
      </c>
      <c r="O91" t="b">
        <v>0</v>
      </c>
      <c r="P91">
        <v>1</v>
      </c>
      <c r="Q91" t="s">
        <v>1067</v>
      </c>
      <c r="R91" t="s">
        <v>1067</v>
      </c>
      <c r="S91" t="s">
        <v>5</v>
      </c>
      <c r="T91" t="s">
        <v>840</v>
      </c>
      <c r="U91" t="s">
        <v>1068</v>
      </c>
      <c r="V91" t="s">
        <v>489</v>
      </c>
      <c r="W91">
        <v>4</v>
      </c>
      <c r="X91" t="s">
        <v>40</v>
      </c>
      <c r="Z91" t="s">
        <v>5</v>
      </c>
      <c r="AA91" t="s">
        <v>5</v>
      </c>
      <c r="AC91" t="s">
        <v>716</v>
      </c>
      <c r="AD91">
        <v>429</v>
      </c>
    </row>
    <row r="92" spans="1:30" x14ac:dyDescent="0.3">
      <c r="A92">
        <v>13408924</v>
      </c>
      <c r="B92" s="3">
        <v>45680</v>
      </c>
      <c r="C92">
        <v>2025</v>
      </c>
      <c r="D92">
        <v>1</v>
      </c>
      <c r="E92" t="s">
        <v>1579</v>
      </c>
      <c r="F92" t="s">
        <v>125</v>
      </c>
      <c r="G92" t="s">
        <v>10</v>
      </c>
      <c r="H92" t="b">
        <v>0</v>
      </c>
      <c r="I92" t="b">
        <v>0</v>
      </c>
      <c r="J92" t="b">
        <v>0</v>
      </c>
      <c r="K92" t="b">
        <v>0</v>
      </c>
      <c r="L92" t="s">
        <v>759</v>
      </c>
      <c r="M92" t="s">
        <v>139</v>
      </c>
      <c r="N92" t="s">
        <v>5</v>
      </c>
      <c r="O92" t="b">
        <v>0</v>
      </c>
      <c r="P92">
        <v>4</v>
      </c>
      <c r="Q92" t="s">
        <v>34</v>
      </c>
      <c r="R92" t="s">
        <v>35</v>
      </c>
      <c r="S92">
        <v>48</v>
      </c>
      <c r="T92" t="s">
        <v>83</v>
      </c>
      <c r="U92" t="s">
        <v>37</v>
      </c>
      <c r="V92" t="s">
        <v>38</v>
      </c>
      <c r="W92">
        <v>2</v>
      </c>
      <c r="X92" t="s">
        <v>14</v>
      </c>
      <c r="Z92" t="s">
        <v>5</v>
      </c>
      <c r="AA92" t="s">
        <v>15</v>
      </c>
      <c r="AC92" t="s">
        <v>32</v>
      </c>
      <c r="AD92">
        <v>429</v>
      </c>
    </row>
    <row r="93" spans="1:30" x14ac:dyDescent="0.3">
      <c r="A93">
        <v>13410539</v>
      </c>
      <c r="B93" s="3">
        <v>45667</v>
      </c>
      <c r="C93">
        <v>2025</v>
      </c>
      <c r="D93">
        <v>1</v>
      </c>
      <c r="E93" t="s">
        <v>1579</v>
      </c>
      <c r="F93" t="s">
        <v>125</v>
      </c>
      <c r="G93" t="s">
        <v>10</v>
      </c>
      <c r="H93" t="b">
        <v>0</v>
      </c>
      <c r="I93" t="b">
        <v>0</v>
      </c>
      <c r="J93" t="b">
        <v>0</v>
      </c>
      <c r="K93" t="b">
        <v>0</v>
      </c>
      <c r="L93" t="s">
        <v>1210</v>
      </c>
      <c r="M93" t="s">
        <v>102</v>
      </c>
      <c r="N93" t="s">
        <v>5</v>
      </c>
      <c r="O93" t="b">
        <v>0</v>
      </c>
      <c r="P93">
        <v>4</v>
      </c>
      <c r="Q93" t="s">
        <v>34</v>
      </c>
      <c r="R93" t="s">
        <v>690</v>
      </c>
      <c r="S93">
        <v>48</v>
      </c>
      <c r="T93" t="s">
        <v>167</v>
      </c>
      <c r="U93" t="s">
        <v>691</v>
      </c>
      <c r="V93" t="s">
        <v>38</v>
      </c>
      <c r="W93">
        <v>6</v>
      </c>
      <c r="X93" t="s">
        <v>6</v>
      </c>
      <c r="Y93">
        <v>11</v>
      </c>
      <c r="Z93" t="s">
        <v>46</v>
      </c>
      <c r="AA93" t="s">
        <v>15</v>
      </c>
      <c r="AC93" t="s">
        <v>32</v>
      </c>
      <c r="AD93">
        <v>442</v>
      </c>
    </row>
    <row r="94" spans="1:30" x14ac:dyDescent="0.3">
      <c r="A94">
        <v>13410648</v>
      </c>
      <c r="B94" s="3">
        <v>45679</v>
      </c>
      <c r="C94">
        <v>2025</v>
      </c>
      <c r="D94">
        <v>1</v>
      </c>
      <c r="E94" t="s">
        <v>1579</v>
      </c>
      <c r="F94" t="s">
        <v>125</v>
      </c>
      <c r="G94" t="s">
        <v>10</v>
      </c>
      <c r="H94" t="b">
        <v>0</v>
      </c>
      <c r="I94" t="b">
        <v>0</v>
      </c>
      <c r="J94" t="b">
        <v>0</v>
      </c>
      <c r="K94" t="b">
        <v>0</v>
      </c>
      <c r="L94" t="s">
        <v>1210</v>
      </c>
      <c r="M94" t="s">
        <v>102</v>
      </c>
      <c r="N94" t="s">
        <v>5</v>
      </c>
      <c r="O94" t="b">
        <v>0</v>
      </c>
      <c r="P94">
        <v>4</v>
      </c>
      <c r="Q94" t="s">
        <v>34</v>
      </c>
      <c r="R94" t="s">
        <v>35</v>
      </c>
      <c r="S94">
        <v>48</v>
      </c>
      <c r="T94" t="s">
        <v>36</v>
      </c>
      <c r="U94" t="s">
        <v>37</v>
      </c>
      <c r="V94" t="s">
        <v>38</v>
      </c>
      <c r="W94">
        <v>7</v>
      </c>
      <c r="X94" t="s">
        <v>6</v>
      </c>
      <c r="Y94">
        <v>6</v>
      </c>
      <c r="Z94" t="s">
        <v>46</v>
      </c>
      <c r="AA94" t="s">
        <v>15</v>
      </c>
      <c r="AC94" t="s">
        <v>32</v>
      </c>
      <c r="AD94">
        <v>430</v>
      </c>
    </row>
    <row r="95" spans="1:30" x14ac:dyDescent="0.3">
      <c r="A95">
        <v>13411175</v>
      </c>
      <c r="B95" s="3">
        <v>45679</v>
      </c>
      <c r="C95">
        <v>2025</v>
      </c>
      <c r="D95">
        <v>1</v>
      </c>
      <c r="E95" t="s">
        <v>1579</v>
      </c>
      <c r="F95" t="s">
        <v>125</v>
      </c>
      <c r="G95" t="s">
        <v>10</v>
      </c>
      <c r="H95" t="b">
        <v>0</v>
      </c>
      <c r="I95" t="b">
        <v>0</v>
      </c>
      <c r="J95" t="b">
        <v>0</v>
      </c>
      <c r="K95" t="b">
        <v>0</v>
      </c>
      <c r="L95" t="s">
        <v>1659</v>
      </c>
      <c r="M95" t="s">
        <v>541</v>
      </c>
      <c r="N95" t="s">
        <v>5</v>
      </c>
      <c r="O95" t="b">
        <v>0</v>
      </c>
      <c r="P95">
        <v>5</v>
      </c>
      <c r="Q95" t="s">
        <v>34</v>
      </c>
      <c r="R95" t="s">
        <v>35</v>
      </c>
      <c r="S95">
        <v>48</v>
      </c>
      <c r="T95" t="s">
        <v>36</v>
      </c>
      <c r="U95" t="s">
        <v>37</v>
      </c>
      <c r="V95" t="s">
        <v>38</v>
      </c>
      <c r="W95">
        <v>4</v>
      </c>
      <c r="X95" t="s">
        <v>40</v>
      </c>
      <c r="Z95" t="s">
        <v>5</v>
      </c>
      <c r="AA95" t="s">
        <v>15</v>
      </c>
      <c r="AC95" t="s">
        <v>32</v>
      </c>
      <c r="AD95">
        <v>430</v>
      </c>
    </row>
    <row r="96" spans="1:30" x14ac:dyDescent="0.3">
      <c r="A96">
        <v>13411628</v>
      </c>
      <c r="B96" s="3">
        <v>45687</v>
      </c>
      <c r="C96">
        <v>2025</v>
      </c>
      <c r="D96">
        <v>1</v>
      </c>
      <c r="E96" t="s">
        <v>1579</v>
      </c>
      <c r="F96" t="s">
        <v>125</v>
      </c>
      <c r="G96" t="s">
        <v>10</v>
      </c>
      <c r="H96" t="b">
        <v>0</v>
      </c>
      <c r="I96" t="b">
        <v>0</v>
      </c>
      <c r="J96" t="b">
        <v>0</v>
      </c>
      <c r="K96" t="b">
        <v>0</v>
      </c>
      <c r="L96" t="s">
        <v>556</v>
      </c>
      <c r="M96" t="s">
        <v>336</v>
      </c>
      <c r="N96" t="s">
        <v>5</v>
      </c>
      <c r="O96" t="b">
        <v>0</v>
      </c>
      <c r="P96">
        <v>4</v>
      </c>
      <c r="Q96" t="s">
        <v>34</v>
      </c>
      <c r="R96" t="s">
        <v>35</v>
      </c>
      <c r="S96">
        <v>48</v>
      </c>
      <c r="T96" t="s">
        <v>36</v>
      </c>
      <c r="U96" t="s">
        <v>37</v>
      </c>
      <c r="V96" t="s">
        <v>38</v>
      </c>
      <c r="W96">
        <v>7</v>
      </c>
      <c r="X96" t="s">
        <v>6</v>
      </c>
      <c r="Y96">
        <v>11</v>
      </c>
      <c r="Z96" t="s">
        <v>46</v>
      </c>
      <c r="AA96" t="s">
        <v>15</v>
      </c>
      <c r="AC96" t="s">
        <v>32</v>
      </c>
      <c r="AD96">
        <v>422</v>
      </c>
    </row>
    <row r="97" spans="1:30" x14ac:dyDescent="0.3">
      <c r="A97">
        <v>13411835</v>
      </c>
      <c r="B97" s="3">
        <v>45678</v>
      </c>
      <c r="C97">
        <v>2025</v>
      </c>
      <c r="D97">
        <v>1</v>
      </c>
      <c r="E97" t="s">
        <v>1579</v>
      </c>
      <c r="F97" t="s">
        <v>0</v>
      </c>
      <c r="G97" t="s">
        <v>10</v>
      </c>
      <c r="H97" t="b">
        <v>0</v>
      </c>
      <c r="I97" t="b">
        <v>0</v>
      </c>
      <c r="J97" t="b">
        <v>0</v>
      </c>
      <c r="K97" t="b">
        <v>0</v>
      </c>
      <c r="L97" t="s">
        <v>1660</v>
      </c>
      <c r="M97" t="s">
        <v>102</v>
      </c>
      <c r="N97" t="s">
        <v>57</v>
      </c>
      <c r="O97" t="b">
        <v>1</v>
      </c>
      <c r="P97">
        <v>2</v>
      </c>
      <c r="Q97" t="s">
        <v>34</v>
      </c>
      <c r="R97" t="s">
        <v>35</v>
      </c>
      <c r="S97">
        <v>48</v>
      </c>
      <c r="T97" t="s">
        <v>83</v>
      </c>
      <c r="U97" t="s">
        <v>37</v>
      </c>
      <c r="V97" t="s">
        <v>38</v>
      </c>
      <c r="W97">
        <v>1</v>
      </c>
      <c r="X97" t="s">
        <v>31</v>
      </c>
      <c r="Z97" t="s">
        <v>5</v>
      </c>
      <c r="AA97" t="s">
        <v>15</v>
      </c>
      <c r="AC97" t="s">
        <v>32</v>
      </c>
      <c r="AD97">
        <v>431</v>
      </c>
    </row>
    <row r="98" spans="1:30" x14ac:dyDescent="0.3">
      <c r="A98">
        <v>13412825</v>
      </c>
      <c r="B98" s="3">
        <v>45688</v>
      </c>
      <c r="C98">
        <v>2025</v>
      </c>
      <c r="D98">
        <v>1</v>
      </c>
      <c r="E98" t="s">
        <v>1579</v>
      </c>
      <c r="F98" t="s">
        <v>125</v>
      </c>
      <c r="G98" t="s">
        <v>10</v>
      </c>
      <c r="H98" t="b">
        <v>0</v>
      </c>
      <c r="I98" t="b">
        <v>0</v>
      </c>
      <c r="J98" t="b">
        <v>0</v>
      </c>
      <c r="K98" t="b">
        <v>0</v>
      </c>
      <c r="L98" t="s">
        <v>266</v>
      </c>
      <c r="M98" t="s">
        <v>266</v>
      </c>
      <c r="N98" t="s">
        <v>5</v>
      </c>
      <c r="O98" t="b">
        <v>0</v>
      </c>
      <c r="P98">
        <v>1</v>
      </c>
      <c r="Q98" t="s">
        <v>34</v>
      </c>
      <c r="R98" t="s">
        <v>35</v>
      </c>
      <c r="S98">
        <v>48</v>
      </c>
      <c r="T98" t="s">
        <v>83</v>
      </c>
      <c r="U98" t="s">
        <v>37</v>
      </c>
      <c r="V98" t="s">
        <v>38</v>
      </c>
      <c r="W98">
        <v>2</v>
      </c>
      <c r="X98" t="s">
        <v>14</v>
      </c>
      <c r="Z98" t="s">
        <v>5</v>
      </c>
      <c r="AA98" t="s">
        <v>15</v>
      </c>
      <c r="AC98" t="s">
        <v>32</v>
      </c>
      <c r="AD98">
        <v>421</v>
      </c>
    </row>
    <row r="99" spans="1:30" x14ac:dyDescent="0.3">
      <c r="A99">
        <v>13419017</v>
      </c>
      <c r="B99" s="3">
        <v>45665</v>
      </c>
      <c r="C99">
        <v>2025</v>
      </c>
      <c r="D99">
        <v>1</v>
      </c>
      <c r="E99" t="s">
        <v>1579</v>
      </c>
      <c r="F99" t="s">
        <v>125</v>
      </c>
      <c r="G99" t="s">
        <v>10</v>
      </c>
      <c r="H99" t="b">
        <v>0</v>
      </c>
      <c r="I99" t="b">
        <v>0</v>
      </c>
      <c r="J99" t="b">
        <v>0</v>
      </c>
      <c r="K99" t="b">
        <v>0</v>
      </c>
      <c r="L99" t="s">
        <v>340</v>
      </c>
      <c r="M99" t="s">
        <v>102</v>
      </c>
      <c r="N99" t="s">
        <v>5</v>
      </c>
      <c r="O99" t="b">
        <v>0</v>
      </c>
      <c r="P99">
        <v>2</v>
      </c>
      <c r="Q99" t="s">
        <v>34</v>
      </c>
      <c r="R99" t="s">
        <v>35</v>
      </c>
      <c r="S99">
        <v>48</v>
      </c>
      <c r="T99" t="s">
        <v>83</v>
      </c>
      <c r="U99" t="s">
        <v>37</v>
      </c>
      <c r="V99" t="s">
        <v>38</v>
      </c>
      <c r="W99">
        <v>1</v>
      </c>
      <c r="X99" t="s">
        <v>31</v>
      </c>
      <c r="Z99" t="s">
        <v>5</v>
      </c>
      <c r="AA99" t="s">
        <v>15</v>
      </c>
      <c r="AC99" t="s">
        <v>32</v>
      </c>
      <c r="AD99">
        <v>444</v>
      </c>
    </row>
    <row r="100" spans="1:30" x14ac:dyDescent="0.3">
      <c r="A100">
        <v>13420397</v>
      </c>
      <c r="B100" s="3">
        <v>45659</v>
      </c>
      <c r="C100">
        <v>2025</v>
      </c>
      <c r="D100">
        <v>1</v>
      </c>
      <c r="E100" t="s">
        <v>1579</v>
      </c>
      <c r="F100" t="s">
        <v>0</v>
      </c>
      <c r="G100" t="s">
        <v>10</v>
      </c>
      <c r="H100" t="b">
        <v>0</v>
      </c>
      <c r="I100" t="b">
        <v>0</v>
      </c>
      <c r="J100" t="b">
        <v>0</v>
      </c>
      <c r="K100" t="b">
        <v>0</v>
      </c>
      <c r="L100" t="s">
        <v>1661</v>
      </c>
      <c r="M100" t="s">
        <v>809</v>
      </c>
      <c r="N100" t="s">
        <v>2</v>
      </c>
      <c r="O100" t="b">
        <v>1</v>
      </c>
      <c r="P100">
        <v>7</v>
      </c>
      <c r="Q100" t="s">
        <v>250</v>
      </c>
      <c r="R100" t="s">
        <v>251</v>
      </c>
      <c r="S100">
        <v>65</v>
      </c>
      <c r="T100" t="s">
        <v>252</v>
      </c>
      <c r="U100" t="s">
        <v>253</v>
      </c>
      <c r="V100" t="s">
        <v>5</v>
      </c>
      <c r="W100">
        <v>5</v>
      </c>
      <c r="X100" t="s">
        <v>40</v>
      </c>
      <c r="Z100" t="s">
        <v>5</v>
      </c>
      <c r="AA100" t="s">
        <v>15</v>
      </c>
      <c r="AC100" t="s">
        <v>32</v>
      </c>
      <c r="AD100">
        <v>450</v>
      </c>
    </row>
    <row r="101" spans="1:30" x14ac:dyDescent="0.3">
      <c r="A101">
        <v>13425558</v>
      </c>
      <c r="B101" s="3">
        <v>45670</v>
      </c>
      <c r="C101">
        <v>2025</v>
      </c>
      <c r="D101">
        <v>1</v>
      </c>
      <c r="E101" t="s">
        <v>1579</v>
      </c>
      <c r="F101" t="s">
        <v>0</v>
      </c>
      <c r="G101" t="s">
        <v>10</v>
      </c>
      <c r="H101" t="b">
        <v>0</v>
      </c>
      <c r="I101" t="b">
        <v>0</v>
      </c>
      <c r="J101" t="b">
        <v>0</v>
      </c>
      <c r="K101" t="b">
        <v>0</v>
      </c>
      <c r="L101" t="s">
        <v>1324</v>
      </c>
      <c r="M101" t="s">
        <v>1324</v>
      </c>
      <c r="N101" t="s">
        <v>5</v>
      </c>
      <c r="O101" t="b">
        <v>0</v>
      </c>
      <c r="P101">
        <v>1</v>
      </c>
      <c r="Q101" t="s">
        <v>293</v>
      </c>
      <c r="R101" t="s">
        <v>294</v>
      </c>
      <c r="S101">
        <v>48</v>
      </c>
      <c r="T101" t="s">
        <v>5</v>
      </c>
      <c r="U101" t="s">
        <v>106</v>
      </c>
      <c r="V101" t="s">
        <v>5</v>
      </c>
      <c r="W101">
        <v>2</v>
      </c>
      <c r="X101" t="s">
        <v>14</v>
      </c>
      <c r="Z101" t="s">
        <v>5</v>
      </c>
      <c r="AA101" t="s">
        <v>5</v>
      </c>
      <c r="AC101" t="s">
        <v>716</v>
      </c>
      <c r="AD101">
        <v>439</v>
      </c>
    </row>
    <row r="102" spans="1:30" x14ac:dyDescent="0.3">
      <c r="A102">
        <v>13426863</v>
      </c>
      <c r="B102" s="3">
        <v>45679</v>
      </c>
      <c r="C102">
        <v>2025</v>
      </c>
      <c r="D102">
        <v>1</v>
      </c>
      <c r="E102" t="s">
        <v>1579</v>
      </c>
      <c r="F102" t="s">
        <v>0</v>
      </c>
      <c r="G102" t="s">
        <v>10</v>
      </c>
      <c r="H102" t="b">
        <v>0</v>
      </c>
      <c r="I102" t="b">
        <v>0</v>
      </c>
      <c r="J102" t="b">
        <v>0</v>
      </c>
      <c r="K102" t="b">
        <v>0</v>
      </c>
      <c r="L102" t="s">
        <v>1662</v>
      </c>
      <c r="M102" t="s">
        <v>1663</v>
      </c>
      <c r="N102" t="s">
        <v>17</v>
      </c>
      <c r="O102" t="b">
        <v>0</v>
      </c>
      <c r="P102">
        <v>8</v>
      </c>
      <c r="Q102" t="s">
        <v>208</v>
      </c>
      <c r="R102" t="s">
        <v>286</v>
      </c>
      <c r="S102">
        <v>48</v>
      </c>
      <c r="T102" t="s">
        <v>80</v>
      </c>
      <c r="U102" t="s">
        <v>210</v>
      </c>
      <c r="V102" t="s">
        <v>5</v>
      </c>
      <c r="W102">
        <v>1</v>
      </c>
      <c r="X102" t="s">
        <v>31</v>
      </c>
      <c r="Y102">
        <v>78</v>
      </c>
      <c r="Z102" t="s">
        <v>67</v>
      </c>
      <c r="AA102" t="s">
        <v>8</v>
      </c>
      <c r="AC102" t="s">
        <v>32</v>
      </c>
      <c r="AD102">
        <v>430</v>
      </c>
    </row>
    <row r="103" spans="1:30" x14ac:dyDescent="0.3">
      <c r="A103">
        <v>13505217</v>
      </c>
      <c r="B103" s="3">
        <v>45687</v>
      </c>
      <c r="C103">
        <v>2025</v>
      </c>
      <c r="D103">
        <v>1</v>
      </c>
      <c r="E103" t="s">
        <v>1579</v>
      </c>
      <c r="F103" t="s">
        <v>0</v>
      </c>
      <c r="G103" t="s">
        <v>1</v>
      </c>
      <c r="H103" t="b">
        <v>0</v>
      </c>
      <c r="I103" t="b">
        <v>1</v>
      </c>
      <c r="J103" t="b">
        <v>0</v>
      </c>
      <c r="K103" t="b">
        <v>0</v>
      </c>
      <c r="L103" t="s">
        <v>1664</v>
      </c>
      <c r="M103" t="s">
        <v>288</v>
      </c>
      <c r="N103" t="s">
        <v>17</v>
      </c>
      <c r="O103" t="b">
        <v>0</v>
      </c>
      <c r="P103">
        <v>6</v>
      </c>
      <c r="Q103" t="s">
        <v>289</v>
      </c>
      <c r="R103" t="s">
        <v>290</v>
      </c>
      <c r="S103" t="s">
        <v>5</v>
      </c>
      <c r="T103" t="s">
        <v>291</v>
      </c>
      <c r="U103" t="s">
        <v>271</v>
      </c>
      <c r="V103" t="s">
        <v>292</v>
      </c>
      <c r="W103">
        <v>19</v>
      </c>
      <c r="X103" t="s">
        <v>6</v>
      </c>
      <c r="Z103" t="s">
        <v>5</v>
      </c>
      <c r="AA103" t="s">
        <v>8</v>
      </c>
      <c r="AC103" t="s">
        <v>9</v>
      </c>
      <c r="AD103">
        <v>422</v>
      </c>
    </row>
    <row r="104" spans="1:30" x14ac:dyDescent="0.3">
      <c r="A104">
        <v>13525762</v>
      </c>
      <c r="B104" s="3">
        <v>45674</v>
      </c>
      <c r="C104">
        <v>2025</v>
      </c>
      <c r="D104">
        <v>1</v>
      </c>
      <c r="E104" t="s">
        <v>1579</v>
      </c>
      <c r="F104" t="s">
        <v>0</v>
      </c>
      <c r="G104" t="s">
        <v>16</v>
      </c>
      <c r="H104" t="b">
        <v>0</v>
      </c>
      <c r="I104" t="b">
        <v>1</v>
      </c>
      <c r="J104" t="b">
        <v>1</v>
      </c>
      <c r="K104" t="b">
        <v>0</v>
      </c>
      <c r="L104" t="s">
        <v>1665</v>
      </c>
      <c r="M104" t="s">
        <v>757</v>
      </c>
      <c r="N104" t="s">
        <v>63</v>
      </c>
      <c r="O104" t="b">
        <v>0</v>
      </c>
      <c r="P104">
        <v>39</v>
      </c>
      <c r="Q104" t="s">
        <v>135</v>
      </c>
      <c r="R104" t="s">
        <v>136</v>
      </c>
      <c r="S104">
        <v>58</v>
      </c>
      <c r="T104" t="s">
        <v>62</v>
      </c>
      <c r="U104" t="s">
        <v>81</v>
      </c>
      <c r="V104" t="s">
        <v>137</v>
      </c>
      <c r="W104">
        <v>38</v>
      </c>
      <c r="X104" t="s">
        <v>6</v>
      </c>
      <c r="Y104">
        <v>62</v>
      </c>
      <c r="Z104" t="s">
        <v>7</v>
      </c>
      <c r="AA104" t="s">
        <v>8</v>
      </c>
      <c r="AC104" t="s">
        <v>9</v>
      </c>
      <c r="AD104">
        <v>435</v>
      </c>
    </row>
    <row r="105" spans="1:30" x14ac:dyDescent="0.3">
      <c r="A105">
        <v>13550385</v>
      </c>
      <c r="B105" s="3">
        <v>45678</v>
      </c>
      <c r="C105">
        <v>2025</v>
      </c>
      <c r="D105">
        <v>1</v>
      </c>
      <c r="E105" t="s">
        <v>1579</v>
      </c>
      <c r="F105" t="s">
        <v>0</v>
      </c>
      <c r="G105" t="s">
        <v>16</v>
      </c>
      <c r="H105" t="b">
        <v>0</v>
      </c>
      <c r="I105" t="b">
        <v>1</v>
      </c>
      <c r="J105" t="b">
        <v>1</v>
      </c>
      <c r="K105" t="b">
        <v>0</v>
      </c>
      <c r="L105" t="s">
        <v>1666</v>
      </c>
      <c r="M105" t="s">
        <v>441</v>
      </c>
      <c r="N105" t="s">
        <v>118</v>
      </c>
      <c r="O105" t="b">
        <v>0</v>
      </c>
      <c r="P105">
        <v>25</v>
      </c>
      <c r="Q105" t="s">
        <v>373</v>
      </c>
      <c r="R105" t="s">
        <v>374</v>
      </c>
      <c r="S105">
        <v>48</v>
      </c>
      <c r="T105" t="s">
        <v>375</v>
      </c>
      <c r="U105" t="s">
        <v>376</v>
      </c>
      <c r="V105" t="s">
        <v>5</v>
      </c>
      <c r="W105">
        <v>32</v>
      </c>
      <c r="X105" t="s">
        <v>6</v>
      </c>
      <c r="Z105" t="s">
        <v>5</v>
      </c>
      <c r="AA105" t="s">
        <v>8</v>
      </c>
      <c r="AB105">
        <v>65</v>
      </c>
      <c r="AC105" t="s">
        <v>377</v>
      </c>
      <c r="AD105">
        <v>431</v>
      </c>
    </row>
    <row r="106" spans="1:30" x14ac:dyDescent="0.3">
      <c r="A106">
        <v>13553428</v>
      </c>
      <c r="B106" s="3">
        <v>45672</v>
      </c>
      <c r="C106">
        <v>2025</v>
      </c>
      <c r="D106">
        <v>1</v>
      </c>
      <c r="E106" t="s">
        <v>1579</v>
      </c>
      <c r="F106" t="s">
        <v>0</v>
      </c>
      <c r="G106" t="s">
        <v>10</v>
      </c>
      <c r="H106" t="b">
        <v>0</v>
      </c>
      <c r="I106" t="b">
        <v>0</v>
      </c>
      <c r="J106" t="b">
        <v>0</v>
      </c>
      <c r="K106" t="b">
        <v>0</v>
      </c>
      <c r="L106" t="s">
        <v>1372</v>
      </c>
      <c r="M106" t="s">
        <v>1372</v>
      </c>
      <c r="N106" t="s">
        <v>5</v>
      </c>
      <c r="O106" t="b">
        <v>0</v>
      </c>
      <c r="P106">
        <v>1</v>
      </c>
      <c r="Q106" t="s">
        <v>1382</v>
      </c>
      <c r="R106" t="s">
        <v>1383</v>
      </c>
      <c r="S106">
        <v>48</v>
      </c>
      <c r="T106" t="s">
        <v>705</v>
      </c>
      <c r="U106" t="s">
        <v>1384</v>
      </c>
      <c r="V106" t="s">
        <v>5</v>
      </c>
      <c r="W106">
        <v>3</v>
      </c>
      <c r="X106" t="s">
        <v>14</v>
      </c>
      <c r="Z106" t="s">
        <v>5</v>
      </c>
      <c r="AA106" t="s">
        <v>5</v>
      </c>
      <c r="AC106" t="s">
        <v>25</v>
      </c>
      <c r="AD106">
        <v>437</v>
      </c>
    </row>
    <row r="107" spans="1:30" x14ac:dyDescent="0.3">
      <c r="A107">
        <v>13553430</v>
      </c>
      <c r="B107" s="3">
        <v>45672</v>
      </c>
      <c r="C107">
        <v>2025</v>
      </c>
      <c r="D107">
        <v>1</v>
      </c>
      <c r="E107" t="s">
        <v>1579</v>
      </c>
      <c r="F107" t="s">
        <v>0</v>
      </c>
      <c r="G107" t="s">
        <v>10</v>
      </c>
      <c r="H107" t="b">
        <v>0</v>
      </c>
      <c r="I107" t="b">
        <v>0</v>
      </c>
      <c r="J107" t="b">
        <v>0</v>
      </c>
      <c r="K107" t="b">
        <v>0</v>
      </c>
      <c r="L107" t="s">
        <v>1667</v>
      </c>
      <c r="M107" t="s">
        <v>1320</v>
      </c>
      <c r="N107" t="s">
        <v>5</v>
      </c>
      <c r="O107" t="b">
        <v>0</v>
      </c>
      <c r="P107">
        <v>2</v>
      </c>
      <c r="Q107" t="s">
        <v>1382</v>
      </c>
      <c r="R107" t="s">
        <v>1383</v>
      </c>
      <c r="S107">
        <v>48</v>
      </c>
      <c r="T107" t="s">
        <v>705</v>
      </c>
      <c r="U107" t="s">
        <v>1384</v>
      </c>
      <c r="V107" t="s">
        <v>5</v>
      </c>
      <c r="W107">
        <v>4</v>
      </c>
      <c r="X107" t="s">
        <v>40</v>
      </c>
      <c r="Z107" t="s">
        <v>5</v>
      </c>
      <c r="AA107" t="s">
        <v>5</v>
      </c>
      <c r="AC107" t="s">
        <v>25</v>
      </c>
      <c r="AD107">
        <v>437</v>
      </c>
    </row>
    <row r="108" spans="1:30" x14ac:dyDescent="0.3">
      <c r="A108">
        <v>13553431</v>
      </c>
      <c r="B108" s="3">
        <v>45672</v>
      </c>
      <c r="C108">
        <v>2025</v>
      </c>
      <c r="D108">
        <v>1</v>
      </c>
      <c r="E108" t="s">
        <v>1579</v>
      </c>
      <c r="F108" t="s">
        <v>0</v>
      </c>
      <c r="G108" t="s">
        <v>10</v>
      </c>
      <c r="H108" t="b">
        <v>0</v>
      </c>
      <c r="I108" t="b">
        <v>0</v>
      </c>
      <c r="J108" t="b">
        <v>0</v>
      </c>
      <c r="K108" t="b">
        <v>0</v>
      </c>
      <c r="L108" t="s">
        <v>270</v>
      </c>
      <c r="M108" t="s">
        <v>270</v>
      </c>
      <c r="N108" t="s">
        <v>5</v>
      </c>
      <c r="O108" t="b">
        <v>0</v>
      </c>
      <c r="P108">
        <v>1</v>
      </c>
      <c r="Q108" t="s">
        <v>1382</v>
      </c>
      <c r="R108" t="s">
        <v>1383</v>
      </c>
      <c r="S108">
        <v>48</v>
      </c>
      <c r="T108" t="s">
        <v>705</v>
      </c>
      <c r="U108" t="s">
        <v>1384</v>
      </c>
      <c r="V108" t="s">
        <v>5</v>
      </c>
      <c r="W108">
        <v>5</v>
      </c>
      <c r="X108" t="s">
        <v>40</v>
      </c>
      <c r="Z108" t="s">
        <v>5</v>
      </c>
      <c r="AA108" t="s">
        <v>5</v>
      </c>
      <c r="AC108" t="s">
        <v>25</v>
      </c>
      <c r="AD108">
        <v>437</v>
      </c>
    </row>
    <row r="109" spans="1:30" x14ac:dyDescent="0.3">
      <c r="A109">
        <v>13553433</v>
      </c>
      <c r="B109" s="3">
        <v>45672</v>
      </c>
      <c r="C109">
        <v>2025</v>
      </c>
      <c r="D109">
        <v>1</v>
      </c>
      <c r="E109" t="s">
        <v>1579</v>
      </c>
      <c r="F109" t="s">
        <v>0</v>
      </c>
      <c r="G109" t="s">
        <v>10</v>
      </c>
      <c r="H109" t="b">
        <v>0</v>
      </c>
      <c r="I109" t="b">
        <v>0</v>
      </c>
      <c r="J109" t="b">
        <v>0</v>
      </c>
      <c r="K109" t="b">
        <v>0</v>
      </c>
      <c r="L109" t="s">
        <v>731</v>
      </c>
      <c r="M109" t="s">
        <v>731</v>
      </c>
      <c r="N109" t="s">
        <v>5</v>
      </c>
      <c r="O109" t="b">
        <v>0</v>
      </c>
      <c r="P109">
        <v>1</v>
      </c>
      <c r="Q109" t="s">
        <v>1382</v>
      </c>
      <c r="R109" t="s">
        <v>1383</v>
      </c>
      <c r="S109">
        <v>48</v>
      </c>
      <c r="T109" t="s">
        <v>705</v>
      </c>
      <c r="U109" t="s">
        <v>1384</v>
      </c>
      <c r="V109" t="s">
        <v>5</v>
      </c>
      <c r="W109">
        <v>3</v>
      </c>
      <c r="X109" t="s">
        <v>14</v>
      </c>
      <c r="Z109" t="s">
        <v>5</v>
      </c>
      <c r="AA109" t="s">
        <v>5</v>
      </c>
      <c r="AC109" t="s">
        <v>25</v>
      </c>
      <c r="AD109">
        <v>437</v>
      </c>
    </row>
    <row r="110" spans="1:30" x14ac:dyDescent="0.3">
      <c r="A110">
        <v>13553434</v>
      </c>
      <c r="B110" s="3">
        <v>45672</v>
      </c>
      <c r="C110">
        <v>2025</v>
      </c>
      <c r="D110">
        <v>1</v>
      </c>
      <c r="E110" t="s">
        <v>1579</v>
      </c>
      <c r="F110" t="s">
        <v>0</v>
      </c>
      <c r="G110" t="s">
        <v>10</v>
      </c>
      <c r="H110" t="b">
        <v>0</v>
      </c>
      <c r="I110" t="b">
        <v>0</v>
      </c>
      <c r="J110" t="b">
        <v>0</v>
      </c>
      <c r="K110" t="b">
        <v>0</v>
      </c>
      <c r="L110" t="s">
        <v>107</v>
      </c>
      <c r="M110" t="s">
        <v>107</v>
      </c>
      <c r="N110" t="s">
        <v>5</v>
      </c>
      <c r="O110" t="b">
        <v>0</v>
      </c>
      <c r="P110">
        <v>1</v>
      </c>
      <c r="Q110" t="s">
        <v>1382</v>
      </c>
      <c r="R110" t="s">
        <v>1383</v>
      </c>
      <c r="S110">
        <v>48</v>
      </c>
      <c r="T110" t="s">
        <v>705</v>
      </c>
      <c r="U110" t="s">
        <v>1384</v>
      </c>
      <c r="V110" t="s">
        <v>5</v>
      </c>
      <c r="W110">
        <v>3</v>
      </c>
      <c r="X110" t="s">
        <v>14</v>
      </c>
      <c r="Z110" t="s">
        <v>5</v>
      </c>
      <c r="AA110" t="s">
        <v>5</v>
      </c>
      <c r="AC110" t="s">
        <v>25</v>
      </c>
      <c r="AD110">
        <v>437</v>
      </c>
    </row>
    <row r="111" spans="1:30" x14ac:dyDescent="0.3">
      <c r="A111">
        <v>13553435</v>
      </c>
      <c r="B111" s="3">
        <v>45672</v>
      </c>
      <c r="C111">
        <v>2025</v>
      </c>
      <c r="D111">
        <v>1</v>
      </c>
      <c r="E111" t="s">
        <v>1579</v>
      </c>
      <c r="F111" t="s">
        <v>0</v>
      </c>
      <c r="G111" t="s">
        <v>10</v>
      </c>
      <c r="H111" t="b">
        <v>0</v>
      </c>
      <c r="I111" t="b">
        <v>0</v>
      </c>
      <c r="J111" t="b">
        <v>0</v>
      </c>
      <c r="K111" t="b">
        <v>0</v>
      </c>
      <c r="L111" t="s">
        <v>1668</v>
      </c>
      <c r="M111" t="s">
        <v>464</v>
      </c>
      <c r="N111" t="s">
        <v>5</v>
      </c>
      <c r="O111" t="b">
        <v>0</v>
      </c>
      <c r="P111">
        <v>2</v>
      </c>
      <c r="Q111" t="s">
        <v>1382</v>
      </c>
      <c r="R111" t="s">
        <v>1383</v>
      </c>
      <c r="S111">
        <v>48</v>
      </c>
      <c r="T111" t="s">
        <v>705</v>
      </c>
      <c r="U111" t="s">
        <v>1384</v>
      </c>
      <c r="V111" t="s">
        <v>5</v>
      </c>
      <c r="W111">
        <v>6</v>
      </c>
      <c r="X111" t="s">
        <v>6</v>
      </c>
      <c r="Z111" t="s">
        <v>5</v>
      </c>
      <c r="AA111" t="s">
        <v>5</v>
      </c>
      <c r="AC111" t="s">
        <v>25</v>
      </c>
      <c r="AD111">
        <v>437</v>
      </c>
    </row>
    <row r="112" spans="1:30" x14ac:dyDescent="0.3">
      <c r="A112">
        <v>13553555</v>
      </c>
      <c r="B112" s="3">
        <v>45666</v>
      </c>
      <c r="C112">
        <v>2025</v>
      </c>
      <c r="D112">
        <v>1</v>
      </c>
      <c r="E112" t="s">
        <v>1579</v>
      </c>
      <c r="F112" t="s">
        <v>0</v>
      </c>
      <c r="G112" t="s">
        <v>197</v>
      </c>
      <c r="H112" t="b">
        <v>1</v>
      </c>
      <c r="I112" t="b">
        <v>1</v>
      </c>
      <c r="J112" t="b">
        <v>0</v>
      </c>
      <c r="K112" t="b">
        <v>0</v>
      </c>
      <c r="L112" t="s">
        <v>1669</v>
      </c>
      <c r="M112" t="s">
        <v>346</v>
      </c>
      <c r="N112" t="s">
        <v>118</v>
      </c>
      <c r="O112" t="b">
        <v>0</v>
      </c>
      <c r="P112">
        <v>6</v>
      </c>
      <c r="Q112" t="s">
        <v>320</v>
      </c>
      <c r="R112" t="s">
        <v>321</v>
      </c>
      <c r="S112">
        <v>58</v>
      </c>
      <c r="T112" t="s">
        <v>594</v>
      </c>
      <c r="U112" t="s">
        <v>4</v>
      </c>
      <c r="V112" t="s">
        <v>322</v>
      </c>
      <c r="W112">
        <v>26</v>
      </c>
      <c r="X112" t="s">
        <v>6</v>
      </c>
      <c r="Y112">
        <v>62</v>
      </c>
      <c r="Z112" t="s">
        <v>7</v>
      </c>
      <c r="AA112" t="s">
        <v>15</v>
      </c>
      <c r="AB112">
        <v>90</v>
      </c>
      <c r="AC112" t="s">
        <v>9</v>
      </c>
      <c r="AD112">
        <v>443</v>
      </c>
    </row>
    <row r="113" spans="1:30" x14ac:dyDescent="0.3">
      <c r="A113">
        <v>13573412</v>
      </c>
      <c r="B113" s="3">
        <v>45659</v>
      </c>
      <c r="C113">
        <v>2025</v>
      </c>
      <c r="D113">
        <v>1</v>
      </c>
      <c r="E113" t="s">
        <v>1579</v>
      </c>
      <c r="F113" t="s">
        <v>0</v>
      </c>
      <c r="G113" t="s">
        <v>10</v>
      </c>
      <c r="H113" t="b">
        <v>0</v>
      </c>
      <c r="I113" t="b">
        <v>0</v>
      </c>
      <c r="J113" t="b">
        <v>0</v>
      </c>
      <c r="K113" t="b">
        <v>0</v>
      </c>
      <c r="L113" t="s">
        <v>1670</v>
      </c>
      <c r="M113" t="s">
        <v>206</v>
      </c>
      <c r="N113" t="s">
        <v>57</v>
      </c>
      <c r="O113" t="b">
        <v>1</v>
      </c>
      <c r="P113">
        <v>10</v>
      </c>
      <c r="Q113" t="s">
        <v>208</v>
      </c>
      <c r="R113" t="s">
        <v>286</v>
      </c>
      <c r="S113">
        <v>48</v>
      </c>
      <c r="T113" t="s">
        <v>80</v>
      </c>
      <c r="U113" t="s">
        <v>210</v>
      </c>
      <c r="V113" t="s">
        <v>5</v>
      </c>
      <c r="W113">
        <v>15</v>
      </c>
      <c r="X113" t="s">
        <v>6</v>
      </c>
      <c r="Y113">
        <v>76</v>
      </c>
      <c r="Z113" t="s">
        <v>67</v>
      </c>
      <c r="AA113" t="s">
        <v>8</v>
      </c>
      <c r="AC113" t="s">
        <v>32</v>
      </c>
      <c r="AD113">
        <v>450</v>
      </c>
    </row>
    <row r="114" spans="1:30" x14ac:dyDescent="0.3">
      <c r="A114">
        <v>13574724</v>
      </c>
      <c r="B114" s="3">
        <v>45687</v>
      </c>
      <c r="C114">
        <v>2025</v>
      </c>
      <c r="D114">
        <v>1</v>
      </c>
      <c r="E114" t="s">
        <v>1579</v>
      </c>
      <c r="F114" t="s">
        <v>0</v>
      </c>
      <c r="G114" t="s">
        <v>1</v>
      </c>
      <c r="H114" t="b">
        <v>0</v>
      </c>
      <c r="I114" t="b">
        <v>1</v>
      </c>
      <c r="J114" t="b">
        <v>0</v>
      </c>
      <c r="K114" t="b">
        <v>0</v>
      </c>
      <c r="L114" t="s">
        <v>1671</v>
      </c>
      <c r="M114" t="s">
        <v>425</v>
      </c>
      <c r="N114" t="s">
        <v>118</v>
      </c>
      <c r="O114" t="b">
        <v>0</v>
      </c>
      <c r="P114">
        <v>13</v>
      </c>
      <c r="Q114" t="s">
        <v>1672</v>
      </c>
      <c r="R114" t="s">
        <v>5</v>
      </c>
      <c r="S114">
        <v>58</v>
      </c>
      <c r="T114" t="s">
        <v>1673</v>
      </c>
      <c r="U114" t="s">
        <v>5</v>
      </c>
      <c r="V114" t="s">
        <v>5</v>
      </c>
      <c r="W114">
        <v>58</v>
      </c>
      <c r="X114" t="s">
        <v>6</v>
      </c>
      <c r="Y114">
        <v>55</v>
      </c>
      <c r="Z114" t="s">
        <v>7</v>
      </c>
      <c r="AA114" t="s">
        <v>15</v>
      </c>
      <c r="AC114" t="s">
        <v>56</v>
      </c>
      <c r="AD114">
        <v>422</v>
      </c>
    </row>
    <row r="115" spans="1:30" x14ac:dyDescent="0.3">
      <c r="A115">
        <v>13580400</v>
      </c>
      <c r="B115" s="3">
        <v>45686</v>
      </c>
      <c r="C115">
        <v>2025</v>
      </c>
      <c r="D115">
        <v>1</v>
      </c>
      <c r="E115" t="s">
        <v>1579</v>
      </c>
      <c r="F115" t="s">
        <v>0</v>
      </c>
      <c r="G115" t="s">
        <v>1</v>
      </c>
      <c r="H115" t="b">
        <v>0</v>
      </c>
      <c r="I115" t="b">
        <v>1</v>
      </c>
      <c r="J115" t="b">
        <v>0</v>
      </c>
      <c r="K115" t="b">
        <v>0</v>
      </c>
      <c r="L115" t="s">
        <v>1674</v>
      </c>
      <c r="M115" t="s">
        <v>882</v>
      </c>
      <c r="N115" t="s">
        <v>70</v>
      </c>
      <c r="O115" t="b">
        <v>0</v>
      </c>
      <c r="P115">
        <v>15</v>
      </c>
      <c r="Q115" t="s">
        <v>693</v>
      </c>
      <c r="R115" t="s">
        <v>5</v>
      </c>
      <c r="S115" t="s">
        <v>5</v>
      </c>
      <c r="T115" t="s">
        <v>131</v>
      </c>
      <c r="U115" t="s">
        <v>5</v>
      </c>
      <c r="V115" t="s">
        <v>5</v>
      </c>
      <c r="W115">
        <v>9</v>
      </c>
      <c r="X115" t="s">
        <v>6</v>
      </c>
      <c r="Y115">
        <v>46</v>
      </c>
      <c r="Z115" t="s">
        <v>7</v>
      </c>
      <c r="AA115" t="s">
        <v>8</v>
      </c>
      <c r="AC115" t="s">
        <v>32</v>
      </c>
      <c r="AD115">
        <v>423</v>
      </c>
    </row>
    <row r="116" spans="1:30" x14ac:dyDescent="0.3">
      <c r="A116">
        <v>13592838</v>
      </c>
      <c r="B116" s="3">
        <v>45664</v>
      </c>
      <c r="C116">
        <v>2025</v>
      </c>
      <c r="D116">
        <v>1</v>
      </c>
      <c r="E116" t="s">
        <v>1579</v>
      </c>
      <c r="F116" t="s">
        <v>0</v>
      </c>
      <c r="G116" t="s">
        <v>1</v>
      </c>
      <c r="H116" t="b">
        <v>0</v>
      </c>
      <c r="I116" t="b">
        <v>1</v>
      </c>
      <c r="J116" t="b">
        <v>0</v>
      </c>
      <c r="K116" t="b">
        <v>0</v>
      </c>
      <c r="L116" t="s">
        <v>1675</v>
      </c>
      <c r="M116" t="s">
        <v>425</v>
      </c>
      <c r="N116" t="s">
        <v>118</v>
      </c>
      <c r="O116" t="b">
        <v>0</v>
      </c>
      <c r="P116">
        <v>12</v>
      </c>
      <c r="Q116" t="s">
        <v>222</v>
      </c>
      <c r="R116" t="s">
        <v>223</v>
      </c>
      <c r="S116">
        <v>48</v>
      </c>
      <c r="T116" t="s">
        <v>138</v>
      </c>
      <c r="U116" t="s">
        <v>224</v>
      </c>
      <c r="V116" t="s">
        <v>38</v>
      </c>
      <c r="W116">
        <v>23</v>
      </c>
      <c r="X116" t="s">
        <v>6</v>
      </c>
      <c r="Y116">
        <v>55</v>
      </c>
      <c r="Z116" t="s">
        <v>7</v>
      </c>
      <c r="AA116" t="s">
        <v>15</v>
      </c>
      <c r="AC116" t="s">
        <v>56</v>
      </c>
      <c r="AD116">
        <v>445</v>
      </c>
    </row>
    <row r="117" spans="1:30" x14ac:dyDescent="0.3">
      <c r="A117">
        <v>13611336</v>
      </c>
      <c r="B117" s="3">
        <v>45664</v>
      </c>
      <c r="C117">
        <v>2025</v>
      </c>
      <c r="D117">
        <v>1</v>
      </c>
      <c r="E117" t="s">
        <v>1579</v>
      </c>
      <c r="F117" t="s">
        <v>0</v>
      </c>
      <c r="G117" t="s">
        <v>10</v>
      </c>
      <c r="H117" t="b">
        <v>0</v>
      </c>
      <c r="I117" t="b">
        <v>0</v>
      </c>
      <c r="J117" t="b">
        <v>0</v>
      </c>
      <c r="K117" t="b">
        <v>0</v>
      </c>
      <c r="L117" t="s">
        <v>1676</v>
      </c>
      <c r="M117" t="s">
        <v>166</v>
      </c>
      <c r="N117" t="s">
        <v>5</v>
      </c>
      <c r="O117" t="b">
        <v>0</v>
      </c>
      <c r="P117">
        <v>2</v>
      </c>
      <c r="Q117" t="s">
        <v>1562</v>
      </c>
      <c r="R117" t="s">
        <v>1563</v>
      </c>
      <c r="S117">
        <v>48</v>
      </c>
      <c r="T117" t="s">
        <v>5</v>
      </c>
      <c r="U117" t="s">
        <v>106</v>
      </c>
      <c r="V117" t="s">
        <v>1564</v>
      </c>
      <c r="W117">
        <v>1</v>
      </c>
      <c r="X117" t="s">
        <v>31</v>
      </c>
      <c r="Z117" t="s">
        <v>5</v>
      </c>
      <c r="AA117" t="s">
        <v>5</v>
      </c>
      <c r="AC117" t="s">
        <v>716</v>
      </c>
      <c r="AD117">
        <v>445</v>
      </c>
    </row>
    <row r="118" spans="1:30" x14ac:dyDescent="0.3">
      <c r="A118">
        <v>13613554</v>
      </c>
      <c r="B118" s="3">
        <v>45664</v>
      </c>
      <c r="C118">
        <v>2025</v>
      </c>
      <c r="D118">
        <v>1</v>
      </c>
      <c r="E118" t="s">
        <v>1579</v>
      </c>
      <c r="F118" t="s">
        <v>0</v>
      </c>
      <c r="G118" t="s">
        <v>1</v>
      </c>
      <c r="H118" t="b">
        <v>0</v>
      </c>
      <c r="I118" t="b">
        <v>1</v>
      </c>
      <c r="J118" t="b">
        <v>0</v>
      </c>
      <c r="K118" t="b">
        <v>0</v>
      </c>
      <c r="L118" t="s">
        <v>551</v>
      </c>
      <c r="M118" t="s">
        <v>551</v>
      </c>
      <c r="N118" t="s">
        <v>12</v>
      </c>
      <c r="O118" t="b">
        <v>1</v>
      </c>
      <c r="P118">
        <v>1</v>
      </c>
      <c r="Q118" t="s">
        <v>181</v>
      </c>
      <c r="R118" t="s">
        <v>182</v>
      </c>
      <c r="S118">
        <v>58</v>
      </c>
      <c r="T118" t="s">
        <v>291</v>
      </c>
      <c r="U118" t="s">
        <v>184</v>
      </c>
      <c r="V118" t="s">
        <v>5</v>
      </c>
      <c r="W118">
        <v>6</v>
      </c>
      <c r="X118" t="s">
        <v>6</v>
      </c>
      <c r="Y118">
        <v>17</v>
      </c>
      <c r="Z118" t="s">
        <v>19</v>
      </c>
      <c r="AA118" t="s">
        <v>8</v>
      </c>
      <c r="AB118">
        <v>63.4</v>
      </c>
      <c r="AC118" t="s">
        <v>32</v>
      </c>
      <c r="AD118">
        <v>445</v>
      </c>
    </row>
    <row r="119" spans="1:30" x14ac:dyDescent="0.3">
      <c r="A119">
        <v>13654425</v>
      </c>
      <c r="B119" s="3">
        <v>45677</v>
      </c>
      <c r="C119">
        <v>2025</v>
      </c>
      <c r="D119">
        <v>1</v>
      </c>
      <c r="E119" t="s">
        <v>1579</v>
      </c>
      <c r="F119" t="s">
        <v>0</v>
      </c>
      <c r="G119" t="s">
        <v>1</v>
      </c>
      <c r="H119" t="b">
        <v>0</v>
      </c>
      <c r="I119" t="b">
        <v>1</v>
      </c>
      <c r="J119" t="b">
        <v>0</v>
      </c>
      <c r="K119" t="b">
        <v>0</v>
      </c>
      <c r="L119" t="s">
        <v>1677</v>
      </c>
      <c r="M119" t="s">
        <v>1500</v>
      </c>
      <c r="N119" t="s">
        <v>12</v>
      </c>
      <c r="O119" t="b">
        <v>1</v>
      </c>
      <c r="P119">
        <v>3</v>
      </c>
      <c r="Q119" t="s">
        <v>78</v>
      </c>
      <c r="R119" t="s">
        <v>79</v>
      </c>
      <c r="S119">
        <v>65</v>
      </c>
      <c r="T119" t="s">
        <v>1448</v>
      </c>
      <c r="U119" t="s">
        <v>81</v>
      </c>
      <c r="V119" t="s">
        <v>82</v>
      </c>
      <c r="W119">
        <v>6</v>
      </c>
      <c r="X119" t="s">
        <v>6</v>
      </c>
      <c r="Y119">
        <v>23</v>
      </c>
      <c r="Z119" t="s">
        <v>61</v>
      </c>
      <c r="AA119" t="s">
        <v>8</v>
      </c>
      <c r="AC119" t="s">
        <v>116</v>
      </c>
      <c r="AD119">
        <v>432</v>
      </c>
    </row>
    <row r="120" spans="1:30" x14ac:dyDescent="0.3">
      <c r="A120">
        <v>13664275</v>
      </c>
      <c r="B120" s="3">
        <v>45684</v>
      </c>
      <c r="C120">
        <v>2025</v>
      </c>
      <c r="D120">
        <v>1</v>
      </c>
      <c r="E120" t="s">
        <v>1579</v>
      </c>
      <c r="F120" t="s">
        <v>0</v>
      </c>
      <c r="G120" t="s">
        <v>10</v>
      </c>
      <c r="H120" t="b">
        <v>0</v>
      </c>
      <c r="I120" t="b">
        <v>0</v>
      </c>
      <c r="J120" t="b">
        <v>0</v>
      </c>
      <c r="K120" t="b">
        <v>0</v>
      </c>
      <c r="L120" t="s">
        <v>1678</v>
      </c>
      <c r="M120" t="s">
        <v>1298</v>
      </c>
      <c r="N120" t="s">
        <v>140</v>
      </c>
      <c r="O120" t="b">
        <v>0</v>
      </c>
      <c r="P120">
        <v>7</v>
      </c>
      <c r="Q120" t="s">
        <v>208</v>
      </c>
      <c r="R120" t="s">
        <v>209</v>
      </c>
      <c r="S120">
        <v>48</v>
      </c>
      <c r="T120" t="s">
        <v>80</v>
      </c>
      <c r="U120" t="s">
        <v>210</v>
      </c>
      <c r="V120" t="s">
        <v>5</v>
      </c>
      <c r="W120">
        <v>3</v>
      </c>
      <c r="X120" t="s">
        <v>14</v>
      </c>
      <c r="Y120">
        <v>65</v>
      </c>
      <c r="Z120" t="s">
        <v>7</v>
      </c>
      <c r="AA120" t="s">
        <v>8</v>
      </c>
      <c r="AB120">
        <v>61.5</v>
      </c>
      <c r="AC120" t="s">
        <v>9</v>
      </c>
      <c r="AD120">
        <v>425</v>
      </c>
    </row>
    <row r="121" spans="1:30" x14ac:dyDescent="0.3">
      <c r="A121">
        <v>13678229</v>
      </c>
      <c r="B121" s="3">
        <v>45685</v>
      </c>
      <c r="C121">
        <v>2025</v>
      </c>
      <c r="D121">
        <v>1</v>
      </c>
      <c r="E121" t="s">
        <v>1579</v>
      </c>
      <c r="F121" t="s">
        <v>0</v>
      </c>
      <c r="G121" t="s">
        <v>10</v>
      </c>
      <c r="H121" t="b">
        <v>0</v>
      </c>
      <c r="I121" t="b">
        <v>0</v>
      </c>
      <c r="J121" t="b">
        <v>0</v>
      </c>
      <c r="K121" t="b">
        <v>0</v>
      </c>
      <c r="L121" t="s">
        <v>1679</v>
      </c>
      <c r="M121" t="s">
        <v>206</v>
      </c>
      <c r="N121" t="s">
        <v>140</v>
      </c>
      <c r="O121" t="b">
        <v>0</v>
      </c>
      <c r="P121">
        <v>12</v>
      </c>
      <c r="Q121" t="s">
        <v>320</v>
      </c>
      <c r="R121" t="s">
        <v>321</v>
      </c>
      <c r="S121">
        <v>58</v>
      </c>
      <c r="T121" t="s">
        <v>594</v>
      </c>
      <c r="U121" t="s">
        <v>4</v>
      </c>
      <c r="V121" t="s">
        <v>322</v>
      </c>
      <c r="W121">
        <v>12</v>
      </c>
      <c r="X121" t="s">
        <v>6</v>
      </c>
      <c r="Y121">
        <v>56</v>
      </c>
      <c r="Z121" t="s">
        <v>7</v>
      </c>
      <c r="AA121" t="s">
        <v>8</v>
      </c>
      <c r="AC121" t="s">
        <v>9</v>
      </c>
      <c r="AD121">
        <v>424</v>
      </c>
    </row>
    <row r="122" spans="1:30" x14ac:dyDescent="0.3">
      <c r="A122">
        <v>13699864</v>
      </c>
      <c r="B122" s="3">
        <v>45687</v>
      </c>
      <c r="C122">
        <v>2025</v>
      </c>
      <c r="D122">
        <v>1</v>
      </c>
      <c r="E122" t="s">
        <v>1579</v>
      </c>
      <c r="F122" t="s">
        <v>0</v>
      </c>
      <c r="G122" t="s">
        <v>1</v>
      </c>
      <c r="H122" t="b">
        <v>0</v>
      </c>
      <c r="I122" t="b">
        <v>1</v>
      </c>
      <c r="J122" t="b">
        <v>0</v>
      </c>
      <c r="K122" t="b">
        <v>0</v>
      </c>
      <c r="L122" t="s">
        <v>1680</v>
      </c>
      <c r="M122" t="s">
        <v>62</v>
      </c>
      <c r="N122" t="s">
        <v>140</v>
      </c>
      <c r="O122" t="b">
        <v>0</v>
      </c>
      <c r="P122">
        <v>33</v>
      </c>
      <c r="Q122" t="s">
        <v>135</v>
      </c>
      <c r="R122" t="s">
        <v>136</v>
      </c>
      <c r="S122">
        <v>58</v>
      </c>
      <c r="T122" t="s">
        <v>62</v>
      </c>
      <c r="U122" t="s">
        <v>81</v>
      </c>
      <c r="V122" t="s">
        <v>137</v>
      </c>
      <c r="W122">
        <v>36</v>
      </c>
      <c r="X122" t="s">
        <v>6</v>
      </c>
      <c r="Y122">
        <v>65</v>
      </c>
      <c r="Z122" t="s">
        <v>7</v>
      </c>
      <c r="AA122" t="s">
        <v>8</v>
      </c>
      <c r="AB122">
        <v>88</v>
      </c>
      <c r="AC122" t="s">
        <v>9</v>
      </c>
      <c r="AD122">
        <v>422</v>
      </c>
    </row>
    <row r="123" spans="1:30" x14ac:dyDescent="0.3">
      <c r="A123">
        <v>13717852</v>
      </c>
      <c r="B123" s="3">
        <v>45674</v>
      </c>
      <c r="C123">
        <v>2025</v>
      </c>
      <c r="D123">
        <v>1</v>
      </c>
      <c r="E123" t="s">
        <v>1579</v>
      </c>
      <c r="F123" t="s">
        <v>0</v>
      </c>
      <c r="G123" t="s">
        <v>1</v>
      </c>
      <c r="H123" t="b">
        <v>0</v>
      </c>
      <c r="I123" t="b">
        <v>1</v>
      </c>
      <c r="J123" t="b">
        <v>0</v>
      </c>
      <c r="K123" t="b">
        <v>0</v>
      </c>
      <c r="L123" t="s">
        <v>1681</v>
      </c>
      <c r="M123" t="s">
        <v>179</v>
      </c>
      <c r="N123" t="s">
        <v>5</v>
      </c>
      <c r="O123" t="b">
        <v>0</v>
      </c>
      <c r="P123">
        <v>5</v>
      </c>
      <c r="Q123" t="s">
        <v>323</v>
      </c>
      <c r="R123" t="s">
        <v>324</v>
      </c>
      <c r="S123">
        <v>42</v>
      </c>
      <c r="T123" t="s">
        <v>257</v>
      </c>
      <c r="U123" t="s">
        <v>325</v>
      </c>
      <c r="V123" t="s">
        <v>326</v>
      </c>
      <c r="W123">
        <v>6</v>
      </c>
      <c r="X123" t="s">
        <v>6</v>
      </c>
      <c r="Z123" t="s">
        <v>5</v>
      </c>
      <c r="AA123" t="s">
        <v>5</v>
      </c>
      <c r="AC123" t="s">
        <v>154</v>
      </c>
      <c r="AD123">
        <v>435</v>
      </c>
    </row>
    <row r="124" spans="1:30" x14ac:dyDescent="0.3">
      <c r="A124">
        <v>13729008</v>
      </c>
      <c r="B124" s="3">
        <v>45660</v>
      </c>
      <c r="C124">
        <v>2025</v>
      </c>
      <c r="D124">
        <v>1</v>
      </c>
      <c r="E124" t="s">
        <v>1579</v>
      </c>
      <c r="F124" t="s">
        <v>125</v>
      </c>
      <c r="G124" t="s">
        <v>10</v>
      </c>
      <c r="H124" t="b">
        <v>0</v>
      </c>
      <c r="I124" t="b">
        <v>0</v>
      </c>
      <c r="J124" t="b">
        <v>0</v>
      </c>
      <c r="K124" t="b">
        <v>0</v>
      </c>
      <c r="L124" t="s">
        <v>192</v>
      </c>
      <c r="M124" t="s">
        <v>192</v>
      </c>
      <c r="N124" t="s">
        <v>5</v>
      </c>
      <c r="O124" t="b">
        <v>0</v>
      </c>
      <c r="P124">
        <v>1</v>
      </c>
      <c r="Q124" t="s">
        <v>467</v>
      </c>
      <c r="R124" t="s">
        <v>468</v>
      </c>
      <c r="S124" t="s">
        <v>5</v>
      </c>
      <c r="T124" t="s">
        <v>5</v>
      </c>
      <c r="U124" t="s">
        <v>469</v>
      </c>
      <c r="V124" t="s">
        <v>5</v>
      </c>
      <c r="W124">
        <v>3</v>
      </c>
      <c r="X124" t="s">
        <v>14</v>
      </c>
      <c r="Y124">
        <v>79</v>
      </c>
      <c r="Z124" t="s">
        <v>67</v>
      </c>
      <c r="AA124" t="s">
        <v>8</v>
      </c>
      <c r="AC124" t="s">
        <v>32</v>
      </c>
      <c r="AD124">
        <v>449</v>
      </c>
    </row>
    <row r="125" spans="1:30" x14ac:dyDescent="0.3">
      <c r="A125">
        <v>13732922</v>
      </c>
      <c r="B125" s="3">
        <v>45681</v>
      </c>
      <c r="C125">
        <v>2025</v>
      </c>
      <c r="D125">
        <v>1</v>
      </c>
      <c r="E125" t="s">
        <v>1579</v>
      </c>
      <c r="F125" t="s">
        <v>0</v>
      </c>
      <c r="G125" t="s">
        <v>10</v>
      </c>
      <c r="H125" t="b">
        <v>0</v>
      </c>
      <c r="I125" t="b">
        <v>0</v>
      </c>
      <c r="J125" t="b">
        <v>0</v>
      </c>
      <c r="K125" t="b">
        <v>0</v>
      </c>
      <c r="L125" t="s">
        <v>1682</v>
      </c>
      <c r="M125" t="s">
        <v>833</v>
      </c>
      <c r="N125" t="s">
        <v>70</v>
      </c>
      <c r="O125" t="b">
        <v>0</v>
      </c>
      <c r="P125">
        <v>35</v>
      </c>
      <c r="Q125" t="s">
        <v>141</v>
      </c>
      <c r="R125" t="s">
        <v>142</v>
      </c>
      <c r="S125">
        <v>48</v>
      </c>
      <c r="T125" t="s">
        <v>143</v>
      </c>
      <c r="U125" t="s">
        <v>144</v>
      </c>
      <c r="V125" t="s">
        <v>5</v>
      </c>
      <c r="W125">
        <v>27</v>
      </c>
      <c r="X125" t="s">
        <v>6</v>
      </c>
      <c r="Y125">
        <v>41</v>
      </c>
      <c r="Z125" t="s">
        <v>7</v>
      </c>
      <c r="AA125" t="s">
        <v>8</v>
      </c>
      <c r="AC125" t="s">
        <v>32</v>
      </c>
      <c r="AD125">
        <v>428</v>
      </c>
    </row>
    <row r="126" spans="1:30" x14ac:dyDescent="0.3">
      <c r="A126">
        <v>13763496</v>
      </c>
      <c r="B126" s="3">
        <v>45670</v>
      </c>
      <c r="C126">
        <v>2025</v>
      </c>
      <c r="D126">
        <v>1</v>
      </c>
      <c r="E126" t="s">
        <v>1579</v>
      </c>
      <c r="F126" t="s">
        <v>0</v>
      </c>
      <c r="G126" t="s">
        <v>10</v>
      </c>
      <c r="H126" t="b">
        <v>0</v>
      </c>
      <c r="I126" t="b">
        <v>0</v>
      </c>
      <c r="J126" t="b">
        <v>0</v>
      </c>
      <c r="K126" t="b">
        <v>0</v>
      </c>
      <c r="L126" t="s">
        <v>1683</v>
      </c>
      <c r="M126" t="s">
        <v>1296</v>
      </c>
      <c r="N126" t="s">
        <v>57</v>
      </c>
      <c r="O126" t="b">
        <v>1</v>
      </c>
      <c r="P126">
        <v>22</v>
      </c>
      <c r="Q126" t="s">
        <v>323</v>
      </c>
      <c r="R126" t="s">
        <v>324</v>
      </c>
      <c r="S126">
        <v>42</v>
      </c>
      <c r="T126" t="s">
        <v>257</v>
      </c>
      <c r="U126" t="s">
        <v>325</v>
      </c>
      <c r="V126" t="s">
        <v>326</v>
      </c>
      <c r="W126">
        <v>1</v>
      </c>
      <c r="X126" t="s">
        <v>31</v>
      </c>
      <c r="Z126" t="s">
        <v>5</v>
      </c>
      <c r="AA126" t="s">
        <v>5</v>
      </c>
      <c r="AC126" t="s">
        <v>154</v>
      </c>
      <c r="AD126">
        <v>439</v>
      </c>
    </row>
    <row r="127" spans="1:30" x14ac:dyDescent="0.3">
      <c r="A127">
        <v>13767883</v>
      </c>
      <c r="B127" s="3">
        <v>45679</v>
      </c>
      <c r="C127">
        <v>2025</v>
      </c>
      <c r="D127">
        <v>1</v>
      </c>
      <c r="E127" t="s">
        <v>1579</v>
      </c>
      <c r="F127" t="s">
        <v>125</v>
      </c>
      <c r="G127" t="s">
        <v>10</v>
      </c>
      <c r="H127" t="b">
        <v>0</v>
      </c>
      <c r="I127" t="b">
        <v>0</v>
      </c>
      <c r="J127" t="b">
        <v>0</v>
      </c>
      <c r="K127" t="b">
        <v>0</v>
      </c>
      <c r="L127" t="s">
        <v>1684</v>
      </c>
      <c r="M127" t="s">
        <v>767</v>
      </c>
      <c r="N127" t="s">
        <v>5</v>
      </c>
      <c r="O127" t="b">
        <v>0</v>
      </c>
      <c r="P127">
        <v>6</v>
      </c>
      <c r="Q127" t="s">
        <v>127</v>
      </c>
      <c r="R127" t="s">
        <v>128</v>
      </c>
      <c r="S127">
        <v>65</v>
      </c>
      <c r="T127" t="s">
        <v>80</v>
      </c>
      <c r="U127" t="s">
        <v>129</v>
      </c>
      <c r="V127" t="s">
        <v>130</v>
      </c>
      <c r="W127">
        <v>8</v>
      </c>
      <c r="X127" t="s">
        <v>6</v>
      </c>
      <c r="Y127">
        <v>61</v>
      </c>
      <c r="Z127" t="s">
        <v>7</v>
      </c>
      <c r="AA127" t="s">
        <v>8</v>
      </c>
      <c r="AC127" t="s">
        <v>32</v>
      </c>
      <c r="AD127">
        <v>430</v>
      </c>
    </row>
    <row r="128" spans="1:30" x14ac:dyDescent="0.3">
      <c r="A128">
        <v>13780844</v>
      </c>
      <c r="B128" s="3">
        <v>45684</v>
      </c>
      <c r="C128">
        <v>2025</v>
      </c>
      <c r="D128">
        <v>1</v>
      </c>
      <c r="E128" t="s">
        <v>1579</v>
      </c>
      <c r="F128" t="s">
        <v>0</v>
      </c>
      <c r="G128" t="s">
        <v>1</v>
      </c>
      <c r="H128" t="b">
        <v>0</v>
      </c>
      <c r="I128" t="b">
        <v>1</v>
      </c>
      <c r="J128" t="b">
        <v>0</v>
      </c>
      <c r="K128" t="b">
        <v>0</v>
      </c>
      <c r="L128" t="s">
        <v>1685</v>
      </c>
      <c r="M128" t="s">
        <v>734</v>
      </c>
      <c r="N128" t="s">
        <v>140</v>
      </c>
      <c r="O128" t="b">
        <v>0</v>
      </c>
      <c r="P128">
        <v>10</v>
      </c>
      <c r="Q128" t="s">
        <v>135</v>
      </c>
      <c r="R128" t="s">
        <v>136</v>
      </c>
      <c r="S128">
        <v>58</v>
      </c>
      <c r="T128" t="s">
        <v>62</v>
      </c>
      <c r="U128" t="s">
        <v>81</v>
      </c>
      <c r="V128" t="s">
        <v>137</v>
      </c>
      <c r="W128">
        <v>8</v>
      </c>
      <c r="X128" t="s">
        <v>6</v>
      </c>
      <c r="Y128">
        <v>67</v>
      </c>
      <c r="Z128" t="s">
        <v>67</v>
      </c>
      <c r="AA128" t="s">
        <v>15</v>
      </c>
      <c r="AC128" t="s">
        <v>9</v>
      </c>
      <c r="AD128">
        <v>425</v>
      </c>
    </row>
    <row r="129" spans="1:30" x14ac:dyDescent="0.3">
      <c r="A129">
        <v>13785319</v>
      </c>
      <c r="B129" s="3">
        <v>45680</v>
      </c>
      <c r="C129">
        <v>2025</v>
      </c>
      <c r="D129">
        <v>1</v>
      </c>
      <c r="E129" t="s">
        <v>1579</v>
      </c>
      <c r="F129" t="s">
        <v>125</v>
      </c>
      <c r="G129" t="s">
        <v>10</v>
      </c>
      <c r="H129" t="b">
        <v>0</v>
      </c>
      <c r="I129" t="b">
        <v>0</v>
      </c>
      <c r="J129" t="b">
        <v>0</v>
      </c>
      <c r="K129" t="b">
        <v>0</v>
      </c>
      <c r="L129" t="s">
        <v>1684</v>
      </c>
      <c r="M129" t="s">
        <v>767</v>
      </c>
      <c r="N129" t="s">
        <v>5</v>
      </c>
      <c r="O129" t="b">
        <v>0</v>
      </c>
      <c r="P129">
        <v>6</v>
      </c>
      <c r="Q129" t="s">
        <v>127</v>
      </c>
      <c r="R129" t="s">
        <v>128</v>
      </c>
      <c r="S129">
        <v>65</v>
      </c>
      <c r="T129" t="s">
        <v>80</v>
      </c>
      <c r="U129" t="s">
        <v>129</v>
      </c>
      <c r="V129" t="s">
        <v>130</v>
      </c>
      <c r="W129">
        <v>8</v>
      </c>
      <c r="X129" t="s">
        <v>6</v>
      </c>
      <c r="Y129">
        <v>61</v>
      </c>
      <c r="Z129" t="s">
        <v>7</v>
      </c>
      <c r="AA129" t="s">
        <v>8</v>
      </c>
      <c r="AC129" t="s">
        <v>32</v>
      </c>
      <c r="AD129">
        <v>429</v>
      </c>
    </row>
    <row r="130" spans="1:30" x14ac:dyDescent="0.3">
      <c r="A130">
        <v>13817226</v>
      </c>
      <c r="B130" s="3">
        <v>45680</v>
      </c>
      <c r="C130">
        <v>2025</v>
      </c>
      <c r="D130">
        <v>1</v>
      </c>
      <c r="E130" t="s">
        <v>1579</v>
      </c>
      <c r="F130" t="s">
        <v>125</v>
      </c>
      <c r="G130" t="s">
        <v>10</v>
      </c>
      <c r="H130" t="b">
        <v>0</v>
      </c>
      <c r="I130" t="b">
        <v>0</v>
      </c>
      <c r="J130" t="b">
        <v>0</v>
      </c>
      <c r="K130" t="b">
        <v>0</v>
      </c>
      <c r="L130" t="s">
        <v>1686</v>
      </c>
      <c r="M130" t="s">
        <v>1104</v>
      </c>
      <c r="N130" t="s">
        <v>5</v>
      </c>
      <c r="O130" t="b">
        <v>0</v>
      </c>
      <c r="P130">
        <v>3</v>
      </c>
      <c r="Q130" t="s">
        <v>289</v>
      </c>
      <c r="R130" t="s">
        <v>290</v>
      </c>
      <c r="S130" t="s">
        <v>5</v>
      </c>
      <c r="T130" t="s">
        <v>183</v>
      </c>
      <c r="U130" t="s">
        <v>271</v>
      </c>
      <c r="V130" t="s">
        <v>292</v>
      </c>
      <c r="W130">
        <v>4</v>
      </c>
      <c r="X130" t="s">
        <v>40</v>
      </c>
      <c r="Y130">
        <v>27</v>
      </c>
      <c r="Z130" t="s">
        <v>61</v>
      </c>
      <c r="AA130" t="s">
        <v>8</v>
      </c>
      <c r="AB130">
        <v>63.491999999999997</v>
      </c>
      <c r="AC130" t="s">
        <v>32</v>
      </c>
      <c r="AD130">
        <v>429</v>
      </c>
    </row>
    <row r="131" spans="1:30" x14ac:dyDescent="0.3">
      <c r="A131">
        <v>13823181</v>
      </c>
      <c r="B131" s="3">
        <v>45688</v>
      </c>
      <c r="C131">
        <v>2025</v>
      </c>
      <c r="D131">
        <v>1</v>
      </c>
      <c r="E131" t="s">
        <v>1579</v>
      </c>
      <c r="F131" t="s">
        <v>0</v>
      </c>
      <c r="G131" t="s">
        <v>16</v>
      </c>
      <c r="H131" t="b">
        <v>0</v>
      </c>
      <c r="I131" t="b">
        <v>1</v>
      </c>
      <c r="J131" t="b">
        <v>1</v>
      </c>
      <c r="K131" t="b">
        <v>0</v>
      </c>
      <c r="L131" t="s">
        <v>1687</v>
      </c>
      <c r="M131" t="s">
        <v>1319</v>
      </c>
      <c r="N131" t="s">
        <v>207</v>
      </c>
      <c r="O131" t="b">
        <v>0</v>
      </c>
      <c r="P131">
        <v>22</v>
      </c>
      <c r="Q131" t="s">
        <v>444</v>
      </c>
      <c r="R131" t="s">
        <v>445</v>
      </c>
      <c r="S131">
        <v>42</v>
      </c>
      <c r="T131" t="s">
        <v>619</v>
      </c>
      <c r="U131" t="s">
        <v>447</v>
      </c>
      <c r="V131" t="s">
        <v>172</v>
      </c>
      <c r="W131">
        <v>4</v>
      </c>
      <c r="X131" t="s">
        <v>40</v>
      </c>
      <c r="Y131">
        <v>60</v>
      </c>
      <c r="Z131" t="s">
        <v>7</v>
      </c>
      <c r="AA131" t="s">
        <v>8</v>
      </c>
      <c r="AC131" t="s">
        <v>101</v>
      </c>
      <c r="AD131">
        <v>421</v>
      </c>
    </row>
    <row r="132" spans="1:30" x14ac:dyDescent="0.3">
      <c r="A132">
        <v>13842892</v>
      </c>
      <c r="B132" s="3">
        <v>45659</v>
      </c>
      <c r="C132">
        <v>2025</v>
      </c>
      <c r="D132">
        <v>1</v>
      </c>
      <c r="E132" t="s">
        <v>1579</v>
      </c>
      <c r="F132" t="s">
        <v>0</v>
      </c>
      <c r="G132" t="s">
        <v>10</v>
      </c>
      <c r="H132" t="b">
        <v>0</v>
      </c>
      <c r="I132" t="b">
        <v>0</v>
      </c>
      <c r="J132" t="b">
        <v>0</v>
      </c>
      <c r="K132" t="b">
        <v>0</v>
      </c>
      <c r="L132" t="s">
        <v>404</v>
      </c>
      <c r="M132" t="s">
        <v>404</v>
      </c>
      <c r="N132" t="s">
        <v>5</v>
      </c>
      <c r="O132" t="b">
        <v>0</v>
      </c>
      <c r="P132">
        <v>1</v>
      </c>
      <c r="Q132" t="s">
        <v>169</v>
      </c>
      <c r="R132" t="s">
        <v>170</v>
      </c>
      <c r="S132">
        <v>41</v>
      </c>
      <c r="T132" t="s">
        <v>446</v>
      </c>
      <c r="U132" t="s">
        <v>106</v>
      </c>
      <c r="V132" t="s">
        <v>172</v>
      </c>
      <c r="W132">
        <v>1</v>
      </c>
      <c r="X132" t="s">
        <v>31</v>
      </c>
      <c r="Z132" t="s">
        <v>5</v>
      </c>
      <c r="AA132" t="s">
        <v>5</v>
      </c>
      <c r="AC132" t="s">
        <v>20</v>
      </c>
      <c r="AD132">
        <v>450</v>
      </c>
    </row>
    <row r="133" spans="1:30" x14ac:dyDescent="0.3">
      <c r="A133">
        <v>13857644</v>
      </c>
      <c r="B133" s="3">
        <v>45659</v>
      </c>
      <c r="C133">
        <v>2025</v>
      </c>
      <c r="D133">
        <v>1</v>
      </c>
      <c r="E133" t="s">
        <v>1579</v>
      </c>
      <c r="F133" t="s">
        <v>0</v>
      </c>
      <c r="G133" t="s">
        <v>1</v>
      </c>
      <c r="H133" t="b">
        <v>0</v>
      </c>
      <c r="I133" t="b">
        <v>1</v>
      </c>
      <c r="J133" t="b">
        <v>0</v>
      </c>
      <c r="K133" t="b">
        <v>0</v>
      </c>
      <c r="L133" t="s">
        <v>1688</v>
      </c>
      <c r="M133" t="s">
        <v>76</v>
      </c>
      <c r="N133" t="s">
        <v>118</v>
      </c>
      <c r="O133" t="b">
        <v>0</v>
      </c>
      <c r="P133">
        <v>24</v>
      </c>
      <c r="Q133" t="s">
        <v>135</v>
      </c>
      <c r="R133" t="s">
        <v>136</v>
      </c>
      <c r="S133">
        <v>58</v>
      </c>
      <c r="T133" t="s">
        <v>62</v>
      </c>
      <c r="U133" t="s">
        <v>81</v>
      </c>
      <c r="V133" t="s">
        <v>137</v>
      </c>
      <c r="W133">
        <v>14</v>
      </c>
      <c r="X133" t="s">
        <v>6</v>
      </c>
      <c r="Y133">
        <v>66</v>
      </c>
      <c r="Z133" t="s">
        <v>67</v>
      </c>
      <c r="AA133" t="s">
        <v>8</v>
      </c>
      <c r="AC133" t="s">
        <v>9</v>
      </c>
      <c r="AD133">
        <v>450</v>
      </c>
    </row>
    <row r="134" spans="1:30" x14ac:dyDescent="0.3">
      <c r="A134">
        <v>13862740</v>
      </c>
      <c r="B134" s="3">
        <v>45673</v>
      </c>
      <c r="C134">
        <v>2025</v>
      </c>
      <c r="D134">
        <v>1</v>
      </c>
      <c r="E134" t="s">
        <v>1579</v>
      </c>
      <c r="F134" t="s">
        <v>0</v>
      </c>
      <c r="G134" t="s">
        <v>1</v>
      </c>
      <c r="H134" t="b">
        <v>0</v>
      </c>
      <c r="I134" t="b">
        <v>1</v>
      </c>
      <c r="J134" t="b">
        <v>0</v>
      </c>
      <c r="K134" t="b">
        <v>0</v>
      </c>
      <c r="L134" t="s">
        <v>1689</v>
      </c>
      <c r="M134" t="s">
        <v>838</v>
      </c>
      <c r="N134" t="s">
        <v>17</v>
      </c>
      <c r="O134" t="b">
        <v>0</v>
      </c>
      <c r="P134">
        <v>18</v>
      </c>
      <c r="Q134" t="s">
        <v>135</v>
      </c>
      <c r="R134" t="s">
        <v>136</v>
      </c>
      <c r="S134">
        <v>58</v>
      </c>
      <c r="T134" t="s">
        <v>299</v>
      </c>
      <c r="U134" t="s">
        <v>81</v>
      </c>
      <c r="V134" t="s">
        <v>137</v>
      </c>
      <c r="W134">
        <v>18</v>
      </c>
      <c r="X134" t="s">
        <v>6</v>
      </c>
      <c r="Y134">
        <v>57</v>
      </c>
      <c r="Z134" t="s">
        <v>7</v>
      </c>
      <c r="AA134" t="s">
        <v>8</v>
      </c>
      <c r="AC134" t="s">
        <v>9</v>
      </c>
      <c r="AD134">
        <v>436</v>
      </c>
    </row>
    <row r="135" spans="1:30" x14ac:dyDescent="0.3">
      <c r="A135">
        <v>13864928</v>
      </c>
      <c r="B135" s="3">
        <v>45688</v>
      </c>
      <c r="C135">
        <v>2025</v>
      </c>
      <c r="D135">
        <v>1</v>
      </c>
      <c r="E135" t="s">
        <v>1579</v>
      </c>
      <c r="F135" t="s">
        <v>0</v>
      </c>
      <c r="G135" t="s">
        <v>10</v>
      </c>
      <c r="H135" t="b">
        <v>0</v>
      </c>
      <c r="I135" t="b">
        <v>0</v>
      </c>
      <c r="J135" t="b">
        <v>0</v>
      </c>
      <c r="K135" t="b">
        <v>0</v>
      </c>
      <c r="L135" t="s">
        <v>1690</v>
      </c>
      <c r="M135" t="s">
        <v>1577</v>
      </c>
      <c r="N135" t="s">
        <v>5</v>
      </c>
      <c r="O135" t="b">
        <v>0</v>
      </c>
      <c r="P135">
        <v>3</v>
      </c>
      <c r="Q135" t="s">
        <v>1691</v>
      </c>
      <c r="R135" t="s">
        <v>1692</v>
      </c>
      <c r="S135" t="s">
        <v>5</v>
      </c>
      <c r="T135" t="s">
        <v>5</v>
      </c>
      <c r="U135" t="s">
        <v>1693</v>
      </c>
      <c r="V135" t="s">
        <v>5</v>
      </c>
      <c r="W135">
        <v>1</v>
      </c>
      <c r="X135" t="s">
        <v>31</v>
      </c>
      <c r="Z135" t="s">
        <v>5</v>
      </c>
      <c r="AA135" t="s">
        <v>5</v>
      </c>
      <c r="AC135" t="s">
        <v>32</v>
      </c>
      <c r="AD135">
        <v>421</v>
      </c>
    </row>
    <row r="136" spans="1:30" x14ac:dyDescent="0.3">
      <c r="A136">
        <v>13875851</v>
      </c>
      <c r="B136" s="3">
        <v>45658</v>
      </c>
      <c r="C136">
        <v>2025</v>
      </c>
      <c r="D136">
        <v>1</v>
      </c>
      <c r="E136" t="s">
        <v>1579</v>
      </c>
      <c r="F136" t="s">
        <v>125</v>
      </c>
      <c r="G136" t="s">
        <v>10</v>
      </c>
      <c r="H136" t="b">
        <v>0</v>
      </c>
      <c r="I136" t="b">
        <v>0</v>
      </c>
      <c r="J136" t="b">
        <v>0</v>
      </c>
      <c r="K136" t="b">
        <v>0</v>
      </c>
      <c r="L136" t="s">
        <v>1694</v>
      </c>
      <c r="M136" t="s">
        <v>417</v>
      </c>
      <c r="N136" t="s">
        <v>5</v>
      </c>
      <c r="O136" t="b">
        <v>0</v>
      </c>
      <c r="P136">
        <v>2</v>
      </c>
      <c r="Q136" t="s">
        <v>127</v>
      </c>
      <c r="R136" t="s">
        <v>128</v>
      </c>
      <c r="S136">
        <v>65</v>
      </c>
      <c r="T136" t="s">
        <v>80</v>
      </c>
      <c r="U136" t="s">
        <v>129</v>
      </c>
      <c r="V136" t="s">
        <v>130</v>
      </c>
      <c r="W136">
        <v>6</v>
      </c>
      <c r="X136" t="s">
        <v>6</v>
      </c>
      <c r="Y136">
        <v>59</v>
      </c>
      <c r="Z136" t="s">
        <v>7</v>
      </c>
      <c r="AA136" t="s">
        <v>8</v>
      </c>
      <c r="AC136" t="s">
        <v>32</v>
      </c>
      <c r="AD136">
        <v>451</v>
      </c>
    </row>
    <row r="137" spans="1:30" x14ac:dyDescent="0.3">
      <c r="A137">
        <v>13895633</v>
      </c>
      <c r="B137" s="3">
        <v>45674</v>
      </c>
      <c r="C137">
        <v>2025</v>
      </c>
      <c r="D137">
        <v>1</v>
      </c>
      <c r="E137" t="s">
        <v>1579</v>
      </c>
      <c r="F137" t="s">
        <v>0</v>
      </c>
      <c r="G137" t="s">
        <v>1</v>
      </c>
      <c r="H137" t="b">
        <v>0</v>
      </c>
      <c r="I137" t="b">
        <v>1</v>
      </c>
      <c r="J137" t="b">
        <v>0</v>
      </c>
      <c r="K137" t="b">
        <v>0</v>
      </c>
      <c r="L137" t="s">
        <v>1695</v>
      </c>
      <c r="M137" t="s">
        <v>756</v>
      </c>
      <c r="N137" t="s">
        <v>63</v>
      </c>
      <c r="O137" t="b">
        <v>0</v>
      </c>
      <c r="P137">
        <v>4</v>
      </c>
      <c r="Q137" t="s">
        <v>18</v>
      </c>
      <c r="R137" t="s">
        <v>5</v>
      </c>
      <c r="S137" t="s">
        <v>5</v>
      </c>
      <c r="T137" t="s">
        <v>1174</v>
      </c>
      <c r="U137" t="s">
        <v>5</v>
      </c>
      <c r="V137" t="s">
        <v>5</v>
      </c>
      <c r="W137">
        <v>2</v>
      </c>
      <c r="X137" t="s">
        <v>14</v>
      </c>
      <c r="Y137">
        <v>19</v>
      </c>
      <c r="Z137" t="s">
        <v>61</v>
      </c>
      <c r="AA137" t="s">
        <v>8</v>
      </c>
      <c r="AC137" t="s">
        <v>32</v>
      </c>
      <c r="AD137">
        <v>435</v>
      </c>
    </row>
    <row r="138" spans="1:30" x14ac:dyDescent="0.3">
      <c r="A138">
        <v>13906436</v>
      </c>
      <c r="B138" s="3">
        <v>45681</v>
      </c>
      <c r="C138">
        <v>2025</v>
      </c>
      <c r="D138">
        <v>1</v>
      </c>
      <c r="E138" t="s">
        <v>1579</v>
      </c>
      <c r="F138" t="s">
        <v>0</v>
      </c>
      <c r="G138" t="s">
        <v>1</v>
      </c>
      <c r="H138" t="b">
        <v>0</v>
      </c>
      <c r="I138" t="b">
        <v>1</v>
      </c>
      <c r="J138" t="b">
        <v>0</v>
      </c>
      <c r="K138" t="b">
        <v>0</v>
      </c>
      <c r="L138" t="s">
        <v>1696</v>
      </c>
      <c r="M138" t="s">
        <v>381</v>
      </c>
      <c r="N138" t="s">
        <v>5</v>
      </c>
      <c r="O138" t="b">
        <v>0</v>
      </c>
      <c r="P138">
        <v>3</v>
      </c>
      <c r="Q138" t="s">
        <v>1079</v>
      </c>
      <c r="R138" t="s">
        <v>1080</v>
      </c>
      <c r="S138">
        <v>48</v>
      </c>
      <c r="T138" t="s">
        <v>5</v>
      </c>
      <c r="U138" t="s">
        <v>969</v>
      </c>
      <c r="V138" t="s">
        <v>248</v>
      </c>
      <c r="W138">
        <v>2</v>
      </c>
      <c r="X138" t="s">
        <v>14</v>
      </c>
      <c r="Z138" t="s">
        <v>5</v>
      </c>
      <c r="AA138" t="s">
        <v>15</v>
      </c>
      <c r="AC138" t="s">
        <v>20</v>
      </c>
      <c r="AD138">
        <v>428</v>
      </c>
    </row>
    <row r="139" spans="1:30" x14ac:dyDescent="0.3">
      <c r="A139">
        <v>13917421</v>
      </c>
      <c r="B139" s="3">
        <v>45664</v>
      </c>
      <c r="C139">
        <v>2025</v>
      </c>
      <c r="D139">
        <v>1</v>
      </c>
      <c r="E139" t="s">
        <v>1579</v>
      </c>
      <c r="F139" t="s">
        <v>0</v>
      </c>
      <c r="G139" t="s">
        <v>50</v>
      </c>
      <c r="H139" t="b">
        <v>1</v>
      </c>
      <c r="I139" t="b">
        <v>0</v>
      </c>
      <c r="J139" t="b">
        <v>0</v>
      </c>
      <c r="K139" t="b">
        <v>0</v>
      </c>
      <c r="L139" t="s">
        <v>1697</v>
      </c>
      <c r="M139" t="s">
        <v>646</v>
      </c>
      <c r="N139" t="s">
        <v>63</v>
      </c>
      <c r="O139" t="b">
        <v>0</v>
      </c>
      <c r="P139">
        <v>16</v>
      </c>
      <c r="Q139" t="s">
        <v>632</v>
      </c>
      <c r="R139" t="s">
        <v>633</v>
      </c>
      <c r="S139">
        <v>65</v>
      </c>
      <c r="T139" t="s">
        <v>83</v>
      </c>
      <c r="U139" t="s">
        <v>634</v>
      </c>
      <c r="V139" t="s">
        <v>5</v>
      </c>
      <c r="W139">
        <v>23</v>
      </c>
      <c r="X139" t="s">
        <v>6</v>
      </c>
      <c r="Y139">
        <v>44</v>
      </c>
      <c r="Z139" t="s">
        <v>7</v>
      </c>
      <c r="AA139" t="s">
        <v>8</v>
      </c>
      <c r="AC139" t="s">
        <v>56</v>
      </c>
      <c r="AD139">
        <v>445</v>
      </c>
    </row>
    <row r="140" spans="1:30" x14ac:dyDescent="0.3">
      <c r="A140">
        <v>13952090</v>
      </c>
      <c r="B140" s="3">
        <v>45680</v>
      </c>
      <c r="C140">
        <v>2025</v>
      </c>
      <c r="D140">
        <v>1</v>
      </c>
      <c r="E140" t="s">
        <v>1579</v>
      </c>
      <c r="F140" t="s">
        <v>0</v>
      </c>
      <c r="G140" t="s">
        <v>1</v>
      </c>
      <c r="H140" t="b">
        <v>0</v>
      </c>
      <c r="I140" t="b">
        <v>1</v>
      </c>
      <c r="J140" t="b">
        <v>0</v>
      </c>
      <c r="K140" t="b">
        <v>0</v>
      </c>
      <c r="L140" t="s">
        <v>1698</v>
      </c>
      <c r="M140" t="s">
        <v>206</v>
      </c>
      <c r="N140" t="s">
        <v>118</v>
      </c>
      <c r="O140" t="b">
        <v>0</v>
      </c>
      <c r="P140">
        <v>6</v>
      </c>
      <c r="Q140" t="s">
        <v>175</v>
      </c>
      <c r="R140" t="s">
        <v>176</v>
      </c>
      <c r="S140">
        <v>50</v>
      </c>
      <c r="T140" t="s">
        <v>150</v>
      </c>
      <c r="U140" t="s">
        <v>177</v>
      </c>
      <c r="V140" t="s">
        <v>178</v>
      </c>
      <c r="W140">
        <v>15</v>
      </c>
      <c r="X140" t="s">
        <v>6</v>
      </c>
      <c r="Z140" t="s">
        <v>5</v>
      </c>
      <c r="AA140" t="s">
        <v>8</v>
      </c>
      <c r="AC140" t="s">
        <v>32</v>
      </c>
      <c r="AD140">
        <v>429</v>
      </c>
    </row>
    <row r="141" spans="1:30" x14ac:dyDescent="0.3">
      <c r="A141">
        <v>14032473</v>
      </c>
      <c r="B141" s="3">
        <v>45663</v>
      </c>
      <c r="C141">
        <v>2025</v>
      </c>
      <c r="D141">
        <v>1</v>
      </c>
      <c r="E141" t="s">
        <v>1579</v>
      </c>
      <c r="F141" t="s">
        <v>125</v>
      </c>
      <c r="G141" t="s">
        <v>10</v>
      </c>
      <c r="H141" t="b">
        <v>0</v>
      </c>
      <c r="I141" t="b">
        <v>0</v>
      </c>
      <c r="J141" t="b">
        <v>0</v>
      </c>
      <c r="K141" t="b">
        <v>0</v>
      </c>
      <c r="L141" t="s">
        <v>1699</v>
      </c>
      <c r="M141" t="s">
        <v>192</v>
      </c>
      <c r="N141" t="s">
        <v>5</v>
      </c>
      <c r="O141" t="b">
        <v>0</v>
      </c>
      <c r="P141">
        <v>3</v>
      </c>
      <c r="Q141" t="s">
        <v>226</v>
      </c>
      <c r="R141" t="s">
        <v>227</v>
      </c>
      <c r="S141" t="s">
        <v>5</v>
      </c>
      <c r="T141" t="s">
        <v>80</v>
      </c>
      <c r="U141" t="s">
        <v>228</v>
      </c>
      <c r="V141" t="s">
        <v>5</v>
      </c>
      <c r="W141">
        <v>1</v>
      </c>
      <c r="X141" t="s">
        <v>31</v>
      </c>
      <c r="Y141">
        <v>66</v>
      </c>
      <c r="Z141" t="s">
        <v>67</v>
      </c>
      <c r="AA141" t="s">
        <v>8</v>
      </c>
      <c r="AC141" t="s">
        <v>32</v>
      </c>
      <c r="AD141">
        <v>446</v>
      </c>
    </row>
    <row r="142" spans="1:30" x14ac:dyDescent="0.3">
      <c r="A142">
        <v>14068548</v>
      </c>
      <c r="B142" s="3">
        <v>45665</v>
      </c>
      <c r="C142">
        <v>2025</v>
      </c>
      <c r="D142">
        <v>1</v>
      </c>
      <c r="E142" t="s">
        <v>1579</v>
      </c>
      <c r="F142" t="s">
        <v>0</v>
      </c>
      <c r="G142" t="s">
        <v>1</v>
      </c>
      <c r="H142" t="b">
        <v>0</v>
      </c>
      <c r="I142" t="b">
        <v>1</v>
      </c>
      <c r="J142" t="b">
        <v>0</v>
      </c>
      <c r="K142" t="b">
        <v>0</v>
      </c>
      <c r="L142" t="s">
        <v>1700</v>
      </c>
      <c r="M142" t="s">
        <v>1701</v>
      </c>
      <c r="N142" t="s">
        <v>118</v>
      </c>
      <c r="O142" t="b">
        <v>0</v>
      </c>
      <c r="P142">
        <v>4</v>
      </c>
      <c r="Q142" t="s">
        <v>245</v>
      </c>
      <c r="R142" t="s">
        <v>246</v>
      </c>
      <c r="S142" t="s">
        <v>5</v>
      </c>
      <c r="T142" t="s">
        <v>247</v>
      </c>
      <c r="U142" t="s">
        <v>210</v>
      </c>
      <c r="V142" t="s">
        <v>248</v>
      </c>
      <c r="W142">
        <v>19</v>
      </c>
      <c r="X142" t="s">
        <v>6</v>
      </c>
      <c r="Y142">
        <v>75</v>
      </c>
      <c r="Z142" t="s">
        <v>67</v>
      </c>
      <c r="AA142" t="s">
        <v>8</v>
      </c>
      <c r="AB142">
        <v>75</v>
      </c>
      <c r="AC142" t="s">
        <v>32</v>
      </c>
      <c r="AD142">
        <v>444</v>
      </c>
    </row>
    <row r="143" spans="1:30" x14ac:dyDescent="0.3">
      <c r="A143">
        <v>14072474</v>
      </c>
      <c r="B143" s="3">
        <v>45677</v>
      </c>
      <c r="C143">
        <v>2025</v>
      </c>
      <c r="D143">
        <v>1</v>
      </c>
      <c r="E143" t="s">
        <v>1579</v>
      </c>
      <c r="F143" t="s">
        <v>0</v>
      </c>
      <c r="G143" t="s">
        <v>10</v>
      </c>
      <c r="H143" t="b">
        <v>0</v>
      </c>
      <c r="I143" t="b">
        <v>0</v>
      </c>
      <c r="J143" t="b">
        <v>0</v>
      </c>
      <c r="K143" t="b">
        <v>0</v>
      </c>
      <c r="L143" t="s">
        <v>1702</v>
      </c>
      <c r="M143" t="s">
        <v>708</v>
      </c>
      <c r="N143" t="s">
        <v>118</v>
      </c>
      <c r="O143" t="b">
        <v>0</v>
      </c>
      <c r="P143">
        <v>33</v>
      </c>
      <c r="Q143" t="s">
        <v>455</v>
      </c>
      <c r="R143" t="s">
        <v>456</v>
      </c>
      <c r="S143">
        <v>58</v>
      </c>
      <c r="T143" t="s">
        <v>1285</v>
      </c>
      <c r="U143" t="s">
        <v>23</v>
      </c>
      <c r="V143" t="s">
        <v>458</v>
      </c>
      <c r="W143">
        <v>7</v>
      </c>
      <c r="X143" t="s">
        <v>6</v>
      </c>
      <c r="Y143">
        <v>65</v>
      </c>
      <c r="Z143" t="s">
        <v>7</v>
      </c>
      <c r="AA143" t="s">
        <v>8</v>
      </c>
      <c r="AB143">
        <v>64.400000000000006</v>
      </c>
      <c r="AC143" t="s">
        <v>32</v>
      </c>
      <c r="AD143">
        <v>432</v>
      </c>
    </row>
    <row r="144" spans="1:30" x14ac:dyDescent="0.3">
      <c r="A144">
        <v>14116875</v>
      </c>
      <c r="B144" s="3">
        <v>45664</v>
      </c>
      <c r="C144">
        <v>2025</v>
      </c>
      <c r="D144">
        <v>1</v>
      </c>
      <c r="E144" t="s">
        <v>1579</v>
      </c>
      <c r="F144" t="s">
        <v>0</v>
      </c>
      <c r="G144" t="s">
        <v>50</v>
      </c>
      <c r="H144" t="b">
        <v>1</v>
      </c>
      <c r="I144" t="b">
        <v>0</v>
      </c>
      <c r="J144" t="b">
        <v>0</v>
      </c>
      <c r="K144" t="b">
        <v>0</v>
      </c>
      <c r="L144" t="s">
        <v>1703</v>
      </c>
      <c r="M144" t="s">
        <v>557</v>
      </c>
      <c r="N144" t="s">
        <v>5</v>
      </c>
      <c r="O144" t="b">
        <v>0</v>
      </c>
      <c r="P144">
        <v>3</v>
      </c>
      <c r="Q144" t="s">
        <v>949</v>
      </c>
      <c r="R144" t="s">
        <v>950</v>
      </c>
      <c r="S144">
        <v>48</v>
      </c>
      <c r="T144" t="s">
        <v>83</v>
      </c>
      <c r="U144" t="s">
        <v>951</v>
      </c>
      <c r="V144" t="s">
        <v>5</v>
      </c>
      <c r="W144">
        <v>4</v>
      </c>
      <c r="X144" t="s">
        <v>40</v>
      </c>
      <c r="Y144">
        <v>31</v>
      </c>
      <c r="Z144" t="s">
        <v>61</v>
      </c>
      <c r="AA144" t="s">
        <v>15</v>
      </c>
      <c r="AC144" t="s">
        <v>32</v>
      </c>
      <c r="AD144">
        <v>445</v>
      </c>
    </row>
    <row r="145" spans="1:30" x14ac:dyDescent="0.3">
      <c r="A145">
        <v>14119445</v>
      </c>
      <c r="B145" s="3">
        <v>45672</v>
      </c>
      <c r="C145">
        <v>2025</v>
      </c>
      <c r="D145">
        <v>1</v>
      </c>
      <c r="E145" t="s">
        <v>1579</v>
      </c>
      <c r="F145" t="s">
        <v>125</v>
      </c>
      <c r="G145" t="s">
        <v>10</v>
      </c>
      <c r="H145" t="b">
        <v>0</v>
      </c>
      <c r="I145" t="b">
        <v>0</v>
      </c>
      <c r="J145" t="b">
        <v>0</v>
      </c>
      <c r="K145" t="b">
        <v>0</v>
      </c>
      <c r="L145" t="s">
        <v>1276</v>
      </c>
      <c r="M145" t="s">
        <v>126</v>
      </c>
      <c r="N145" t="s">
        <v>5</v>
      </c>
      <c r="O145" t="b">
        <v>0</v>
      </c>
      <c r="P145">
        <v>3</v>
      </c>
      <c r="Q145" t="s">
        <v>226</v>
      </c>
      <c r="R145" t="s">
        <v>227</v>
      </c>
      <c r="S145" t="s">
        <v>5</v>
      </c>
      <c r="T145" t="s">
        <v>80</v>
      </c>
      <c r="U145" t="s">
        <v>228</v>
      </c>
      <c r="V145" t="s">
        <v>5</v>
      </c>
      <c r="W145">
        <v>1</v>
      </c>
      <c r="X145" t="s">
        <v>31</v>
      </c>
      <c r="Y145">
        <v>66</v>
      </c>
      <c r="Z145" t="s">
        <v>67</v>
      </c>
      <c r="AA145" t="s">
        <v>8</v>
      </c>
      <c r="AC145" t="s">
        <v>32</v>
      </c>
      <c r="AD145">
        <v>437</v>
      </c>
    </row>
    <row r="146" spans="1:30" x14ac:dyDescent="0.3">
      <c r="A146">
        <v>14148493</v>
      </c>
      <c r="B146" s="3">
        <v>45677</v>
      </c>
      <c r="C146">
        <v>2025</v>
      </c>
      <c r="D146">
        <v>1</v>
      </c>
      <c r="E146" t="s">
        <v>1579</v>
      </c>
      <c r="F146" t="s">
        <v>0</v>
      </c>
      <c r="G146" t="s">
        <v>1006</v>
      </c>
      <c r="H146" t="b">
        <v>1</v>
      </c>
      <c r="I146" t="b">
        <v>0</v>
      </c>
      <c r="J146" t="b">
        <v>1</v>
      </c>
      <c r="K146" t="b">
        <v>0</v>
      </c>
      <c r="L146" t="s">
        <v>1704</v>
      </c>
      <c r="M146" t="s">
        <v>126</v>
      </c>
      <c r="N146" t="s">
        <v>5</v>
      </c>
      <c r="O146" t="b">
        <v>0</v>
      </c>
      <c r="P146">
        <v>5</v>
      </c>
      <c r="Q146" t="s">
        <v>1067</v>
      </c>
      <c r="R146" t="s">
        <v>1067</v>
      </c>
      <c r="S146" t="s">
        <v>5</v>
      </c>
      <c r="T146" t="s">
        <v>1188</v>
      </c>
      <c r="U146" t="s">
        <v>1068</v>
      </c>
      <c r="V146" t="s">
        <v>489</v>
      </c>
      <c r="W146">
        <v>8</v>
      </c>
      <c r="X146" t="s">
        <v>6</v>
      </c>
      <c r="Y146">
        <v>47</v>
      </c>
      <c r="Z146" t="s">
        <v>7</v>
      </c>
      <c r="AA146" t="s">
        <v>15</v>
      </c>
      <c r="AC146" t="s">
        <v>101</v>
      </c>
      <c r="AD146">
        <v>432</v>
      </c>
    </row>
    <row r="147" spans="1:30" x14ac:dyDescent="0.3">
      <c r="A147">
        <v>14155156</v>
      </c>
      <c r="B147" s="3">
        <v>45673</v>
      </c>
      <c r="C147">
        <v>2025</v>
      </c>
      <c r="D147">
        <v>1</v>
      </c>
      <c r="E147" t="s">
        <v>1579</v>
      </c>
      <c r="F147" t="s">
        <v>0</v>
      </c>
      <c r="G147" t="s">
        <v>10</v>
      </c>
      <c r="H147" t="b">
        <v>0</v>
      </c>
      <c r="I147" t="b">
        <v>0</v>
      </c>
      <c r="J147" t="b">
        <v>0</v>
      </c>
      <c r="K147" t="b">
        <v>0</v>
      </c>
      <c r="L147" t="s">
        <v>1705</v>
      </c>
      <c r="M147" t="s">
        <v>1389</v>
      </c>
      <c r="N147" t="s">
        <v>118</v>
      </c>
      <c r="O147" t="b">
        <v>0</v>
      </c>
      <c r="P147">
        <v>8</v>
      </c>
      <c r="Q147" t="s">
        <v>175</v>
      </c>
      <c r="R147" t="s">
        <v>176</v>
      </c>
      <c r="S147">
        <v>50</v>
      </c>
      <c r="T147" t="s">
        <v>150</v>
      </c>
      <c r="U147" t="s">
        <v>177</v>
      </c>
      <c r="V147" t="s">
        <v>178</v>
      </c>
      <c r="W147">
        <v>35</v>
      </c>
      <c r="X147" t="s">
        <v>6</v>
      </c>
      <c r="Y147">
        <v>56</v>
      </c>
      <c r="Z147" t="s">
        <v>7</v>
      </c>
      <c r="AA147" t="s">
        <v>8</v>
      </c>
      <c r="AC147" t="s">
        <v>32</v>
      </c>
      <c r="AD147">
        <v>436</v>
      </c>
    </row>
    <row r="148" spans="1:30" x14ac:dyDescent="0.3">
      <c r="A148">
        <v>14167258</v>
      </c>
      <c r="B148" s="3">
        <v>45664</v>
      </c>
      <c r="C148">
        <v>2025</v>
      </c>
      <c r="D148">
        <v>1</v>
      </c>
      <c r="E148" t="s">
        <v>1579</v>
      </c>
      <c r="F148" t="s">
        <v>0</v>
      </c>
      <c r="G148" t="s">
        <v>151</v>
      </c>
      <c r="H148" t="b">
        <v>0</v>
      </c>
      <c r="I148" t="b">
        <v>1</v>
      </c>
      <c r="J148" t="b">
        <v>0</v>
      </c>
      <c r="K148" t="b">
        <v>1</v>
      </c>
      <c r="L148" t="s">
        <v>1706</v>
      </c>
      <c r="M148" t="s">
        <v>459</v>
      </c>
      <c r="N148" t="s">
        <v>70</v>
      </c>
      <c r="O148" t="b">
        <v>0</v>
      </c>
      <c r="P148">
        <v>29</v>
      </c>
      <c r="Q148" t="s">
        <v>908</v>
      </c>
      <c r="R148" t="s">
        <v>909</v>
      </c>
      <c r="S148">
        <v>58</v>
      </c>
      <c r="T148" t="s">
        <v>83</v>
      </c>
      <c r="U148" t="s">
        <v>153</v>
      </c>
      <c r="V148" t="s">
        <v>24</v>
      </c>
      <c r="W148">
        <v>8</v>
      </c>
      <c r="X148" t="s">
        <v>6</v>
      </c>
      <c r="Y148">
        <v>61</v>
      </c>
      <c r="Z148" t="s">
        <v>7</v>
      </c>
      <c r="AA148" t="s">
        <v>8</v>
      </c>
      <c r="AC148" t="s">
        <v>32</v>
      </c>
      <c r="AD148">
        <v>445</v>
      </c>
    </row>
    <row r="149" spans="1:30" x14ac:dyDescent="0.3">
      <c r="A149">
        <v>14167898</v>
      </c>
      <c r="B149" s="3">
        <v>45666</v>
      </c>
      <c r="C149">
        <v>2025</v>
      </c>
      <c r="D149">
        <v>1</v>
      </c>
      <c r="E149" t="s">
        <v>1579</v>
      </c>
      <c r="F149" t="s">
        <v>0</v>
      </c>
      <c r="G149" t="s">
        <v>1</v>
      </c>
      <c r="H149" t="b">
        <v>0</v>
      </c>
      <c r="I149" t="b">
        <v>1</v>
      </c>
      <c r="J149" t="b">
        <v>0</v>
      </c>
      <c r="K149" t="b">
        <v>0</v>
      </c>
      <c r="L149" t="s">
        <v>1707</v>
      </c>
      <c r="M149" t="s">
        <v>415</v>
      </c>
      <c r="N149" t="s">
        <v>63</v>
      </c>
      <c r="O149" t="b">
        <v>0</v>
      </c>
      <c r="P149">
        <v>35</v>
      </c>
      <c r="Q149" t="s">
        <v>135</v>
      </c>
      <c r="R149" t="s">
        <v>136</v>
      </c>
      <c r="S149">
        <v>58</v>
      </c>
      <c r="T149" t="s">
        <v>62</v>
      </c>
      <c r="U149" t="s">
        <v>81</v>
      </c>
      <c r="V149" t="s">
        <v>137</v>
      </c>
      <c r="W149">
        <v>21</v>
      </c>
      <c r="X149" t="s">
        <v>6</v>
      </c>
      <c r="Y149">
        <v>54</v>
      </c>
      <c r="Z149" t="s">
        <v>7</v>
      </c>
      <c r="AA149" t="s">
        <v>8</v>
      </c>
      <c r="AC149" t="s">
        <v>9</v>
      </c>
      <c r="AD149">
        <v>443</v>
      </c>
    </row>
    <row r="150" spans="1:30" x14ac:dyDescent="0.3">
      <c r="A150">
        <v>14168860</v>
      </c>
      <c r="B150" s="3">
        <v>45672</v>
      </c>
      <c r="C150">
        <v>2025</v>
      </c>
      <c r="D150">
        <v>1</v>
      </c>
      <c r="E150" t="s">
        <v>1579</v>
      </c>
      <c r="F150" t="s">
        <v>125</v>
      </c>
      <c r="G150" t="s">
        <v>10</v>
      </c>
      <c r="H150" t="b">
        <v>0</v>
      </c>
      <c r="I150" t="b">
        <v>0</v>
      </c>
      <c r="J150" t="b">
        <v>0</v>
      </c>
      <c r="K150" t="b">
        <v>0</v>
      </c>
      <c r="L150" t="s">
        <v>1574</v>
      </c>
      <c r="M150" t="s">
        <v>126</v>
      </c>
      <c r="N150" t="s">
        <v>5</v>
      </c>
      <c r="O150" t="b">
        <v>0</v>
      </c>
      <c r="P150">
        <v>2</v>
      </c>
      <c r="Q150" t="s">
        <v>127</v>
      </c>
      <c r="R150" t="s">
        <v>128</v>
      </c>
      <c r="S150" t="s">
        <v>5</v>
      </c>
      <c r="T150" t="s">
        <v>80</v>
      </c>
      <c r="U150" t="s">
        <v>129</v>
      </c>
      <c r="V150" t="s">
        <v>130</v>
      </c>
      <c r="W150">
        <v>2</v>
      </c>
      <c r="X150" t="s">
        <v>14</v>
      </c>
      <c r="Y150">
        <v>69</v>
      </c>
      <c r="Z150" t="s">
        <v>67</v>
      </c>
      <c r="AA150" t="s">
        <v>8</v>
      </c>
      <c r="AC150" t="s">
        <v>32</v>
      </c>
      <c r="AD150">
        <v>437</v>
      </c>
    </row>
    <row r="151" spans="1:30" x14ac:dyDescent="0.3">
      <c r="A151">
        <v>14171534</v>
      </c>
      <c r="B151" s="3">
        <v>45674</v>
      </c>
      <c r="C151">
        <v>2025</v>
      </c>
      <c r="D151">
        <v>1</v>
      </c>
      <c r="E151" t="s">
        <v>1579</v>
      </c>
      <c r="F151" t="s">
        <v>0</v>
      </c>
      <c r="G151" t="s">
        <v>1</v>
      </c>
      <c r="H151" t="b">
        <v>0</v>
      </c>
      <c r="I151" t="b">
        <v>1</v>
      </c>
      <c r="J151" t="b">
        <v>0</v>
      </c>
      <c r="K151" t="b">
        <v>0</v>
      </c>
      <c r="L151" t="s">
        <v>1708</v>
      </c>
      <c r="M151" t="s">
        <v>608</v>
      </c>
      <c r="N151" t="s">
        <v>12</v>
      </c>
      <c r="O151" t="b">
        <v>1</v>
      </c>
      <c r="P151">
        <v>2</v>
      </c>
      <c r="Q151" t="s">
        <v>181</v>
      </c>
      <c r="R151" t="s">
        <v>182</v>
      </c>
      <c r="S151">
        <v>58</v>
      </c>
      <c r="T151" t="s">
        <v>183</v>
      </c>
      <c r="U151" t="s">
        <v>184</v>
      </c>
      <c r="V151" t="s">
        <v>5</v>
      </c>
      <c r="W151">
        <v>15</v>
      </c>
      <c r="X151" t="s">
        <v>6</v>
      </c>
      <c r="Y151">
        <v>72</v>
      </c>
      <c r="Z151" t="s">
        <v>67</v>
      </c>
      <c r="AA151" t="s">
        <v>15</v>
      </c>
      <c r="AC151" t="s">
        <v>359</v>
      </c>
      <c r="AD151">
        <v>435</v>
      </c>
    </row>
    <row r="152" spans="1:30" x14ac:dyDescent="0.3">
      <c r="A152">
        <v>14199698</v>
      </c>
      <c r="B152" s="3">
        <v>45685</v>
      </c>
      <c r="C152">
        <v>2025</v>
      </c>
      <c r="D152">
        <v>1</v>
      </c>
      <c r="E152" t="s">
        <v>1579</v>
      </c>
      <c r="F152" t="s">
        <v>0</v>
      </c>
      <c r="G152" t="s">
        <v>1</v>
      </c>
      <c r="H152" t="b">
        <v>0</v>
      </c>
      <c r="I152" t="b">
        <v>1</v>
      </c>
      <c r="J152" t="b">
        <v>0</v>
      </c>
      <c r="K152" t="b">
        <v>0</v>
      </c>
      <c r="L152" t="s">
        <v>1709</v>
      </c>
      <c r="M152" t="s">
        <v>274</v>
      </c>
      <c r="N152" t="s">
        <v>12</v>
      </c>
      <c r="O152" t="b">
        <v>1</v>
      </c>
      <c r="P152">
        <v>4</v>
      </c>
      <c r="Q152" t="s">
        <v>287</v>
      </c>
      <c r="R152" t="s">
        <v>830</v>
      </c>
      <c r="S152">
        <v>64</v>
      </c>
      <c r="T152" t="s">
        <v>709</v>
      </c>
      <c r="U152" t="s">
        <v>831</v>
      </c>
      <c r="V152" t="s">
        <v>5</v>
      </c>
      <c r="W152">
        <v>7</v>
      </c>
      <c r="X152" t="s">
        <v>6</v>
      </c>
      <c r="Z152" t="s">
        <v>5</v>
      </c>
      <c r="AA152" t="s">
        <v>5</v>
      </c>
      <c r="AC152" t="s">
        <v>32</v>
      </c>
      <c r="AD152">
        <v>424</v>
      </c>
    </row>
    <row r="153" spans="1:30" x14ac:dyDescent="0.3">
      <c r="A153">
        <v>14205874</v>
      </c>
      <c r="B153" s="3">
        <v>45684</v>
      </c>
      <c r="C153">
        <v>2025</v>
      </c>
      <c r="D153">
        <v>1</v>
      </c>
      <c r="E153" t="s">
        <v>1579</v>
      </c>
      <c r="F153" t="s">
        <v>0</v>
      </c>
      <c r="G153" t="s">
        <v>1</v>
      </c>
      <c r="H153" t="b">
        <v>0</v>
      </c>
      <c r="I153" t="b">
        <v>1</v>
      </c>
      <c r="J153" t="b">
        <v>0</v>
      </c>
      <c r="K153" t="b">
        <v>0</v>
      </c>
      <c r="L153" t="s">
        <v>1710</v>
      </c>
      <c r="M153" t="s">
        <v>69</v>
      </c>
      <c r="N153" t="s">
        <v>70</v>
      </c>
      <c r="O153" t="b">
        <v>0</v>
      </c>
      <c r="P153">
        <v>8</v>
      </c>
      <c r="Q153" t="s">
        <v>444</v>
      </c>
      <c r="R153" t="s">
        <v>445</v>
      </c>
      <c r="S153">
        <v>42</v>
      </c>
      <c r="T153" t="s">
        <v>1301</v>
      </c>
      <c r="U153" t="s">
        <v>447</v>
      </c>
      <c r="V153" t="s">
        <v>172</v>
      </c>
      <c r="W153">
        <v>2</v>
      </c>
      <c r="X153" t="s">
        <v>14</v>
      </c>
      <c r="Y153">
        <v>55</v>
      </c>
      <c r="Z153" t="s">
        <v>7</v>
      </c>
      <c r="AA153" t="s">
        <v>15</v>
      </c>
      <c r="AB153">
        <v>60</v>
      </c>
      <c r="AC153" t="s">
        <v>20</v>
      </c>
      <c r="AD153">
        <v>425</v>
      </c>
    </row>
    <row r="154" spans="1:30" x14ac:dyDescent="0.3">
      <c r="A154">
        <v>14211055</v>
      </c>
      <c r="B154" s="3">
        <v>45671</v>
      </c>
      <c r="C154">
        <v>2025</v>
      </c>
      <c r="D154">
        <v>1</v>
      </c>
      <c r="E154" t="s">
        <v>1579</v>
      </c>
      <c r="F154" t="s">
        <v>0</v>
      </c>
      <c r="G154" t="s">
        <v>220</v>
      </c>
      <c r="H154" t="b">
        <v>0</v>
      </c>
      <c r="I154" t="b">
        <v>0</v>
      </c>
      <c r="J154" t="b">
        <v>0</v>
      </c>
      <c r="K154" t="b">
        <v>1</v>
      </c>
      <c r="L154" t="s">
        <v>1711</v>
      </c>
      <c r="M154" t="s">
        <v>1712</v>
      </c>
      <c r="N154" t="s">
        <v>63</v>
      </c>
      <c r="O154" t="b">
        <v>0</v>
      </c>
      <c r="P154">
        <v>25</v>
      </c>
      <c r="Q154" t="s">
        <v>208</v>
      </c>
      <c r="R154" t="s">
        <v>286</v>
      </c>
      <c r="S154">
        <v>48</v>
      </c>
      <c r="T154" t="s">
        <v>80</v>
      </c>
      <c r="U154" t="s">
        <v>210</v>
      </c>
      <c r="V154" t="s">
        <v>5</v>
      </c>
      <c r="W154">
        <v>2</v>
      </c>
      <c r="X154" t="s">
        <v>14</v>
      </c>
      <c r="Y154">
        <v>74</v>
      </c>
      <c r="Z154" t="s">
        <v>67</v>
      </c>
      <c r="AA154" t="s">
        <v>8</v>
      </c>
      <c r="AB154">
        <v>68</v>
      </c>
      <c r="AC154" t="s">
        <v>32</v>
      </c>
      <c r="AD154">
        <v>438</v>
      </c>
    </row>
    <row r="155" spans="1:30" x14ac:dyDescent="0.3">
      <c r="A155">
        <v>14211532</v>
      </c>
      <c r="B155" s="3">
        <v>45671</v>
      </c>
      <c r="C155">
        <v>2025</v>
      </c>
      <c r="D155">
        <v>1</v>
      </c>
      <c r="E155" t="s">
        <v>1579</v>
      </c>
      <c r="F155" t="s">
        <v>0</v>
      </c>
      <c r="G155" t="s">
        <v>1</v>
      </c>
      <c r="H155" t="b">
        <v>0</v>
      </c>
      <c r="I155" t="b">
        <v>1</v>
      </c>
      <c r="J155" t="b">
        <v>0</v>
      </c>
      <c r="K155" t="b">
        <v>0</v>
      </c>
      <c r="L155" t="s">
        <v>1713</v>
      </c>
      <c r="M155" t="s">
        <v>1226</v>
      </c>
      <c r="N155" t="s">
        <v>57</v>
      </c>
      <c r="O155" t="b">
        <v>1</v>
      </c>
      <c r="P155">
        <v>9</v>
      </c>
      <c r="Q155" t="s">
        <v>193</v>
      </c>
      <c r="R155" t="s">
        <v>194</v>
      </c>
      <c r="S155">
        <v>65</v>
      </c>
      <c r="T155" t="s">
        <v>5</v>
      </c>
      <c r="U155" t="s">
        <v>195</v>
      </c>
      <c r="V155" t="s">
        <v>5</v>
      </c>
      <c r="W155">
        <v>16</v>
      </c>
      <c r="X155" t="s">
        <v>6</v>
      </c>
      <c r="Y155">
        <v>69</v>
      </c>
      <c r="Z155" t="s">
        <v>67</v>
      </c>
      <c r="AA155" t="s">
        <v>15</v>
      </c>
      <c r="AC155" t="s">
        <v>9</v>
      </c>
      <c r="AD155">
        <v>438</v>
      </c>
    </row>
    <row r="156" spans="1:30" x14ac:dyDescent="0.3">
      <c r="A156">
        <v>14218952</v>
      </c>
      <c r="B156" s="3">
        <v>45672</v>
      </c>
      <c r="C156">
        <v>2025</v>
      </c>
      <c r="D156">
        <v>1</v>
      </c>
      <c r="E156" t="s">
        <v>1579</v>
      </c>
      <c r="F156" t="s">
        <v>125</v>
      </c>
      <c r="G156" t="s">
        <v>10</v>
      </c>
      <c r="H156" t="b">
        <v>0</v>
      </c>
      <c r="I156" t="b">
        <v>0</v>
      </c>
      <c r="J156" t="b">
        <v>0</v>
      </c>
      <c r="K156" t="b">
        <v>0</v>
      </c>
      <c r="L156" t="s">
        <v>1714</v>
      </c>
      <c r="M156" t="s">
        <v>102</v>
      </c>
      <c r="N156" t="s">
        <v>5</v>
      </c>
      <c r="O156" t="b">
        <v>0</v>
      </c>
      <c r="P156">
        <v>5</v>
      </c>
      <c r="Q156" t="s">
        <v>34</v>
      </c>
      <c r="R156" t="s">
        <v>35</v>
      </c>
      <c r="S156">
        <v>48</v>
      </c>
      <c r="T156" t="s">
        <v>337</v>
      </c>
      <c r="U156" t="s">
        <v>37</v>
      </c>
      <c r="V156" t="s">
        <v>38</v>
      </c>
      <c r="W156">
        <v>4</v>
      </c>
      <c r="X156" t="s">
        <v>40</v>
      </c>
      <c r="Y156">
        <v>11</v>
      </c>
      <c r="Z156" t="s">
        <v>46</v>
      </c>
      <c r="AA156" t="s">
        <v>15</v>
      </c>
      <c r="AC156" t="s">
        <v>32</v>
      </c>
      <c r="AD156">
        <v>437</v>
      </c>
    </row>
    <row r="157" spans="1:30" x14ac:dyDescent="0.3">
      <c r="A157">
        <v>14220075</v>
      </c>
      <c r="B157" s="3">
        <v>45676</v>
      </c>
      <c r="C157">
        <v>2025</v>
      </c>
      <c r="D157">
        <v>1</v>
      </c>
      <c r="E157" t="s">
        <v>1579</v>
      </c>
      <c r="F157" t="s">
        <v>125</v>
      </c>
      <c r="G157" t="s">
        <v>10</v>
      </c>
      <c r="H157" t="b">
        <v>0</v>
      </c>
      <c r="I157" t="b">
        <v>0</v>
      </c>
      <c r="J157" t="b">
        <v>0</v>
      </c>
      <c r="K157" t="b">
        <v>0</v>
      </c>
      <c r="L157" t="s">
        <v>1566</v>
      </c>
      <c r="M157" t="s">
        <v>741</v>
      </c>
      <c r="N157" t="s">
        <v>17</v>
      </c>
      <c r="O157" t="b">
        <v>0</v>
      </c>
      <c r="P157">
        <v>6</v>
      </c>
      <c r="Q157" t="s">
        <v>34</v>
      </c>
      <c r="R157" t="s">
        <v>35</v>
      </c>
      <c r="S157">
        <v>48</v>
      </c>
      <c r="T157" t="s">
        <v>1211</v>
      </c>
      <c r="U157" t="s">
        <v>37</v>
      </c>
      <c r="V157" t="s">
        <v>38</v>
      </c>
      <c r="W157">
        <v>8</v>
      </c>
      <c r="X157" t="s">
        <v>6</v>
      </c>
      <c r="Z157" t="s">
        <v>5</v>
      </c>
      <c r="AA157" t="s">
        <v>15</v>
      </c>
      <c r="AC157" t="s">
        <v>32</v>
      </c>
      <c r="AD157">
        <v>433</v>
      </c>
    </row>
    <row r="158" spans="1:30" x14ac:dyDescent="0.3">
      <c r="A158">
        <v>14222351</v>
      </c>
      <c r="B158" s="3">
        <v>45680</v>
      </c>
      <c r="C158">
        <v>2025</v>
      </c>
      <c r="D158">
        <v>1</v>
      </c>
      <c r="E158" t="s">
        <v>1579</v>
      </c>
      <c r="F158" t="s">
        <v>0</v>
      </c>
      <c r="G158" t="s">
        <v>10</v>
      </c>
      <c r="H158" t="b">
        <v>0</v>
      </c>
      <c r="I158" t="b">
        <v>0</v>
      </c>
      <c r="J158" t="b">
        <v>0</v>
      </c>
      <c r="K158" t="b">
        <v>0</v>
      </c>
      <c r="L158" t="s">
        <v>353</v>
      </c>
      <c r="M158" t="s">
        <v>353</v>
      </c>
      <c r="N158" t="s">
        <v>5</v>
      </c>
      <c r="O158" t="b">
        <v>0</v>
      </c>
      <c r="P158">
        <v>1</v>
      </c>
      <c r="Q158" t="s">
        <v>293</v>
      </c>
      <c r="R158" t="s">
        <v>294</v>
      </c>
      <c r="S158" t="s">
        <v>5</v>
      </c>
      <c r="T158" t="s">
        <v>5</v>
      </c>
      <c r="U158" t="s">
        <v>106</v>
      </c>
      <c r="V158" t="s">
        <v>5</v>
      </c>
      <c r="W158">
        <v>1</v>
      </c>
      <c r="X158" t="s">
        <v>31</v>
      </c>
      <c r="Z158" t="s">
        <v>5</v>
      </c>
      <c r="AA158" t="s">
        <v>5</v>
      </c>
      <c r="AC158" t="s">
        <v>32</v>
      </c>
      <c r="AD158">
        <v>429</v>
      </c>
    </row>
    <row r="159" spans="1:30" x14ac:dyDescent="0.3">
      <c r="A159">
        <v>14228099</v>
      </c>
      <c r="B159" s="3">
        <v>45681</v>
      </c>
      <c r="C159">
        <v>2025</v>
      </c>
      <c r="D159">
        <v>1</v>
      </c>
      <c r="E159" t="s">
        <v>1579</v>
      </c>
      <c r="F159" t="s">
        <v>0</v>
      </c>
      <c r="G159" t="s">
        <v>1</v>
      </c>
      <c r="H159" t="b">
        <v>0</v>
      </c>
      <c r="I159" t="b">
        <v>1</v>
      </c>
      <c r="J159" t="b">
        <v>0</v>
      </c>
      <c r="K159" t="b">
        <v>0</v>
      </c>
      <c r="L159" t="s">
        <v>1715</v>
      </c>
      <c r="M159" t="s">
        <v>712</v>
      </c>
      <c r="N159" t="s">
        <v>63</v>
      </c>
      <c r="O159" t="b">
        <v>0</v>
      </c>
      <c r="P159">
        <v>3</v>
      </c>
      <c r="Q159" t="s">
        <v>141</v>
      </c>
      <c r="R159" t="s">
        <v>142</v>
      </c>
      <c r="S159">
        <v>48</v>
      </c>
      <c r="T159" t="s">
        <v>143</v>
      </c>
      <c r="U159" t="s">
        <v>144</v>
      </c>
      <c r="V159" t="s">
        <v>5</v>
      </c>
      <c r="W159">
        <v>47</v>
      </c>
      <c r="X159" t="s">
        <v>6</v>
      </c>
      <c r="Z159" t="s">
        <v>5</v>
      </c>
      <c r="AA159" t="s">
        <v>8</v>
      </c>
      <c r="AC159" t="s">
        <v>32</v>
      </c>
      <c r="AD159">
        <v>428</v>
      </c>
    </row>
    <row r="160" spans="1:30" x14ac:dyDescent="0.3">
      <c r="A160">
        <v>14254745</v>
      </c>
      <c r="B160" s="3">
        <v>45679</v>
      </c>
      <c r="C160">
        <v>2025</v>
      </c>
      <c r="D160">
        <v>1</v>
      </c>
      <c r="E160" t="s">
        <v>1579</v>
      </c>
      <c r="F160" t="s">
        <v>0</v>
      </c>
      <c r="G160" t="s">
        <v>1</v>
      </c>
      <c r="H160" t="b">
        <v>0</v>
      </c>
      <c r="I160" t="b">
        <v>1</v>
      </c>
      <c r="J160" t="b">
        <v>0</v>
      </c>
      <c r="K160" t="b">
        <v>0</v>
      </c>
      <c r="L160" t="s">
        <v>1716</v>
      </c>
      <c r="M160" t="s">
        <v>561</v>
      </c>
      <c r="N160" t="s">
        <v>174</v>
      </c>
      <c r="O160" t="b">
        <v>0</v>
      </c>
      <c r="P160">
        <v>5</v>
      </c>
      <c r="Q160" t="s">
        <v>933</v>
      </c>
      <c r="R160" t="s">
        <v>934</v>
      </c>
      <c r="S160">
        <v>48</v>
      </c>
      <c r="T160" t="s">
        <v>134</v>
      </c>
      <c r="U160" t="s">
        <v>897</v>
      </c>
      <c r="V160" t="s">
        <v>898</v>
      </c>
      <c r="W160">
        <v>23</v>
      </c>
      <c r="X160" t="s">
        <v>6</v>
      </c>
      <c r="Y160">
        <v>63</v>
      </c>
      <c r="Z160" t="s">
        <v>7</v>
      </c>
      <c r="AA160" t="s">
        <v>8</v>
      </c>
      <c r="AC160" t="s">
        <v>9</v>
      </c>
      <c r="AD160">
        <v>430</v>
      </c>
    </row>
    <row r="161" spans="1:30" x14ac:dyDescent="0.3">
      <c r="A161">
        <v>14255309</v>
      </c>
      <c r="B161" s="3">
        <v>45688</v>
      </c>
      <c r="C161">
        <v>2025</v>
      </c>
      <c r="D161">
        <v>1</v>
      </c>
      <c r="E161" t="s">
        <v>1579</v>
      </c>
      <c r="F161" t="s">
        <v>125</v>
      </c>
      <c r="G161" t="s">
        <v>10</v>
      </c>
      <c r="H161" t="b">
        <v>0</v>
      </c>
      <c r="I161" t="b">
        <v>0</v>
      </c>
      <c r="J161" t="b">
        <v>0</v>
      </c>
      <c r="K161" t="b">
        <v>0</v>
      </c>
      <c r="L161" t="s">
        <v>1717</v>
      </c>
      <c r="M161" t="s">
        <v>123</v>
      </c>
      <c r="N161" t="s">
        <v>12</v>
      </c>
      <c r="O161" t="b">
        <v>1</v>
      </c>
      <c r="P161">
        <v>5</v>
      </c>
      <c r="Q161" t="s">
        <v>230</v>
      </c>
      <c r="R161" t="s">
        <v>268</v>
      </c>
      <c r="S161">
        <v>65</v>
      </c>
      <c r="T161" t="s">
        <v>269</v>
      </c>
      <c r="U161" t="s">
        <v>231</v>
      </c>
      <c r="V161" t="s">
        <v>232</v>
      </c>
      <c r="W161">
        <v>20</v>
      </c>
      <c r="X161" t="s">
        <v>6</v>
      </c>
      <c r="Z161" t="s">
        <v>5</v>
      </c>
      <c r="AA161" t="s">
        <v>5</v>
      </c>
      <c r="AC161" t="s">
        <v>32</v>
      </c>
      <c r="AD161">
        <v>421</v>
      </c>
    </row>
    <row r="162" spans="1:30" x14ac:dyDescent="0.3">
      <c r="A162">
        <v>14262274</v>
      </c>
      <c r="B162" s="3">
        <v>45670</v>
      </c>
      <c r="C162">
        <v>2025</v>
      </c>
      <c r="D162">
        <v>1</v>
      </c>
      <c r="E162" t="s">
        <v>1579</v>
      </c>
      <c r="F162" t="s">
        <v>0</v>
      </c>
      <c r="G162" t="s">
        <v>68</v>
      </c>
      <c r="H162" t="b">
        <v>0</v>
      </c>
      <c r="I162" t="b">
        <v>1</v>
      </c>
      <c r="J162" t="b">
        <v>1</v>
      </c>
      <c r="K162" t="b">
        <v>1</v>
      </c>
      <c r="L162" t="s">
        <v>1718</v>
      </c>
      <c r="M162" t="s">
        <v>719</v>
      </c>
      <c r="N162" t="s">
        <v>761</v>
      </c>
      <c r="O162" t="b">
        <v>0</v>
      </c>
      <c r="P162">
        <v>5</v>
      </c>
      <c r="Q162" t="s">
        <v>362</v>
      </c>
      <c r="R162" t="s">
        <v>363</v>
      </c>
      <c r="S162" t="s">
        <v>5</v>
      </c>
      <c r="T162" t="s">
        <v>95</v>
      </c>
      <c r="U162" t="s">
        <v>364</v>
      </c>
      <c r="V162" t="s">
        <v>5</v>
      </c>
      <c r="W162">
        <v>35</v>
      </c>
      <c r="X162" t="s">
        <v>6</v>
      </c>
      <c r="Y162">
        <v>82</v>
      </c>
      <c r="Z162" t="s">
        <v>196</v>
      </c>
      <c r="AA162" t="s">
        <v>8</v>
      </c>
      <c r="AC162" t="s">
        <v>558</v>
      </c>
      <c r="AD162">
        <v>439</v>
      </c>
    </row>
    <row r="163" spans="1:30" x14ac:dyDescent="0.3">
      <c r="A163">
        <v>14262633</v>
      </c>
      <c r="B163" s="3">
        <v>45659</v>
      </c>
      <c r="C163">
        <v>2025</v>
      </c>
      <c r="D163">
        <v>1</v>
      </c>
      <c r="E163" t="s">
        <v>1579</v>
      </c>
      <c r="F163" t="s">
        <v>0</v>
      </c>
      <c r="G163" t="s">
        <v>16</v>
      </c>
      <c r="H163" t="b">
        <v>0</v>
      </c>
      <c r="I163" t="b">
        <v>1</v>
      </c>
      <c r="J163" t="b">
        <v>1</v>
      </c>
      <c r="K163" t="b">
        <v>0</v>
      </c>
      <c r="L163" t="s">
        <v>1719</v>
      </c>
      <c r="M163" t="s">
        <v>719</v>
      </c>
      <c r="N163" t="s">
        <v>1121</v>
      </c>
      <c r="O163" t="b">
        <v>1</v>
      </c>
      <c r="P163">
        <v>8</v>
      </c>
      <c r="Q163" t="s">
        <v>301</v>
      </c>
      <c r="R163" t="s">
        <v>302</v>
      </c>
      <c r="S163">
        <v>65</v>
      </c>
      <c r="T163" t="s">
        <v>83</v>
      </c>
      <c r="U163" t="s">
        <v>303</v>
      </c>
      <c r="V163" t="s">
        <v>304</v>
      </c>
      <c r="W163">
        <v>60</v>
      </c>
      <c r="X163" t="s">
        <v>6</v>
      </c>
      <c r="Y163">
        <v>82</v>
      </c>
      <c r="Z163" t="s">
        <v>196</v>
      </c>
      <c r="AA163" t="s">
        <v>8</v>
      </c>
      <c r="AC163" t="s">
        <v>558</v>
      </c>
      <c r="AD163">
        <v>450</v>
      </c>
    </row>
    <row r="164" spans="1:30" x14ac:dyDescent="0.3">
      <c r="A164">
        <v>14276970</v>
      </c>
      <c r="B164" s="3">
        <v>45667</v>
      </c>
      <c r="C164">
        <v>2025</v>
      </c>
      <c r="D164">
        <v>1</v>
      </c>
      <c r="E164" t="s">
        <v>1579</v>
      </c>
      <c r="F164" t="s">
        <v>0</v>
      </c>
      <c r="G164" t="s">
        <v>1</v>
      </c>
      <c r="H164" t="b">
        <v>0</v>
      </c>
      <c r="I164" t="b">
        <v>1</v>
      </c>
      <c r="J164" t="b">
        <v>0</v>
      </c>
      <c r="K164" t="b">
        <v>0</v>
      </c>
      <c r="L164" t="s">
        <v>1720</v>
      </c>
      <c r="M164" t="s">
        <v>579</v>
      </c>
      <c r="N164" t="s">
        <v>5</v>
      </c>
      <c r="O164" t="b">
        <v>0</v>
      </c>
      <c r="P164">
        <v>2</v>
      </c>
      <c r="Q164" t="s">
        <v>1721</v>
      </c>
      <c r="R164" t="s">
        <v>5</v>
      </c>
      <c r="S164">
        <v>48</v>
      </c>
      <c r="T164" t="s">
        <v>5</v>
      </c>
      <c r="U164" t="s">
        <v>5</v>
      </c>
      <c r="V164" t="s">
        <v>5</v>
      </c>
      <c r="W164">
        <v>1</v>
      </c>
      <c r="X164" t="s">
        <v>31</v>
      </c>
      <c r="Z164" t="s">
        <v>5</v>
      </c>
      <c r="AA164" t="s">
        <v>5</v>
      </c>
      <c r="AC164" t="s">
        <v>25</v>
      </c>
      <c r="AD164">
        <v>442</v>
      </c>
    </row>
    <row r="165" spans="1:30" x14ac:dyDescent="0.3">
      <c r="A165">
        <v>14283502</v>
      </c>
      <c r="B165" s="3">
        <v>45677</v>
      </c>
      <c r="C165">
        <v>2025</v>
      </c>
      <c r="D165">
        <v>1</v>
      </c>
      <c r="E165" t="s">
        <v>1579</v>
      </c>
      <c r="F165" t="s">
        <v>0</v>
      </c>
      <c r="G165" t="s">
        <v>50</v>
      </c>
      <c r="H165" t="b">
        <v>1</v>
      </c>
      <c r="I165" t="b">
        <v>0</v>
      </c>
      <c r="J165" t="b">
        <v>0</v>
      </c>
      <c r="K165" t="b">
        <v>0</v>
      </c>
      <c r="L165" t="s">
        <v>1237</v>
      </c>
      <c r="M165" t="s">
        <v>1237</v>
      </c>
      <c r="N165" t="s">
        <v>5</v>
      </c>
      <c r="O165" t="b">
        <v>0</v>
      </c>
      <c r="P165">
        <v>1</v>
      </c>
      <c r="Q165" t="s">
        <v>1043</v>
      </c>
      <c r="R165" t="s">
        <v>1568</v>
      </c>
      <c r="S165" t="s">
        <v>5</v>
      </c>
      <c r="T165" t="s">
        <v>1351</v>
      </c>
      <c r="U165" t="s">
        <v>1569</v>
      </c>
      <c r="V165" t="s">
        <v>5</v>
      </c>
      <c r="W165">
        <v>12</v>
      </c>
      <c r="X165" t="s">
        <v>6</v>
      </c>
      <c r="Y165">
        <v>55</v>
      </c>
      <c r="Z165" t="s">
        <v>7</v>
      </c>
      <c r="AA165" t="s">
        <v>8</v>
      </c>
      <c r="AC165" t="s">
        <v>116</v>
      </c>
      <c r="AD165">
        <v>432</v>
      </c>
    </row>
    <row r="166" spans="1:30" x14ac:dyDescent="0.3">
      <c r="A166">
        <v>14284964</v>
      </c>
      <c r="B166" s="3">
        <v>45670</v>
      </c>
      <c r="C166">
        <v>2025</v>
      </c>
      <c r="D166">
        <v>1</v>
      </c>
      <c r="E166" t="s">
        <v>1579</v>
      </c>
      <c r="F166" t="s">
        <v>0</v>
      </c>
      <c r="G166" t="s">
        <v>1</v>
      </c>
      <c r="H166" t="b">
        <v>0</v>
      </c>
      <c r="I166" t="b">
        <v>1</v>
      </c>
      <c r="J166" t="b">
        <v>0</v>
      </c>
      <c r="K166" t="b">
        <v>0</v>
      </c>
      <c r="L166" t="s">
        <v>1722</v>
      </c>
      <c r="M166" t="s">
        <v>1723</v>
      </c>
      <c r="N166" t="s">
        <v>229</v>
      </c>
      <c r="O166" t="b">
        <v>0</v>
      </c>
      <c r="P166">
        <v>14</v>
      </c>
      <c r="Q166" t="s">
        <v>343</v>
      </c>
      <c r="R166" t="s">
        <v>344</v>
      </c>
      <c r="S166">
        <v>58</v>
      </c>
      <c r="T166" t="s">
        <v>780</v>
      </c>
      <c r="U166" t="s">
        <v>4</v>
      </c>
      <c r="V166" t="s">
        <v>5</v>
      </c>
      <c r="W166">
        <v>12</v>
      </c>
      <c r="X166" t="s">
        <v>6</v>
      </c>
      <c r="Y166">
        <v>11</v>
      </c>
      <c r="Z166" t="s">
        <v>46</v>
      </c>
      <c r="AA166" t="s">
        <v>15</v>
      </c>
      <c r="AB166">
        <v>60</v>
      </c>
      <c r="AC166" t="s">
        <v>101</v>
      </c>
      <c r="AD166">
        <v>439</v>
      </c>
    </row>
    <row r="167" spans="1:30" x14ac:dyDescent="0.3">
      <c r="A167">
        <v>14285532</v>
      </c>
      <c r="B167" s="3">
        <v>45670</v>
      </c>
      <c r="C167">
        <v>2025</v>
      </c>
      <c r="D167">
        <v>1</v>
      </c>
      <c r="E167" t="s">
        <v>1579</v>
      </c>
      <c r="F167" t="s">
        <v>125</v>
      </c>
      <c r="G167" t="s">
        <v>10</v>
      </c>
      <c r="H167" t="b">
        <v>0</v>
      </c>
      <c r="I167" t="b">
        <v>0</v>
      </c>
      <c r="J167" t="b">
        <v>0</v>
      </c>
      <c r="K167" t="b">
        <v>0</v>
      </c>
      <c r="L167" t="s">
        <v>1724</v>
      </c>
      <c r="M167" t="s">
        <v>126</v>
      </c>
      <c r="N167" t="s">
        <v>5</v>
      </c>
      <c r="O167" t="b">
        <v>0</v>
      </c>
      <c r="P167">
        <v>4</v>
      </c>
      <c r="Q167" t="s">
        <v>162</v>
      </c>
      <c r="R167" t="s">
        <v>163</v>
      </c>
      <c r="S167" t="s">
        <v>5</v>
      </c>
      <c r="T167" t="s">
        <v>1552</v>
      </c>
      <c r="U167" t="s">
        <v>88</v>
      </c>
      <c r="V167" t="s">
        <v>89</v>
      </c>
      <c r="W167">
        <v>3</v>
      </c>
      <c r="X167" t="s">
        <v>14</v>
      </c>
      <c r="Y167">
        <v>52</v>
      </c>
      <c r="Z167" t="s">
        <v>7</v>
      </c>
      <c r="AA167" t="s">
        <v>8</v>
      </c>
      <c r="AB167">
        <v>58.06</v>
      </c>
      <c r="AC167" t="s">
        <v>32</v>
      </c>
      <c r="AD167">
        <v>439</v>
      </c>
    </row>
    <row r="168" spans="1:30" x14ac:dyDescent="0.3">
      <c r="A168">
        <v>14287007</v>
      </c>
      <c r="B168" s="3">
        <v>45659</v>
      </c>
      <c r="C168">
        <v>2025</v>
      </c>
      <c r="D168">
        <v>1</v>
      </c>
      <c r="E168" t="s">
        <v>1579</v>
      </c>
      <c r="F168" t="s">
        <v>0</v>
      </c>
      <c r="G168" t="s">
        <v>50</v>
      </c>
      <c r="H168" t="b">
        <v>1</v>
      </c>
      <c r="I168" t="b">
        <v>0</v>
      </c>
      <c r="J168" t="b">
        <v>0</v>
      </c>
      <c r="K168" t="b">
        <v>0</v>
      </c>
      <c r="L168" t="s">
        <v>1725</v>
      </c>
      <c r="M168" t="s">
        <v>795</v>
      </c>
      <c r="N168" t="s">
        <v>5</v>
      </c>
      <c r="O168" t="b">
        <v>0</v>
      </c>
      <c r="P168">
        <v>11</v>
      </c>
      <c r="Q168" t="s">
        <v>1118</v>
      </c>
      <c r="R168" t="s">
        <v>1119</v>
      </c>
      <c r="S168">
        <v>48</v>
      </c>
      <c r="T168" t="s">
        <v>729</v>
      </c>
      <c r="U168" t="s">
        <v>106</v>
      </c>
      <c r="V168" t="s">
        <v>331</v>
      </c>
      <c r="W168">
        <v>1</v>
      </c>
      <c r="X168" t="s">
        <v>31</v>
      </c>
      <c r="Z168" t="s">
        <v>5</v>
      </c>
      <c r="AA168" t="s">
        <v>5</v>
      </c>
      <c r="AC168" t="s">
        <v>1058</v>
      </c>
      <c r="AD168">
        <v>450</v>
      </c>
    </row>
    <row r="169" spans="1:30" x14ac:dyDescent="0.3">
      <c r="A169">
        <v>14290669</v>
      </c>
      <c r="B169" s="3">
        <v>45686</v>
      </c>
      <c r="C169">
        <v>2025</v>
      </c>
      <c r="D169">
        <v>1</v>
      </c>
      <c r="E169" t="s">
        <v>1579</v>
      </c>
      <c r="F169" t="s">
        <v>0</v>
      </c>
      <c r="G169" t="s">
        <v>16</v>
      </c>
      <c r="H169" t="b">
        <v>0</v>
      </c>
      <c r="I169" t="b">
        <v>1</v>
      </c>
      <c r="J169" t="b">
        <v>1</v>
      </c>
      <c r="K169" t="b">
        <v>0</v>
      </c>
      <c r="L169" t="s">
        <v>1726</v>
      </c>
      <c r="M169" t="s">
        <v>242</v>
      </c>
      <c r="N169" t="s">
        <v>57</v>
      </c>
      <c r="O169" t="b">
        <v>1</v>
      </c>
      <c r="P169">
        <v>3</v>
      </c>
      <c r="Q169" t="s">
        <v>34</v>
      </c>
      <c r="R169" t="s">
        <v>690</v>
      </c>
      <c r="S169">
        <v>65</v>
      </c>
      <c r="T169" t="s">
        <v>848</v>
      </c>
      <c r="U169" t="s">
        <v>691</v>
      </c>
      <c r="V169" t="s">
        <v>38</v>
      </c>
      <c r="W169">
        <v>2</v>
      </c>
      <c r="X169" t="s">
        <v>14</v>
      </c>
      <c r="Y169">
        <v>15</v>
      </c>
      <c r="Z169" t="s">
        <v>19</v>
      </c>
      <c r="AA169" t="s">
        <v>15</v>
      </c>
      <c r="AC169" t="s">
        <v>284</v>
      </c>
      <c r="AD169">
        <v>423</v>
      </c>
    </row>
    <row r="170" spans="1:30" x14ac:dyDescent="0.3">
      <c r="A170">
        <v>14297233</v>
      </c>
      <c r="B170" s="3">
        <v>45667</v>
      </c>
      <c r="C170">
        <v>2025</v>
      </c>
      <c r="D170">
        <v>1</v>
      </c>
      <c r="E170" t="s">
        <v>1579</v>
      </c>
      <c r="F170" t="s">
        <v>0</v>
      </c>
      <c r="G170" t="s">
        <v>10</v>
      </c>
      <c r="H170" t="b">
        <v>0</v>
      </c>
      <c r="I170" t="b">
        <v>0</v>
      </c>
      <c r="J170" t="b">
        <v>0</v>
      </c>
      <c r="K170" t="b">
        <v>0</v>
      </c>
      <c r="L170" t="s">
        <v>1727</v>
      </c>
      <c r="M170" t="s">
        <v>744</v>
      </c>
      <c r="N170" t="s">
        <v>5</v>
      </c>
      <c r="O170" t="b">
        <v>0</v>
      </c>
      <c r="P170">
        <v>2</v>
      </c>
      <c r="Q170" t="s">
        <v>1454</v>
      </c>
      <c r="R170" t="s">
        <v>1455</v>
      </c>
      <c r="S170">
        <v>48</v>
      </c>
      <c r="T170" t="s">
        <v>534</v>
      </c>
      <c r="U170" t="s">
        <v>72</v>
      </c>
      <c r="V170" t="s">
        <v>5</v>
      </c>
      <c r="W170">
        <v>1</v>
      </c>
      <c r="X170" t="s">
        <v>31</v>
      </c>
      <c r="Z170" t="s">
        <v>5</v>
      </c>
      <c r="AA170" t="s">
        <v>5</v>
      </c>
      <c r="AC170" t="s">
        <v>32</v>
      </c>
      <c r="AD170">
        <v>442</v>
      </c>
    </row>
    <row r="171" spans="1:30" x14ac:dyDescent="0.3">
      <c r="A171">
        <v>14312156</v>
      </c>
      <c r="B171" s="3">
        <v>45684</v>
      </c>
      <c r="C171">
        <v>2025</v>
      </c>
      <c r="D171">
        <v>1</v>
      </c>
      <c r="E171" t="s">
        <v>1579</v>
      </c>
      <c r="F171" t="s">
        <v>125</v>
      </c>
      <c r="G171" t="s">
        <v>10</v>
      </c>
      <c r="H171" t="b">
        <v>0</v>
      </c>
      <c r="I171" t="b">
        <v>0</v>
      </c>
      <c r="J171" t="b">
        <v>0</v>
      </c>
      <c r="K171" t="b">
        <v>0</v>
      </c>
      <c r="L171" t="s">
        <v>192</v>
      </c>
      <c r="M171" t="s">
        <v>192</v>
      </c>
      <c r="N171" t="s">
        <v>5</v>
      </c>
      <c r="O171" t="b">
        <v>0</v>
      </c>
      <c r="P171">
        <v>1</v>
      </c>
      <c r="Q171" t="s">
        <v>127</v>
      </c>
      <c r="R171" t="s">
        <v>128</v>
      </c>
      <c r="S171">
        <v>65</v>
      </c>
      <c r="T171" t="s">
        <v>83</v>
      </c>
      <c r="U171" t="s">
        <v>129</v>
      </c>
      <c r="V171" t="s">
        <v>130</v>
      </c>
      <c r="W171">
        <v>1</v>
      </c>
      <c r="X171" t="s">
        <v>31</v>
      </c>
      <c r="Y171">
        <v>71</v>
      </c>
      <c r="Z171" t="s">
        <v>67</v>
      </c>
      <c r="AA171" t="s">
        <v>8</v>
      </c>
      <c r="AB171">
        <v>88</v>
      </c>
      <c r="AC171" t="s">
        <v>32</v>
      </c>
      <c r="AD171">
        <v>425</v>
      </c>
    </row>
    <row r="172" spans="1:30" x14ac:dyDescent="0.3">
      <c r="A172">
        <v>14325462</v>
      </c>
      <c r="B172" s="3">
        <v>45686</v>
      </c>
      <c r="C172">
        <v>2025</v>
      </c>
      <c r="D172">
        <v>1</v>
      </c>
      <c r="E172" t="s">
        <v>1579</v>
      </c>
      <c r="F172" t="s">
        <v>0</v>
      </c>
      <c r="G172" t="s">
        <v>1</v>
      </c>
      <c r="H172" t="b">
        <v>0</v>
      </c>
      <c r="I172" t="b">
        <v>1</v>
      </c>
      <c r="J172" t="b">
        <v>0</v>
      </c>
      <c r="K172" t="b">
        <v>0</v>
      </c>
      <c r="L172" t="s">
        <v>1728</v>
      </c>
      <c r="M172" t="s">
        <v>378</v>
      </c>
      <c r="N172" t="s">
        <v>57</v>
      </c>
      <c r="O172" t="b">
        <v>1</v>
      </c>
      <c r="P172">
        <v>3</v>
      </c>
      <c r="Q172" t="s">
        <v>141</v>
      </c>
      <c r="R172" t="s">
        <v>142</v>
      </c>
      <c r="S172">
        <v>48</v>
      </c>
      <c r="T172" t="s">
        <v>143</v>
      </c>
      <c r="U172" t="s">
        <v>144</v>
      </c>
      <c r="V172" t="s">
        <v>5</v>
      </c>
      <c r="W172">
        <v>24</v>
      </c>
      <c r="X172" t="s">
        <v>6</v>
      </c>
      <c r="Y172">
        <v>29</v>
      </c>
      <c r="Z172" t="s">
        <v>61</v>
      </c>
      <c r="AA172" t="s">
        <v>8</v>
      </c>
      <c r="AC172" t="s">
        <v>32</v>
      </c>
      <c r="AD172">
        <v>423</v>
      </c>
    </row>
    <row r="173" spans="1:30" x14ac:dyDescent="0.3">
      <c r="A173">
        <v>14334078</v>
      </c>
      <c r="B173" s="3">
        <v>45684</v>
      </c>
      <c r="C173">
        <v>2025</v>
      </c>
      <c r="D173">
        <v>1</v>
      </c>
      <c r="E173" t="s">
        <v>1579</v>
      </c>
      <c r="F173" t="s">
        <v>0</v>
      </c>
      <c r="G173" t="s">
        <v>10</v>
      </c>
      <c r="H173" t="b">
        <v>0</v>
      </c>
      <c r="I173" t="b">
        <v>0</v>
      </c>
      <c r="J173" t="b">
        <v>0</v>
      </c>
      <c r="K173" t="b">
        <v>0</v>
      </c>
      <c r="L173" t="s">
        <v>1729</v>
      </c>
      <c r="M173" t="s">
        <v>1553</v>
      </c>
      <c r="N173" t="s">
        <v>2</v>
      </c>
      <c r="O173" t="b">
        <v>1</v>
      </c>
      <c r="P173">
        <v>7</v>
      </c>
      <c r="Q173" t="s">
        <v>1051</v>
      </c>
      <c r="R173" t="s">
        <v>1052</v>
      </c>
      <c r="S173">
        <v>65</v>
      </c>
      <c r="T173" t="s">
        <v>619</v>
      </c>
      <c r="U173" t="s">
        <v>4</v>
      </c>
      <c r="V173" t="s">
        <v>5</v>
      </c>
      <c r="W173">
        <v>4</v>
      </c>
      <c r="X173" t="s">
        <v>40</v>
      </c>
      <c r="Y173">
        <v>66</v>
      </c>
      <c r="Z173" t="s">
        <v>67</v>
      </c>
      <c r="AA173" t="s">
        <v>15</v>
      </c>
      <c r="AC173" t="s">
        <v>519</v>
      </c>
      <c r="AD173">
        <v>425</v>
      </c>
    </row>
    <row r="174" spans="1:30" x14ac:dyDescent="0.3">
      <c r="A174">
        <v>14337832</v>
      </c>
      <c r="B174" s="3">
        <v>45667</v>
      </c>
      <c r="C174">
        <v>2025</v>
      </c>
      <c r="D174">
        <v>1</v>
      </c>
      <c r="E174" t="s">
        <v>1579</v>
      </c>
      <c r="F174" t="s">
        <v>0</v>
      </c>
      <c r="G174" t="s">
        <v>50</v>
      </c>
      <c r="H174" t="b">
        <v>1</v>
      </c>
      <c r="I174" t="b">
        <v>0</v>
      </c>
      <c r="J174" t="b">
        <v>0</v>
      </c>
      <c r="K174" t="b">
        <v>0</v>
      </c>
      <c r="L174" t="s">
        <v>173</v>
      </c>
      <c r="M174" t="s">
        <v>173</v>
      </c>
      <c r="N174" t="s">
        <v>5</v>
      </c>
      <c r="O174" t="b">
        <v>0</v>
      </c>
      <c r="P174">
        <v>1</v>
      </c>
      <c r="Q174" t="s">
        <v>1730</v>
      </c>
      <c r="R174" t="s">
        <v>1731</v>
      </c>
      <c r="S174">
        <v>65</v>
      </c>
      <c r="T174" t="s">
        <v>5</v>
      </c>
      <c r="U174" t="s">
        <v>1732</v>
      </c>
      <c r="V174" t="s">
        <v>1197</v>
      </c>
      <c r="W174">
        <v>1</v>
      </c>
      <c r="X174" t="s">
        <v>31</v>
      </c>
      <c r="Z174" t="s">
        <v>5</v>
      </c>
      <c r="AA174" t="s">
        <v>8</v>
      </c>
      <c r="AC174" t="s">
        <v>25</v>
      </c>
      <c r="AD174">
        <v>442</v>
      </c>
    </row>
    <row r="175" spans="1:30" x14ac:dyDescent="0.3">
      <c r="A175">
        <v>14338206</v>
      </c>
      <c r="B175" s="3">
        <v>45667</v>
      </c>
      <c r="C175">
        <v>2025</v>
      </c>
      <c r="D175">
        <v>1</v>
      </c>
      <c r="E175" t="s">
        <v>1579</v>
      </c>
      <c r="F175" t="s">
        <v>125</v>
      </c>
      <c r="G175" t="s">
        <v>10</v>
      </c>
      <c r="H175" t="b">
        <v>0</v>
      </c>
      <c r="I175" t="b">
        <v>0</v>
      </c>
      <c r="J175" t="b">
        <v>0</v>
      </c>
      <c r="K175" t="b">
        <v>0</v>
      </c>
      <c r="L175" t="s">
        <v>1733</v>
      </c>
      <c r="M175" t="s">
        <v>285</v>
      </c>
      <c r="N175" t="s">
        <v>5</v>
      </c>
      <c r="O175" t="b">
        <v>0</v>
      </c>
      <c r="P175">
        <v>8</v>
      </c>
      <c r="Q175" t="s">
        <v>208</v>
      </c>
      <c r="R175" t="s">
        <v>286</v>
      </c>
      <c r="S175">
        <v>48</v>
      </c>
      <c r="T175" t="s">
        <v>80</v>
      </c>
      <c r="U175" t="s">
        <v>210</v>
      </c>
      <c r="V175" t="s">
        <v>5</v>
      </c>
      <c r="W175">
        <v>7</v>
      </c>
      <c r="X175" t="s">
        <v>6</v>
      </c>
      <c r="Y175">
        <v>67</v>
      </c>
      <c r="Z175" t="s">
        <v>67</v>
      </c>
      <c r="AA175" t="s">
        <v>8</v>
      </c>
      <c r="AB175">
        <v>108.41</v>
      </c>
      <c r="AC175" t="s">
        <v>32</v>
      </c>
      <c r="AD175">
        <v>442</v>
      </c>
    </row>
    <row r="176" spans="1:30" x14ac:dyDescent="0.3">
      <c r="A176">
        <v>14338789</v>
      </c>
      <c r="B176" s="3">
        <v>45659</v>
      </c>
      <c r="C176">
        <v>2025</v>
      </c>
      <c r="D176">
        <v>1</v>
      </c>
      <c r="E176" t="s">
        <v>1579</v>
      </c>
      <c r="F176" t="s">
        <v>0</v>
      </c>
      <c r="G176" t="s">
        <v>10</v>
      </c>
      <c r="H176" t="b">
        <v>0</v>
      </c>
      <c r="I176" t="b">
        <v>0</v>
      </c>
      <c r="J176" t="b">
        <v>0</v>
      </c>
      <c r="K176" t="b">
        <v>0</v>
      </c>
      <c r="L176" t="s">
        <v>1734</v>
      </c>
      <c r="M176" t="s">
        <v>1492</v>
      </c>
      <c r="N176" t="s">
        <v>5</v>
      </c>
      <c r="O176" t="b">
        <v>0</v>
      </c>
      <c r="P176">
        <v>2</v>
      </c>
      <c r="Q176" t="s">
        <v>1059</v>
      </c>
      <c r="R176" t="s">
        <v>1060</v>
      </c>
      <c r="S176" t="s">
        <v>5</v>
      </c>
      <c r="T176" t="s">
        <v>5</v>
      </c>
      <c r="U176" t="s">
        <v>1061</v>
      </c>
      <c r="V176" t="s">
        <v>279</v>
      </c>
      <c r="W176">
        <v>1</v>
      </c>
      <c r="X176" t="s">
        <v>31</v>
      </c>
      <c r="Z176" t="s">
        <v>5</v>
      </c>
      <c r="AA176" t="s">
        <v>5</v>
      </c>
      <c r="AC176" t="s">
        <v>1735</v>
      </c>
      <c r="AD176">
        <v>450</v>
      </c>
    </row>
    <row r="177" spans="1:30" x14ac:dyDescent="0.3">
      <c r="A177">
        <v>14348474</v>
      </c>
      <c r="B177" s="3">
        <v>45688</v>
      </c>
      <c r="C177">
        <v>2025</v>
      </c>
      <c r="D177">
        <v>1</v>
      </c>
      <c r="E177" t="s">
        <v>1579</v>
      </c>
      <c r="F177" t="s">
        <v>125</v>
      </c>
      <c r="G177" t="s">
        <v>10</v>
      </c>
      <c r="H177" t="b">
        <v>0</v>
      </c>
      <c r="I177" t="b">
        <v>0</v>
      </c>
      <c r="J177" t="b">
        <v>0</v>
      </c>
      <c r="K177" t="b">
        <v>0</v>
      </c>
      <c r="L177" t="s">
        <v>1736</v>
      </c>
      <c r="M177" t="s">
        <v>516</v>
      </c>
      <c r="N177" t="s">
        <v>118</v>
      </c>
      <c r="O177" t="b">
        <v>0</v>
      </c>
      <c r="P177">
        <v>27</v>
      </c>
      <c r="Q177" t="s">
        <v>175</v>
      </c>
      <c r="R177" t="s">
        <v>176</v>
      </c>
      <c r="S177">
        <v>50</v>
      </c>
      <c r="T177" t="s">
        <v>150</v>
      </c>
      <c r="U177" t="s">
        <v>177</v>
      </c>
      <c r="V177" t="s">
        <v>178</v>
      </c>
      <c r="W177">
        <v>9</v>
      </c>
      <c r="X177" t="s">
        <v>6</v>
      </c>
      <c r="Y177">
        <v>38</v>
      </c>
      <c r="Z177" t="s">
        <v>61</v>
      </c>
      <c r="AA177" t="s">
        <v>8</v>
      </c>
      <c r="AC177" t="s">
        <v>32</v>
      </c>
      <c r="AD177">
        <v>421</v>
      </c>
    </row>
    <row r="178" spans="1:30" x14ac:dyDescent="0.3">
      <c r="A178">
        <v>14350571</v>
      </c>
      <c r="B178" s="3">
        <v>45660</v>
      </c>
      <c r="C178">
        <v>2025</v>
      </c>
      <c r="D178">
        <v>1</v>
      </c>
      <c r="E178" t="s">
        <v>1579</v>
      </c>
      <c r="F178" t="s">
        <v>125</v>
      </c>
      <c r="G178" t="s">
        <v>10</v>
      </c>
      <c r="H178" t="b">
        <v>0</v>
      </c>
      <c r="I178" t="b">
        <v>0</v>
      </c>
      <c r="J178" t="b">
        <v>0</v>
      </c>
      <c r="K178" t="b">
        <v>0</v>
      </c>
      <c r="L178" t="s">
        <v>1558</v>
      </c>
      <c r="M178" t="s">
        <v>421</v>
      </c>
      <c r="N178" t="s">
        <v>5</v>
      </c>
      <c r="O178" t="b">
        <v>0</v>
      </c>
      <c r="P178">
        <v>2</v>
      </c>
      <c r="Q178" t="s">
        <v>226</v>
      </c>
      <c r="R178" t="s">
        <v>227</v>
      </c>
      <c r="S178" t="s">
        <v>5</v>
      </c>
      <c r="T178" t="s">
        <v>5</v>
      </c>
      <c r="U178" t="s">
        <v>228</v>
      </c>
      <c r="V178" t="s">
        <v>5</v>
      </c>
      <c r="W178">
        <v>1</v>
      </c>
      <c r="X178" t="s">
        <v>31</v>
      </c>
      <c r="Y178">
        <v>62</v>
      </c>
      <c r="Z178" t="s">
        <v>7</v>
      </c>
      <c r="AA178" t="s">
        <v>8</v>
      </c>
      <c r="AC178" t="s">
        <v>32</v>
      </c>
      <c r="AD178">
        <v>449</v>
      </c>
    </row>
    <row r="179" spans="1:30" x14ac:dyDescent="0.3">
      <c r="A179">
        <v>14353540</v>
      </c>
      <c r="B179" s="3">
        <v>45684</v>
      </c>
      <c r="C179">
        <v>2025</v>
      </c>
      <c r="D179">
        <v>1</v>
      </c>
      <c r="E179" t="s">
        <v>1579</v>
      </c>
      <c r="F179" t="s">
        <v>0</v>
      </c>
      <c r="G179" t="s">
        <v>1</v>
      </c>
      <c r="H179" t="b">
        <v>0</v>
      </c>
      <c r="I179" t="b">
        <v>1</v>
      </c>
      <c r="J179" t="b">
        <v>0</v>
      </c>
      <c r="K179" t="b">
        <v>0</v>
      </c>
      <c r="L179" t="s">
        <v>1737</v>
      </c>
      <c r="M179" t="s">
        <v>551</v>
      </c>
      <c r="N179" t="s">
        <v>118</v>
      </c>
      <c r="O179" t="b">
        <v>0</v>
      </c>
      <c r="P179">
        <v>13</v>
      </c>
      <c r="Q179" t="s">
        <v>289</v>
      </c>
      <c r="R179" t="s">
        <v>290</v>
      </c>
      <c r="S179" t="s">
        <v>5</v>
      </c>
      <c r="T179" t="s">
        <v>291</v>
      </c>
      <c r="U179" t="s">
        <v>271</v>
      </c>
      <c r="V179" t="s">
        <v>292</v>
      </c>
      <c r="W179">
        <v>30</v>
      </c>
      <c r="X179" t="s">
        <v>6</v>
      </c>
      <c r="Y179">
        <v>32</v>
      </c>
      <c r="Z179" t="s">
        <v>61</v>
      </c>
      <c r="AA179" t="s">
        <v>8</v>
      </c>
      <c r="AC179" t="s">
        <v>9</v>
      </c>
      <c r="AD179">
        <v>425</v>
      </c>
    </row>
    <row r="180" spans="1:30" x14ac:dyDescent="0.3">
      <c r="A180">
        <v>14355954</v>
      </c>
      <c r="B180" s="3">
        <v>45659</v>
      </c>
      <c r="C180">
        <v>2025</v>
      </c>
      <c r="D180">
        <v>1</v>
      </c>
      <c r="E180" t="s">
        <v>1579</v>
      </c>
      <c r="F180" t="s">
        <v>0</v>
      </c>
      <c r="G180" t="s">
        <v>10</v>
      </c>
      <c r="H180" t="b">
        <v>0</v>
      </c>
      <c r="I180" t="b">
        <v>0</v>
      </c>
      <c r="J180" t="b">
        <v>0</v>
      </c>
      <c r="K180" t="b">
        <v>0</v>
      </c>
      <c r="L180" t="s">
        <v>1738</v>
      </c>
      <c r="M180" t="s">
        <v>745</v>
      </c>
      <c r="N180" t="s">
        <v>5</v>
      </c>
      <c r="O180" t="b">
        <v>0</v>
      </c>
      <c r="P180">
        <v>3</v>
      </c>
      <c r="Q180" t="s">
        <v>169</v>
      </c>
      <c r="R180" t="s">
        <v>170</v>
      </c>
      <c r="S180" t="s">
        <v>5</v>
      </c>
      <c r="T180" t="s">
        <v>5</v>
      </c>
      <c r="U180" t="s">
        <v>106</v>
      </c>
      <c r="V180" t="s">
        <v>172</v>
      </c>
      <c r="W180">
        <v>1</v>
      </c>
      <c r="X180" t="s">
        <v>31</v>
      </c>
      <c r="Z180" t="s">
        <v>5</v>
      </c>
      <c r="AA180" t="s">
        <v>5</v>
      </c>
      <c r="AC180" t="s">
        <v>1069</v>
      </c>
      <c r="AD180">
        <v>450</v>
      </c>
    </row>
    <row r="181" spans="1:30" x14ac:dyDescent="0.3">
      <c r="A181">
        <v>14363498</v>
      </c>
      <c r="B181" s="3">
        <v>45686</v>
      </c>
      <c r="C181">
        <v>2025</v>
      </c>
      <c r="D181">
        <v>1</v>
      </c>
      <c r="E181" t="s">
        <v>1579</v>
      </c>
      <c r="F181" t="s">
        <v>0</v>
      </c>
      <c r="G181" t="s">
        <v>50</v>
      </c>
      <c r="H181" t="b">
        <v>1</v>
      </c>
      <c r="I181" t="b">
        <v>0</v>
      </c>
      <c r="J181" t="b">
        <v>0</v>
      </c>
      <c r="K181" t="b">
        <v>0</v>
      </c>
      <c r="L181" t="s">
        <v>1739</v>
      </c>
      <c r="M181" t="s">
        <v>1740</v>
      </c>
      <c r="N181" t="s">
        <v>5</v>
      </c>
      <c r="O181" t="b">
        <v>0</v>
      </c>
      <c r="P181">
        <v>2</v>
      </c>
      <c r="Q181" t="s">
        <v>1290</v>
      </c>
      <c r="R181" t="s">
        <v>1291</v>
      </c>
      <c r="S181">
        <v>64</v>
      </c>
      <c r="T181" t="s">
        <v>1741</v>
      </c>
      <c r="U181" t="s">
        <v>1292</v>
      </c>
      <c r="V181" t="s">
        <v>5</v>
      </c>
      <c r="W181">
        <v>2</v>
      </c>
      <c r="X181" t="s">
        <v>14</v>
      </c>
      <c r="Z181" t="s">
        <v>5</v>
      </c>
      <c r="AA181" t="s">
        <v>5</v>
      </c>
      <c r="AC181" t="s">
        <v>32</v>
      </c>
      <c r="AD181">
        <v>423</v>
      </c>
    </row>
    <row r="182" spans="1:30" x14ac:dyDescent="0.3">
      <c r="A182">
        <v>14363507</v>
      </c>
      <c r="B182" s="3">
        <v>45687</v>
      </c>
      <c r="C182">
        <v>2025</v>
      </c>
      <c r="D182">
        <v>1</v>
      </c>
      <c r="E182" t="s">
        <v>1579</v>
      </c>
      <c r="F182" t="s">
        <v>0</v>
      </c>
      <c r="G182" t="s">
        <v>50</v>
      </c>
      <c r="H182" t="b">
        <v>1</v>
      </c>
      <c r="I182" t="b">
        <v>0</v>
      </c>
      <c r="J182" t="b">
        <v>0</v>
      </c>
      <c r="K182" t="b">
        <v>0</v>
      </c>
      <c r="L182" t="s">
        <v>1739</v>
      </c>
      <c r="M182" t="s">
        <v>1740</v>
      </c>
      <c r="N182" t="s">
        <v>5</v>
      </c>
      <c r="O182" t="b">
        <v>0</v>
      </c>
      <c r="P182">
        <v>2</v>
      </c>
      <c r="Q182" t="s">
        <v>1290</v>
      </c>
      <c r="R182" t="s">
        <v>1291</v>
      </c>
      <c r="S182">
        <v>64</v>
      </c>
      <c r="T182" t="s">
        <v>1741</v>
      </c>
      <c r="U182" t="s">
        <v>1292</v>
      </c>
      <c r="V182" t="s">
        <v>5</v>
      </c>
      <c r="W182">
        <v>2</v>
      </c>
      <c r="X182" t="s">
        <v>14</v>
      </c>
      <c r="Z182" t="s">
        <v>5</v>
      </c>
      <c r="AA182" t="s">
        <v>5</v>
      </c>
      <c r="AC182" t="s">
        <v>32</v>
      </c>
      <c r="AD182">
        <v>422</v>
      </c>
    </row>
    <row r="183" spans="1:30" x14ac:dyDescent="0.3">
      <c r="A183">
        <v>14363510</v>
      </c>
      <c r="B183" s="3">
        <v>45687</v>
      </c>
      <c r="C183">
        <v>2025</v>
      </c>
      <c r="D183">
        <v>1</v>
      </c>
      <c r="E183" t="s">
        <v>1579</v>
      </c>
      <c r="F183" t="s">
        <v>0</v>
      </c>
      <c r="G183" t="s">
        <v>50</v>
      </c>
      <c r="H183" t="b">
        <v>1</v>
      </c>
      <c r="I183" t="b">
        <v>0</v>
      </c>
      <c r="J183" t="b">
        <v>0</v>
      </c>
      <c r="K183" t="b">
        <v>0</v>
      </c>
      <c r="L183" t="s">
        <v>1739</v>
      </c>
      <c r="M183" t="s">
        <v>1740</v>
      </c>
      <c r="N183" t="s">
        <v>5</v>
      </c>
      <c r="O183" t="b">
        <v>0</v>
      </c>
      <c r="P183">
        <v>2</v>
      </c>
      <c r="Q183" t="s">
        <v>1290</v>
      </c>
      <c r="R183" t="s">
        <v>1291</v>
      </c>
      <c r="S183">
        <v>64</v>
      </c>
      <c r="T183" t="s">
        <v>1741</v>
      </c>
      <c r="U183" t="s">
        <v>1292</v>
      </c>
      <c r="V183" t="s">
        <v>5</v>
      </c>
      <c r="W183">
        <v>2</v>
      </c>
      <c r="X183" t="s">
        <v>14</v>
      </c>
      <c r="Z183" t="s">
        <v>5</v>
      </c>
      <c r="AA183" t="s">
        <v>5</v>
      </c>
      <c r="AC183" t="s">
        <v>32</v>
      </c>
      <c r="AD183">
        <v>422</v>
      </c>
    </row>
    <row r="184" spans="1:30" x14ac:dyDescent="0.3">
      <c r="A184">
        <v>14363511</v>
      </c>
      <c r="B184" s="3">
        <v>45687</v>
      </c>
      <c r="C184">
        <v>2025</v>
      </c>
      <c r="D184">
        <v>1</v>
      </c>
      <c r="E184" t="s">
        <v>1579</v>
      </c>
      <c r="F184" t="s">
        <v>0</v>
      </c>
      <c r="G184" t="s">
        <v>50</v>
      </c>
      <c r="H184" t="b">
        <v>1</v>
      </c>
      <c r="I184" t="b">
        <v>0</v>
      </c>
      <c r="J184" t="b">
        <v>0</v>
      </c>
      <c r="K184" t="b">
        <v>0</v>
      </c>
      <c r="L184" t="s">
        <v>1739</v>
      </c>
      <c r="M184" t="s">
        <v>1740</v>
      </c>
      <c r="N184" t="s">
        <v>5</v>
      </c>
      <c r="O184" t="b">
        <v>0</v>
      </c>
      <c r="P184">
        <v>2</v>
      </c>
      <c r="Q184" t="s">
        <v>1290</v>
      </c>
      <c r="R184" t="s">
        <v>1291</v>
      </c>
      <c r="S184">
        <v>64</v>
      </c>
      <c r="T184" t="s">
        <v>1741</v>
      </c>
      <c r="U184" t="s">
        <v>1292</v>
      </c>
      <c r="V184" t="s">
        <v>5</v>
      </c>
      <c r="W184">
        <v>2</v>
      </c>
      <c r="X184" t="s">
        <v>14</v>
      </c>
      <c r="Z184" t="s">
        <v>5</v>
      </c>
      <c r="AA184" t="s">
        <v>5</v>
      </c>
      <c r="AC184" t="s">
        <v>32</v>
      </c>
      <c r="AD184">
        <v>422</v>
      </c>
    </row>
    <row r="185" spans="1:30" x14ac:dyDescent="0.3">
      <c r="A185">
        <v>14363513</v>
      </c>
      <c r="B185" s="3">
        <v>45687</v>
      </c>
      <c r="C185">
        <v>2025</v>
      </c>
      <c r="D185">
        <v>1</v>
      </c>
      <c r="E185" t="s">
        <v>1579</v>
      </c>
      <c r="F185" t="s">
        <v>0</v>
      </c>
      <c r="G185" t="s">
        <v>50</v>
      </c>
      <c r="H185" t="b">
        <v>1</v>
      </c>
      <c r="I185" t="b">
        <v>0</v>
      </c>
      <c r="J185" t="b">
        <v>0</v>
      </c>
      <c r="K185" t="b">
        <v>0</v>
      </c>
      <c r="L185" t="s">
        <v>1739</v>
      </c>
      <c r="M185" t="s">
        <v>1740</v>
      </c>
      <c r="N185" t="s">
        <v>5</v>
      </c>
      <c r="O185" t="b">
        <v>0</v>
      </c>
      <c r="P185">
        <v>2</v>
      </c>
      <c r="Q185" t="s">
        <v>1290</v>
      </c>
      <c r="R185" t="s">
        <v>1291</v>
      </c>
      <c r="S185">
        <v>64</v>
      </c>
      <c r="T185" t="s">
        <v>1741</v>
      </c>
      <c r="U185" t="s">
        <v>1292</v>
      </c>
      <c r="V185" t="s">
        <v>5</v>
      </c>
      <c r="W185">
        <v>2</v>
      </c>
      <c r="X185" t="s">
        <v>14</v>
      </c>
      <c r="Z185" t="s">
        <v>5</v>
      </c>
      <c r="AA185" t="s">
        <v>5</v>
      </c>
      <c r="AC185" t="s">
        <v>32</v>
      </c>
      <c r="AD185">
        <v>422</v>
      </c>
    </row>
    <row r="186" spans="1:30" x14ac:dyDescent="0.3">
      <c r="A186">
        <v>14363521</v>
      </c>
      <c r="B186" s="3">
        <v>45686</v>
      </c>
      <c r="C186">
        <v>2025</v>
      </c>
      <c r="D186">
        <v>1</v>
      </c>
      <c r="E186" t="s">
        <v>1579</v>
      </c>
      <c r="F186" t="s">
        <v>0</v>
      </c>
      <c r="G186" t="s">
        <v>50</v>
      </c>
      <c r="H186" t="b">
        <v>1</v>
      </c>
      <c r="I186" t="b">
        <v>0</v>
      </c>
      <c r="J186" t="b">
        <v>0</v>
      </c>
      <c r="K186" t="b">
        <v>0</v>
      </c>
      <c r="L186" t="s">
        <v>1739</v>
      </c>
      <c r="M186" t="s">
        <v>1740</v>
      </c>
      <c r="N186" t="s">
        <v>5</v>
      </c>
      <c r="O186" t="b">
        <v>0</v>
      </c>
      <c r="P186">
        <v>2</v>
      </c>
      <c r="Q186" t="s">
        <v>1290</v>
      </c>
      <c r="R186" t="s">
        <v>1291</v>
      </c>
      <c r="S186">
        <v>64</v>
      </c>
      <c r="T186" t="s">
        <v>1741</v>
      </c>
      <c r="U186" t="s">
        <v>1292</v>
      </c>
      <c r="V186" t="s">
        <v>5</v>
      </c>
      <c r="W186">
        <v>2</v>
      </c>
      <c r="X186" t="s">
        <v>14</v>
      </c>
      <c r="Z186" t="s">
        <v>5</v>
      </c>
      <c r="AA186" t="s">
        <v>5</v>
      </c>
      <c r="AC186" t="s">
        <v>32</v>
      </c>
      <c r="AD186">
        <v>423</v>
      </c>
    </row>
    <row r="187" spans="1:30" x14ac:dyDescent="0.3">
      <c r="A187">
        <v>14363522</v>
      </c>
      <c r="B187" s="3">
        <v>45685</v>
      </c>
      <c r="C187">
        <v>2025</v>
      </c>
      <c r="D187">
        <v>1</v>
      </c>
      <c r="E187" t="s">
        <v>1579</v>
      </c>
      <c r="F187" t="s">
        <v>0</v>
      </c>
      <c r="G187" t="s">
        <v>50</v>
      </c>
      <c r="H187" t="b">
        <v>1</v>
      </c>
      <c r="I187" t="b">
        <v>0</v>
      </c>
      <c r="J187" t="b">
        <v>0</v>
      </c>
      <c r="K187" t="b">
        <v>0</v>
      </c>
      <c r="L187" t="s">
        <v>1739</v>
      </c>
      <c r="M187" t="s">
        <v>1740</v>
      </c>
      <c r="N187" t="s">
        <v>5</v>
      </c>
      <c r="O187" t="b">
        <v>0</v>
      </c>
      <c r="P187">
        <v>2</v>
      </c>
      <c r="Q187" t="s">
        <v>1290</v>
      </c>
      <c r="R187" t="s">
        <v>1291</v>
      </c>
      <c r="S187">
        <v>64</v>
      </c>
      <c r="T187" t="s">
        <v>1741</v>
      </c>
      <c r="U187" t="s">
        <v>1292</v>
      </c>
      <c r="V187" t="s">
        <v>5</v>
      </c>
      <c r="W187">
        <v>2</v>
      </c>
      <c r="X187" t="s">
        <v>14</v>
      </c>
      <c r="Z187" t="s">
        <v>5</v>
      </c>
      <c r="AA187" t="s">
        <v>5</v>
      </c>
      <c r="AC187" t="s">
        <v>32</v>
      </c>
      <c r="AD187">
        <v>424</v>
      </c>
    </row>
    <row r="188" spans="1:30" x14ac:dyDescent="0.3">
      <c r="A188">
        <v>14363528</v>
      </c>
      <c r="B188" s="3">
        <v>45687</v>
      </c>
      <c r="C188">
        <v>2025</v>
      </c>
      <c r="D188">
        <v>1</v>
      </c>
      <c r="E188" t="s">
        <v>1579</v>
      </c>
      <c r="F188" t="s">
        <v>0</v>
      </c>
      <c r="G188" t="s">
        <v>50</v>
      </c>
      <c r="H188" t="b">
        <v>1</v>
      </c>
      <c r="I188" t="b">
        <v>0</v>
      </c>
      <c r="J188" t="b">
        <v>0</v>
      </c>
      <c r="K188" t="b">
        <v>0</v>
      </c>
      <c r="L188" t="s">
        <v>1739</v>
      </c>
      <c r="M188" t="s">
        <v>1740</v>
      </c>
      <c r="N188" t="s">
        <v>5</v>
      </c>
      <c r="O188" t="b">
        <v>0</v>
      </c>
      <c r="P188">
        <v>2</v>
      </c>
      <c r="Q188" t="s">
        <v>1290</v>
      </c>
      <c r="R188" t="s">
        <v>1291</v>
      </c>
      <c r="S188">
        <v>64</v>
      </c>
      <c r="T188" t="s">
        <v>1741</v>
      </c>
      <c r="U188" t="s">
        <v>1292</v>
      </c>
      <c r="V188" t="s">
        <v>5</v>
      </c>
      <c r="W188">
        <v>2</v>
      </c>
      <c r="X188" t="s">
        <v>14</v>
      </c>
      <c r="Z188" t="s">
        <v>5</v>
      </c>
      <c r="AA188" t="s">
        <v>5</v>
      </c>
      <c r="AC188" t="s">
        <v>32</v>
      </c>
      <c r="AD188">
        <v>422</v>
      </c>
    </row>
    <row r="189" spans="1:30" x14ac:dyDescent="0.3">
      <c r="A189">
        <v>14363530</v>
      </c>
      <c r="B189" s="3">
        <v>45687</v>
      </c>
      <c r="C189">
        <v>2025</v>
      </c>
      <c r="D189">
        <v>1</v>
      </c>
      <c r="E189" t="s">
        <v>1579</v>
      </c>
      <c r="F189" t="s">
        <v>0</v>
      </c>
      <c r="G189" t="s">
        <v>50</v>
      </c>
      <c r="H189" t="b">
        <v>1</v>
      </c>
      <c r="I189" t="b">
        <v>0</v>
      </c>
      <c r="J189" t="b">
        <v>0</v>
      </c>
      <c r="K189" t="b">
        <v>0</v>
      </c>
      <c r="L189" t="s">
        <v>1739</v>
      </c>
      <c r="M189" t="s">
        <v>1740</v>
      </c>
      <c r="N189" t="s">
        <v>5</v>
      </c>
      <c r="O189" t="b">
        <v>0</v>
      </c>
      <c r="P189">
        <v>2</v>
      </c>
      <c r="Q189" t="s">
        <v>1290</v>
      </c>
      <c r="R189" t="s">
        <v>1291</v>
      </c>
      <c r="S189">
        <v>64</v>
      </c>
      <c r="T189" t="s">
        <v>1741</v>
      </c>
      <c r="U189" t="s">
        <v>1292</v>
      </c>
      <c r="V189" t="s">
        <v>5</v>
      </c>
      <c r="W189">
        <v>2</v>
      </c>
      <c r="X189" t="s">
        <v>14</v>
      </c>
      <c r="Z189" t="s">
        <v>5</v>
      </c>
      <c r="AA189" t="s">
        <v>5</v>
      </c>
      <c r="AC189" t="s">
        <v>32</v>
      </c>
      <c r="AD189">
        <v>422</v>
      </c>
    </row>
    <row r="190" spans="1:30" x14ac:dyDescent="0.3">
      <c r="A190">
        <v>14363533</v>
      </c>
      <c r="B190" s="3">
        <v>45685</v>
      </c>
      <c r="C190">
        <v>2025</v>
      </c>
      <c r="D190">
        <v>1</v>
      </c>
      <c r="E190" t="s">
        <v>1579</v>
      </c>
      <c r="F190" t="s">
        <v>0</v>
      </c>
      <c r="G190" t="s">
        <v>50</v>
      </c>
      <c r="H190" t="b">
        <v>1</v>
      </c>
      <c r="I190" t="b">
        <v>0</v>
      </c>
      <c r="J190" t="b">
        <v>0</v>
      </c>
      <c r="K190" t="b">
        <v>0</v>
      </c>
      <c r="L190" t="s">
        <v>1739</v>
      </c>
      <c r="M190" t="s">
        <v>1740</v>
      </c>
      <c r="N190" t="s">
        <v>5</v>
      </c>
      <c r="O190" t="b">
        <v>0</v>
      </c>
      <c r="P190">
        <v>2</v>
      </c>
      <c r="Q190" t="s">
        <v>1290</v>
      </c>
      <c r="R190" t="s">
        <v>1291</v>
      </c>
      <c r="S190">
        <v>64</v>
      </c>
      <c r="T190" t="s">
        <v>1741</v>
      </c>
      <c r="U190" t="s">
        <v>1292</v>
      </c>
      <c r="V190" t="s">
        <v>5</v>
      </c>
      <c r="W190">
        <v>2</v>
      </c>
      <c r="X190" t="s">
        <v>14</v>
      </c>
      <c r="Z190" t="s">
        <v>5</v>
      </c>
      <c r="AA190" t="s">
        <v>5</v>
      </c>
      <c r="AC190" t="s">
        <v>32</v>
      </c>
      <c r="AD190">
        <v>424</v>
      </c>
    </row>
    <row r="191" spans="1:30" x14ac:dyDescent="0.3">
      <c r="A191">
        <v>14363534</v>
      </c>
      <c r="B191" s="3">
        <v>45685</v>
      </c>
      <c r="C191">
        <v>2025</v>
      </c>
      <c r="D191">
        <v>1</v>
      </c>
      <c r="E191" t="s">
        <v>1579</v>
      </c>
      <c r="F191" t="s">
        <v>0</v>
      </c>
      <c r="G191" t="s">
        <v>50</v>
      </c>
      <c r="H191" t="b">
        <v>1</v>
      </c>
      <c r="I191" t="b">
        <v>0</v>
      </c>
      <c r="J191" t="b">
        <v>0</v>
      </c>
      <c r="K191" t="b">
        <v>0</v>
      </c>
      <c r="L191" t="s">
        <v>1739</v>
      </c>
      <c r="M191" t="s">
        <v>1740</v>
      </c>
      <c r="N191" t="s">
        <v>5</v>
      </c>
      <c r="O191" t="b">
        <v>0</v>
      </c>
      <c r="P191">
        <v>2</v>
      </c>
      <c r="Q191" t="s">
        <v>1290</v>
      </c>
      <c r="R191" t="s">
        <v>1291</v>
      </c>
      <c r="S191">
        <v>64</v>
      </c>
      <c r="T191" t="s">
        <v>1741</v>
      </c>
      <c r="U191" t="s">
        <v>1292</v>
      </c>
      <c r="V191" t="s">
        <v>5</v>
      </c>
      <c r="W191">
        <v>2</v>
      </c>
      <c r="X191" t="s">
        <v>14</v>
      </c>
      <c r="Z191" t="s">
        <v>5</v>
      </c>
      <c r="AA191" t="s">
        <v>5</v>
      </c>
      <c r="AC191" t="s">
        <v>32</v>
      </c>
      <c r="AD191">
        <v>424</v>
      </c>
    </row>
    <row r="192" spans="1:30" x14ac:dyDescent="0.3">
      <c r="A192">
        <v>14363537</v>
      </c>
      <c r="B192" s="3">
        <v>45685</v>
      </c>
      <c r="C192">
        <v>2025</v>
      </c>
      <c r="D192">
        <v>1</v>
      </c>
      <c r="E192" t="s">
        <v>1579</v>
      </c>
      <c r="F192" t="s">
        <v>0</v>
      </c>
      <c r="G192" t="s">
        <v>50</v>
      </c>
      <c r="H192" t="b">
        <v>1</v>
      </c>
      <c r="I192" t="b">
        <v>0</v>
      </c>
      <c r="J192" t="b">
        <v>0</v>
      </c>
      <c r="K192" t="b">
        <v>0</v>
      </c>
      <c r="L192" t="s">
        <v>1739</v>
      </c>
      <c r="M192" t="s">
        <v>1740</v>
      </c>
      <c r="N192" t="s">
        <v>5</v>
      </c>
      <c r="O192" t="b">
        <v>0</v>
      </c>
      <c r="P192">
        <v>2</v>
      </c>
      <c r="Q192" t="s">
        <v>1290</v>
      </c>
      <c r="R192" t="s">
        <v>1291</v>
      </c>
      <c r="S192">
        <v>64</v>
      </c>
      <c r="T192" t="s">
        <v>1741</v>
      </c>
      <c r="U192" t="s">
        <v>1292</v>
      </c>
      <c r="V192" t="s">
        <v>5</v>
      </c>
      <c r="W192">
        <v>2</v>
      </c>
      <c r="X192" t="s">
        <v>14</v>
      </c>
      <c r="Z192" t="s">
        <v>5</v>
      </c>
      <c r="AA192" t="s">
        <v>5</v>
      </c>
      <c r="AC192" t="s">
        <v>32</v>
      </c>
      <c r="AD192">
        <v>424</v>
      </c>
    </row>
    <row r="193" spans="1:30" x14ac:dyDescent="0.3">
      <c r="A193">
        <v>14363578</v>
      </c>
      <c r="B193" s="3">
        <v>45685</v>
      </c>
      <c r="C193">
        <v>2025</v>
      </c>
      <c r="D193">
        <v>1</v>
      </c>
      <c r="E193" t="s">
        <v>1579</v>
      </c>
      <c r="F193" t="s">
        <v>0</v>
      </c>
      <c r="G193" t="s">
        <v>50</v>
      </c>
      <c r="H193" t="b">
        <v>1</v>
      </c>
      <c r="I193" t="b">
        <v>0</v>
      </c>
      <c r="J193" t="b">
        <v>0</v>
      </c>
      <c r="K193" t="b">
        <v>0</v>
      </c>
      <c r="L193" t="s">
        <v>1739</v>
      </c>
      <c r="M193" t="s">
        <v>1740</v>
      </c>
      <c r="N193" t="s">
        <v>5</v>
      </c>
      <c r="O193" t="b">
        <v>0</v>
      </c>
      <c r="P193">
        <v>2</v>
      </c>
      <c r="Q193" t="s">
        <v>1290</v>
      </c>
      <c r="R193" t="s">
        <v>1291</v>
      </c>
      <c r="S193">
        <v>64</v>
      </c>
      <c r="T193" t="s">
        <v>1741</v>
      </c>
      <c r="U193" t="s">
        <v>1292</v>
      </c>
      <c r="V193" t="s">
        <v>5</v>
      </c>
      <c r="W193">
        <v>2</v>
      </c>
      <c r="X193" t="s">
        <v>14</v>
      </c>
      <c r="Z193" t="s">
        <v>5</v>
      </c>
      <c r="AA193" t="s">
        <v>5</v>
      </c>
      <c r="AC193" t="s">
        <v>32</v>
      </c>
      <c r="AD193">
        <v>424</v>
      </c>
    </row>
    <row r="194" spans="1:30" x14ac:dyDescent="0.3">
      <c r="A194">
        <v>14363579</v>
      </c>
      <c r="B194" s="3">
        <v>45685</v>
      </c>
      <c r="C194">
        <v>2025</v>
      </c>
      <c r="D194">
        <v>1</v>
      </c>
      <c r="E194" t="s">
        <v>1579</v>
      </c>
      <c r="F194" t="s">
        <v>0</v>
      </c>
      <c r="G194" t="s">
        <v>50</v>
      </c>
      <c r="H194" t="b">
        <v>1</v>
      </c>
      <c r="I194" t="b">
        <v>0</v>
      </c>
      <c r="J194" t="b">
        <v>0</v>
      </c>
      <c r="K194" t="b">
        <v>0</v>
      </c>
      <c r="L194" t="s">
        <v>1739</v>
      </c>
      <c r="M194" t="s">
        <v>1740</v>
      </c>
      <c r="N194" t="s">
        <v>5</v>
      </c>
      <c r="O194" t="b">
        <v>0</v>
      </c>
      <c r="P194">
        <v>2</v>
      </c>
      <c r="Q194" t="s">
        <v>1290</v>
      </c>
      <c r="R194" t="s">
        <v>1291</v>
      </c>
      <c r="S194">
        <v>64</v>
      </c>
      <c r="T194" t="s">
        <v>1741</v>
      </c>
      <c r="U194" t="s">
        <v>1292</v>
      </c>
      <c r="V194" t="s">
        <v>5</v>
      </c>
      <c r="W194">
        <v>2</v>
      </c>
      <c r="X194" t="s">
        <v>14</v>
      </c>
      <c r="Z194" t="s">
        <v>5</v>
      </c>
      <c r="AA194" t="s">
        <v>5</v>
      </c>
      <c r="AC194" t="s">
        <v>32</v>
      </c>
      <c r="AD194">
        <v>424</v>
      </c>
    </row>
    <row r="195" spans="1:30" x14ac:dyDescent="0.3">
      <c r="A195">
        <v>14363580</v>
      </c>
      <c r="B195" s="3">
        <v>45685</v>
      </c>
      <c r="C195">
        <v>2025</v>
      </c>
      <c r="D195">
        <v>1</v>
      </c>
      <c r="E195" t="s">
        <v>1579</v>
      </c>
      <c r="F195" t="s">
        <v>0</v>
      </c>
      <c r="G195" t="s">
        <v>50</v>
      </c>
      <c r="H195" t="b">
        <v>1</v>
      </c>
      <c r="I195" t="b">
        <v>0</v>
      </c>
      <c r="J195" t="b">
        <v>0</v>
      </c>
      <c r="K195" t="b">
        <v>0</v>
      </c>
      <c r="L195" t="s">
        <v>1739</v>
      </c>
      <c r="M195" t="s">
        <v>1740</v>
      </c>
      <c r="N195" t="s">
        <v>5</v>
      </c>
      <c r="O195" t="b">
        <v>0</v>
      </c>
      <c r="P195">
        <v>2</v>
      </c>
      <c r="Q195" t="s">
        <v>1290</v>
      </c>
      <c r="R195" t="s">
        <v>1291</v>
      </c>
      <c r="S195">
        <v>64</v>
      </c>
      <c r="T195" t="s">
        <v>1741</v>
      </c>
      <c r="U195" t="s">
        <v>1292</v>
      </c>
      <c r="V195" t="s">
        <v>5</v>
      </c>
      <c r="W195">
        <v>2</v>
      </c>
      <c r="X195" t="s">
        <v>14</v>
      </c>
      <c r="Z195" t="s">
        <v>5</v>
      </c>
      <c r="AA195" t="s">
        <v>5</v>
      </c>
      <c r="AC195" t="s">
        <v>32</v>
      </c>
      <c r="AD195">
        <v>424</v>
      </c>
    </row>
    <row r="196" spans="1:30" x14ac:dyDescent="0.3">
      <c r="A196">
        <v>14366891</v>
      </c>
      <c r="B196" s="3">
        <v>45686</v>
      </c>
      <c r="C196">
        <v>2025</v>
      </c>
      <c r="D196">
        <v>1</v>
      </c>
      <c r="E196" t="s">
        <v>1579</v>
      </c>
      <c r="F196" t="s">
        <v>0</v>
      </c>
      <c r="G196" t="s">
        <v>50</v>
      </c>
      <c r="H196" t="b">
        <v>1</v>
      </c>
      <c r="I196" t="b">
        <v>0</v>
      </c>
      <c r="J196" t="b">
        <v>0</v>
      </c>
      <c r="K196" t="b">
        <v>0</v>
      </c>
      <c r="L196" t="s">
        <v>1739</v>
      </c>
      <c r="M196" t="s">
        <v>1740</v>
      </c>
      <c r="N196" t="s">
        <v>5</v>
      </c>
      <c r="O196" t="b">
        <v>0</v>
      </c>
      <c r="P196">
        <v>2</v>
      </c>
      <c r="Q196" t="s">
        <v>1290</v>
      </c>
      <c r="R196" t="s">
        <v>1291</v>
      </c>
      <c r="S196">
        <v>64</v>
      </c>
      <c r="T196" t="s">
        <v>1741</v>
      </c>
      <c r="U196" t="s">
        <v>1292</v>
      </c>
      <c r="V196" t="s">
        <v>5</v>
      </c>
      <c r="W196">
        <v>2</v>
      </c>
      <c r="X196" t="s">
        <v>14</v>
      </c>
      <c r="Z196" t="s">
        <v>5</v>
      </c>
      <c r="AA196" t="s">
        <v>5</v>
      </c>
      <c r="AC196" t="s">
        <v>32</v>
      </c>
      <c r="AD196">
        <v>423</v>
      </c>
    </row>
    <row r="197" spans="1:30" x14ac:dyDescent="0.3">
      <c r="A197">
        <v>14366894</v>
      </c>
      <c r="B197" s="3">
        <v>45685</v>
      </c>
      <c r="C197">
        <v>2025</v>
      </c>
      <c r="D197">
        <v>1</v>
      </c>
      <c r="E197" t="s">
        <v>1579</v>
      </c>
      <c r="F197" t="s">
        <v>0</v>
      </c>
      <c r="G197" t="s">
        <v>50</v>
      </c>
      <c r="H197" t="b">
        <v>1</v>
      </c>
      <c r="I197" t="b">
        <v>0</v>
      </c>
      <c r="J197" t="b">
        <v>0</v>
      </c>
      <c r="K197" t="b">
        <v>0</v>
      </c>
      <c r="L197" t="s">
        <v>1739</v>
      </c>
      <c r="M197" t="s">
        <v>1740</v>
      </c>
      <c r="N197" t="s">
        <v>5</v>
      </c>
      <c r="O197" t="b">
        <v>0</v>
      </c>
      <c r="P197">
        <v>2</v>
      </c>
      <c r="Q197" t="s">
        <v>1290</v>
      </c>
      <c r="R197" t="s">
        <v>1291</v>
      </c>
      <c r="S197">
        <v>64</v>
      </c>
      <c r="T197" t="s">
        <v>1741</v>
      </c>
      <c r="U197" t="s">
        <v>1292</v>
      </c>
      <c r="V197" t="s">
        <v>5</v>
      </c>
      <c r="W197">
        <v>2</v>
      </c>
      <c r="X197" t="s">
        <v>14</v>
      </c>
      <c r="Z197" t="s">
        <v>5</v>
      </c>
      <c r="AA197" t="s">
        <v>5</v>
      </c>
      <c r="AC197" t="s">
        <v>32</v>
      </c>
      <c r="AD197">
        <v>424</v>
      </c>
    </row>
    <row r="198" spans="1:30" x14ac:dyDescent="0.3">
      <c r="A198">
        <v>14366896</v>
      </c>
      <c r="B198" s="3">
        <v>45686</v>
      </c>
      <c r="C198">
        <v>2025</v>
      </c>
      <c r="D198">
        <v>1</v>
      </c>
      <c r="E198" t="s">
        <v>1579</v>
      </c>
      <c r="F198" t="s">
        <v>0</v>
      </c>
      <c r="G198" t="s">
        <v>50</v>
      </c>
      <c r="H198" t="b">
        <v>1</v>
      </c>
      <c r="I198" t="b">
        <v>0</v>
      </c>
      <c r="J198" t="b">
        <v>0</v>
      </c>
      <c r="K198" t="b">
        <v>0</v>
      </c>
      <c r="L198" t="s">
        <v>1739</v>
      </c>
      <c r="M198" t="s">
        <v>1740</v>
      </c>
      <c r="N198" t="s">
        <v>5</v>
      </c>
      <c r="O198" t="b">
        <v>0</v>
      </c>
      <c r="P198">
        <v>2</v>
      </c>
      <c r="Q198" t="s">
        <v>1290</v>
      </c>
      <c r="R198" t="s">
        <v>1291</v>
      </c>
      <c r="S198">
        <v>64</v>
      </c>
      <c r="T198" t="s">
        <v>1741</v>
      </c>
      <c r="U198" t="s">
        <v>1292</v>
      </c>
      <c r="V198" t="s">
        <v>5</v>
      </c>
      <c r="W198">
        <v>2</v>
      </c>
      <c r="X198" t="s">
        <v>14</v>
      </c>
      <c r="Z198" t="s">
        <v>5</v>
      </c>
      <c r="AA198" t="s">
        <v>5</v>
      </c>
      <c r="AC198" t="s">
        <v>32</v>
      </c>
      <c r="AD198">
        <v>423</v>
      </c>
    </row>
    <row r="199" spans="1:30" x14ac:dyDescent="0.3">
      <c r="A199">
        <v>14366897</v>
      </c>
      <c r="B199" s="3">
        <v>45687</v>
      </c>
      <c r="C199">
        <v>2025</v>
      </c>
      <c r="D199">
        <v>1</v>
      </c>
      <c r="E199" t="s">
        <v>1579</v>
      </c>
      <c r="F199" t="s">
        <v>0</v>
      </c>
      <c r="G199" t="s">
        <v>50</v>
      </c>
      <c r="H199" t="b">
        <v>1</v>
      </c>
      <c r="I199" t="b">
        <v>0</v>
      </c>
      <c r="J199" t="b">
        <v>0</v>
      </c>
      <c r="K199" t="b">
        <v>0</v>
      </c>
      <c r="L199" t="s">
        <v>1739</v>
      </c>
      <c r="M199" t="s">
        <v>1740</v>
      </c>
      <c r="N199" t="s">
        <v>5</v>
      </c>
      <c r="O199" t="b">
        <v>0</v>
      </c>
      <c r="P199">
        <v>2</v>
      </c>
      <c r="Q199" t="s">
        <v>1290</v>
      </c>
      <c r="R199" t="s">
        <v>1291</v>
      </c>
      <c r="S199">
        <v>64</v>
      </c>
      <c r="T199" t="s">
        <v>1741</v>
      </c>
      <c r="U199" t="s">
        <v>1292</v>
      </c>
      <c r="V199" t="s">
        <v>5</v>
      </c>
      <c r="W199">
        <v>2</v>
      </c>
      <c r="X199" t="s">
        <v>14</v>
      </c>
      <c r="Z199" t="s">
        <v>5</v>
      </c>
      <c r="AA199" t="s">
        <v>5</v>
      </c>
      <c r="AC199" t="s">
        <v>32</v>
      </c>
      <c r="AD199">
        <v>422</v>
      </c>
    </row>
    <row r="200" spans="1:30" x14ac:dyDescent="0.3">
      <c r="A200">
        <v>14366919</v>
      </c>
      <c r="B200" s="3">
        <v>45685</v>
      </c>
      <c r="C200">
        <v>2025</v>
      </c>
      <c r="D200">
        <v>1</v>
      </c>
      <c r="E200" t="s">
        <v>1579</v>
      </c>
      <c r="F200" t="s">
        <v>0</v>
      </c>
      <c r="G200" t="s">
        <v>50</v>
      </c>
      <c r="H200" t="b">
        <v>1</v>
      </c>
      <c r="I200" t="b">
        <v>0</v>
      </c>
      <c r="J200" t="b">
        <v>0</v>
      </c>
      <c r="K200" t="b">
        <v>0</v>
      </c>
      <c r="L200" t="s">
        <v>1739</v>
      </c>
      <c r="M200" t="s">
        <v>1740</v>
      </c>
      <c r="N200" t="s">
        <v>5</v>
      </c>
      <c r="O200" t="b">
        <v>0</v>
      </c>
      <c r="P200">
        <v>2</v>
      </c>
      <c r="Q200" t="s">
        <v>1290</v>
      </c>
      <c r="R200" t="s">
        <v>1291</v>
      </c>
      <c r="S200">
        <v>64</v>
      </c>
      <c r="T200" t="s">
        <v>1741</v>
      </c>
      <c r="U200" t="s">
        <v>1292</v>
      </c>
      <c r="V200" t="s">
        <v>5</v>
      </c>
      <c r="W200">
        <v>2</v>
      </c>
      <c r="X200" t="s">
        <v>14</v>
      </c>
      <c r="Z200" t="s">
        <v>5</v>
      </c>
      <c r="AA200" t="s">
        <v>5</v>
      </c>
      <c r="AC200" t="s">
        <v>32</v>
      </c>
      <c r="AD200">
        <v>424</v>
      </c>
    </row>
    <row r="201" spans="1:30" x14ac:dyDescent="0.3">
      <c r="A201">
        <v>14366924</v>
      </c>
      <c r="B201" s="3">
        <v>45685</v>
      </c>
      <c r="C201">
        <v>2025</v>
      </c>
      <c r="D201">
        <v>1</v>
      </c>
      <c r="E201" t="s">
        <v>1579</v>
      </c>
      <c r="F201" t="s">
        <v>0</v>
      </c>
      <c r="G201" t="s">
        <v>50</v>
      </c>
      <c r="H201" t="b">
        <v>1</v>
      </c>
      <c r="I201" t="b">
        <v>0</v>
      </c>
      <c r="J201" t="b">
        <v>0</v>
      </c>
      <c r="K201" t="b">
        <v>0</v>
      </c>
      <c r="L201" t="s">
        <v>1739</v>
      </c>
      <c r="M201" t="s">
        <v>1740</v>
      </c>
      <c r="N201" t="s">
        <v>5</v>
      </c>
      <c r="O201" t="b">
        <v>0</v>
      </c>
      <c r="P201">
        <v>2</v>
      </c>
      <c r="Q201" t="s">
        <v>1290</v>
      </c>
      <c r="R201" t="s">
        <v>1291</v>
      </c>
      <c r="S201">
        <v>64</v>
      </c>
      <c r="T201" t="s">
        <v>1741</v>
      </c>
      <c r="U201" t="s">
        <v>1292</v>
      </c>
      <c r="V201" t="s">
        <v>5</v>
      </c>
      <c r="W201">
        <v>2</v>
      </c>
      <c r="X201" t="s">
        <v>14</v>
      </c>
      <c r="Z201" t="s">
        <v>5</v>
      </c>
      <c r="AA201" t="s">
        <v>5</v>
      </c>
      <c r="AC201" t="s">
        <v>32</v>
      </c>
      <c r="AD201">
        <v>424</v>
      </c>
    </row>
    <row r="202" spans="1:30" x14ac:dyDescent="0.3">
      <c r="A202">
        <v>14366925</v>
      </c>
      <c r="B202" s="3">
        <v>45685</v>
      </c>
      <c r="C202">
        <v>2025</v>
      </c>
      <c r="D202">
        <v>1</v>
      </c>
      <c r="E202" t="s">
        <v>1579</v>
      </c>
      <c r="F202" t="s">
        <v>0</v>
      </c>
      <c r="G202" t="s">
        <v>50</v>
      </c>
      <c r="H202" t="b">
        <v>1</v>
      </c>
      <c r="I202" t="b">
        <v>0</v>
      </c>
      <c r="J202" t="b">
        <v>0</v>
      </c>
      <c r="K202" t="b">
        <v>0</v>
      </c>
      <c r="L202" t="s">
        <v>1739</v>
      </c>
      <c r="M202" t="s">
        <v>1740</v>
      </c>
      <c r="N202" t="s">
        <v>5</v>
      </c>
      <c r="O202" t="b">
        <v>0</v>
      </c>
      <c r="P202">
        <v>2</v>
      </c>
      <c r="Q202" t="s">
        <v>1290</v>
      </c>
      <c r="R202" t="s">
        <v>1291</v>
      </c>
      <c r="S202">
        <v>64</v>
      </c>
      <c r="T202" t="s">
        <v>1741</v>
      </c>
      <c r="U202" t="s">
        <v>1292</v>
      </c>
      <c r="V202" t="s">
        <v>5</v>
      </c>
      <c r="W202">
        <v>2</v>
      </c>
      <c r="X202" t="s">
        <v>14</v>
      </c>
      <c r="Z202" t="s">
        <v>5</v>
      </c>
      <c r="AA202" t="s">
        <v>5</v>
      </c>
      <c r="AC202" t="s">
        <v>32</v>
      </c>
      <c r="AD202">
        <v>424</v>
      </c>
    </row>
    <row r="203" spans="1:30" x14ac:dyDescent="0.3">
      <c r="A203">
        <v>14366926</v>
      </c>
      <c r="B203" s="3">
        <v>45685</v>
      </c>
      <c r="C203">
        <v>2025</v>
      </c>
      <c r="D203">
        <v>1</v>
      </c>
      <c r="E203" t="s">
        <v>1579</v>
      </c>
      <c r="F203" t="s">
        <v>0</v>
      </c>
      <c r="G203" t="s">
        <v>50</v>
      </c>
      <c r="H203" t="b">
        <v>1</v>
      </c>
      <c r="I203" t="b">
        <v>0</v>
      </c>
      <c r="J203" t="b">
        <v>0</v>
      </c>
      <c r="K203" t="b">
        <v>0</v>
      </c>
      <c r="L203" t="s">
        <v>1739</v>
      </c>
      <c r="M203" t="s">
        <v>1740</v>
      </c>
      <c r="N203" t="s">
        <v>5</v>
      </c>
      <c r="O203" t="b">
        <v>0</v>
      </c>
      <c r="P203">
        <v>2</v>
      </c>
      <c r="Q203" t="s">
        <v>1290</v>
      </c>
      <c r="R203" t="s">
        <v>1291</v>
      </c>
      <c r="S203">
        <v>64</v>
      </c>
      <c r="T203" t="s">
        <v>1741</v>
      </c>
      <c r="U203" t="s">
        <v>1292</v>
      </c>
      <c r="V203" t="s">
        <v>5</v>
      </c>
      <c r="W203">
        <v>2</v>
      </c>
      <c r="X203" t="s">
        <v>14</v>
      </c>
      <c r="Z203" t="s">
        <v>5</v>
      </c>
      <c r="AA203" t="s">
        <v>5</v>
      </c>
      <c r="AC203" t="s">
        <v>32</v>
      </c>
      <c r="AD203">
        <v>424</v>
      </c>
    </row>
    <row r="204" spans="1:30" x14ac:dyDescent="0.3">
      <c r="A204">
        <v>14374937</v>
      </c>
      <c r="B204" s="3">
        <v>45660</v>
      </c>
      <c r="C204">
        <v>2025</v>
      </c>
      <c r="D204">
        <v>1</v>
      </c>
      <c r="E204" t="s">
        <v>1579</v>
      </c>
      <c r="F204" t="s">
        <v>0</v>
      </c>
      <c r="G204" t="s">
        <v>1</v>
      </c>
      <c r="H204" t="b">
        <v>0</v>
      </c>
      <c r="I204" t="b">
        <v>1</v>
      </c>
      <c r="J204" t="b">
        <v>0</v>
      </c>
      <c r="K204" t="b">
        <v>0</v>
      </c>
      <c r="L204" t="s">
        <v>1742</v>
      </c>
      <c r="M204" t="s">
        <v>109</v>
      </c>
      <c r="N204" t="s">
        <v>5</v>
      </c>
      <c r="O204" t="b">
        <v>0</v>
      </c>
      <c r="P204">
        <v>4</v>
      </c>
      <c r="Q204" t="s">
        <v>226</v>
      </c>
      <c r="R204" t="s">
        <v>227</v>
      </c>
      <c r="S204" t="s">
        <v>5</v>
      </c>
      <c r="T204" t="s">
        <v>80</v>
      </c>
      <c r="U204" t="s">
        <v>228</v>
      </c>
      <c r="V204" t="s">
        <v>5</v>
      </c>
      <c r="W204">
        <v>1</v>
      </c>
      <c r="X204" t="s">
        <v>31</v>
      </c>
      <c r="Y204">
        <v>49</v>
      </c>
      <c r="Z204" t="s">
        <v>7</v>
      </c>
      <c r="AA204" t="s">
        <v>8</v>
      </c>
      <c r="AC204" t="s">
        <v>32</v>
      </c>
      <c r="AD204">
        <v>449</v>
      </c>
    </row>
    <row r="205" spans="1:30" x14ac:dyDescent="0.3">
      <c r="A205">
        <v>14376541</v>
      </c>
      <c r="B205" s="3">
        <v>45686</v>
      </c>
      <c r="C205">
        <v>2025</v>
      </c>
      <c r="D205">
        <v>1</v>
      </c>
      <c r="E205" t="s">
        <v>1579</v>
      </c>
      <c r="F205" t="s">
        <v>0</v>
      </c>
      <c r="G205" t="s">
        <v>10</v>
      </c>
      <c r="H205" t="b">
        <v>0</v>
      </c>
      <c r="I205" t="b">
        <v>0</v>
      </c>
      <c r="J205" t="b">
        <v>0</v>
      </c>
      <c r="K205" t="b">
        <v>0</v>
      </c>
      <c r="L205" t="s">
        <v>1743</v>
      </c>
      <c r="M205" t="s">
        <v>1370</v>
      </c>
      <c r="N205" t="s">
        <v>5</v>
      </c>
      <c r="O205" t="b">
        <v>0</v>
      </c>
      <c r="P205">
        <v>5</v>
      </c>
      <c r="Q205" t="s">
        <v>1744</v>
      </c>
      <c r="R205" t="s">
        <v>1745</v>
      </c>
      <c r="S205" t="s">
        <v>5</v>
      </c>
      <c r="T205" t="s">
        <v>1228</v>
      </c>
      <c r="U205" t="s">
        <v>29</v>
      </c>
      <c r="V205" t="s">
        <v>1461</v>
      </c>
      <c r="W205">
        <v>1</v>
      </c>
      <c r="X205" t="s">
        <v>31</v>
      </c>
      <c r="Y205">
        <v>37</v>
      </c>
      <c r="Z205" t="s">
        <v>61</v>
      </c>
      <c r="AA205" t="s">
        <v>8</v>
      </c>
      <c r="AC205" t="s">
        <v>524</v>
      </c>
      <c r="AD205">
        <v>423</v>
      </c>
    </row>
    <row r="206" spans="1:30" x14ac:dyDescent="0.3">
      <c r="A206">
        <v>14379322</v>
      </c>
      <c r="B206" s="3">
        <v>45679</v>
      </c>
      <c r="C206">
        <v>2025</v>
      </c>
      <c r="D206">
        <v>1</v>
      </c>
      <c r="E206" t="s">
        <v>1579</v>
      </c>
      <c r="F206" t="s">
        <v>125</v>
      </c>
      <c r="G206" t="s">
        <v>10</v>
      </c>
      <c r="H206" t="b">
        <v>0</v>
      </c>
      <c r="I206" t="b">
        <v>0</v>
      </c>
      <c r="J206" t="b">
        <v>0</v>
      </c>
      <c r="K206" t="b">
        <v>0</v>
      </c>
      <c r="L206" t="s">
        <v>1746</v>
      </c>
      <c r="M206" t="s">
        <v>517</v>
      </c>
      <c r="N206" t="s">
        <v>63</v>
      </c>
      <c r="O206" t="b">
        <v>0</v>
      </c>
      <c r="P206">
        <v>9</v>
      </c>
      <c r="Q206" t="s">
        <v>402</v>
      </c>
      <c r="R206" t="s">
        <v>403</v>
      </c>
      <c r="S206">
        <v>50</v>
      </c>
      <c r="T206" t="s">
        <v>150</v>
      </c>
      <c r="U206" t="s">
        <v>177</v>
      </c>
      <c r="V206" t="s">
        <v>178</v>
      </c>
      <c r="W206">
        <v>5</v>
      </c>
      <c r="X206" t="s">
        <v>40</v>
      </c>
      <c r="Y206">
        <v>52</v>
      </c>
      <c r="Z206" t="s">
        <v>7</v>
      </c>
      <c r="AA206" t="s">
        <v>15</v>
      </c>
      <c r="AC206" t="s">
        <v>32</v>
      </c>
      <c r="AD206">
        <v>430</v>
      </c>
    </row>
    <row r="207" spans="1:30" x14ac:dyDescent="0.3">
      <c r="A207">
        <v>14384500</v>
      </c>
      <c r="B207" s="3">
        <v>45688</v>
      </c>
      <c r="C207">
        <v>2025</v>
      </c>
      <c r="D207">
        <v>1</v>
      </c>
      <c r="E207" t="s">
        <v>1579</v>
      </c>
      <c r="F207" t="s">
        <v>125</v>
      </c>
      <c r="G207" t="s">
        <v>10</v>
      </c>
      <c r="H207" t="b">
        <v>0</v>
      </c>
      <c r="I207" t="b">
        <v>0</v>
      </c>
      <c r="J207" t="b">
        <v>0</v>
      </c>
      <c r="K207" t="b">
        <v>0</v>
      </c>
      <c r="L207" t="s">
        <v>1747</v>
      </c>
      <c r="M207" t="s">
        <v>474</v>
      </c>
      <c r="N207" t="s">
        <v>229</v>
      </c>
      <c r="O207" t="b">
        <v>0</v>
      </c>
      <c r="P207">
        <v>10</v>
      </c>
      <c r="Q207" t="s">
        <v>367</v>
      </c>
      <c r="R207" t="s">
        <v>368</v>
      </c>
      <c r="S207">
        <v>40</v>
      </c>
      <c r="T207" t="s">
        <v>60</v>
      </c>
      <c r="U207" t="s">
        <v>81</v>
      </c>
      <c r="V207" t="s">
        <v>82</v>
      </c>
      <c r="W207">
        <v>3</v>
      </c>
      <c r="X207" t="s">
        <v>14</v>
      </c>
      <c r="Y207">
        <v>30</v>
      </c>
      <c r="Z207" t="s">
        <v>61</v>
      </c>
      <c r="AA207" t="s">
        <v>8</v>
      </c>
      <c r="AC207" t="s">
        <v>9</v>
      </c>
      <c r="AD207">
        <v>421</v>
      </c>
    </row>
    <row r="208" spans="1:30" x14ac:dyDescent="0.3">
      <c r="A208">
        <v>14391054</v>
      </c>
      <c r="B208" s="3">
        <v>45659</v>
      </c>
      <c r="C208">
        <v>2025</v>
      </c>
      <c r="D208">
        <v>1</v>
      </c>
      <c r="E208" t="s">
        <v>1579</v>
      </c>
      <c r="F208" t="s">
        <v>125</v>
      </c>
      <c r="G208" t="s">
        <v>10</v>
      </c>
      <c r="H208" t="b">
        <v>0</v>
      </c>
      <c r="I208" t="b">
        <v>0</v>
      </c>
      <c r="J208" t="b">
        <v>0</v>
      </c>
      <c r="K208" t="b">
        <v>0</v>
      </c>
      <c r="L208" t="s">
        <v>1748</v>
      </c>
      <c r="M208" t="s">
        <v>272</v>
      </c>
      <c r="N208" t="s">
        <v>57</v>
      </c>
      <c r="O208" t="b">
        <v>1</v>
      </c>
      <c r="P208">
        <v>6</v>
      </c>
      <c r="Q208" t="s">
        <v>333</v>
      </c>
      <c r="R208" t="s">
        <v>334</v>
      </c>
      <c r="S208" t="s">
        <v>5</v>
      </c>
      <c r="T208" t="s">
        <v>1495</v>
      </c>
      <c r="U208" t="s">
        <v>210</v>
      </c>
      <c r="V208" t="s">
        <v>5</v>
      </c>
      <c r="W208">
        <v>9</v>
      </c>
      <c r="X208" t="s">
        <v>6</v>
      </c>
      <c r="Y208">
        <v>68</v>
      </c>
      <c r="Z208" t="s">
        <v>67</v>
      </c>
      <c r="AA208" t="s">
        <v>15</v>
      </c>
      <c r="AB208">
        <v>79.364999999999995</v>
      </c>
      <c r="AC208" t="s">
        <v>32</v>
      </c>
      <c r="AD208">
        <v>450</v>
      </c>
    </row>
    <row r="209" spans="1:30" x14ac:dyDescent="0.3">
      <c r="A209">
        <v>14396783</v>
      </c>
      <c r="B209" s="3">
        <v>45685</v>
      </c>
      <c r="C209">
        <v>2025</v>
      </c>
      <c r="D209">
        <v>1</v>
      </c>
      <c r="E209" t="s">
        <v>1579</v>
      </c>
      <c r="F209" t="s">
        <v>0</v>
      </c>
      <c r="G209" t="s">
        <v>10</v>
      </c>
      <c r="H209" t="b">
        <v>0</v>
      </c>
      <c r="I209" t="b">
        <v>0</v>
      </c>
      <c r="J209" t="b">
        <v>0</v>
      </c>
      <c r="K209" t="b">
        <v>0</v>
      </c>
      <c r="L209" t="s">
        <v>1749</v>
      </c>
      <c r="M209" t="s">
        <v>806</v>
      </c>
      <c r="N209" t="s">
        <v>118</v>
      </c>
      <c r="O209" t="b">
        <v>0</v>
      </c>
      <c r="P209">
        <v>19</v>
      </c>
      <c r="Q209" t="s">
        <v>289</v>
      </c>
      <c r="R209" t="s">
        <v>290</v>
      </c>
      <c r="S209" t="s">
        <v>5</v>
      </c>
      <c r="T209" t="s">
        <v>291</v>
      </c>
      <c r="U209" t="s">
        <v>271</v>
      </c>
      <c r="V209" t="s">
        <v>292</v>
      </c>
      <c r="W209">
        <v>42</v>
      </c>
      <c r="X209" t="s">
        <v>6</v>
      </c>
      <c r="Z209" t="s">
        <v>5</v>
      </c>
      <c r="AA209" t="s">
        <v>15</v>
      </c>
      <c r="AC209" t="s">
        <v>9</v>
      </c>
      <c r="AD209">
        <v>424</v>
      </c>
    </row>
    <row r="210" spans="1:30" x14ac:dyDescent="0.3">
      <c r="A210">
        <v>14405485</v>
      </c>
      <c r="B210" s="3">
        <v>45672</v>
      </c>
      <c r="C210">
        <v>2025</v>
      </c>
      <c r="D210">
        <v>1</v>
      </c>
      <c r="E210" t="s">
        <v>1579</v>
      </c>
      <c r="F210" t="s">
        <v>0</v>
      </c>
      <c r="G210" t="s">
        <v>10</v>
      </c>
      <c r="H210" t="b">
        <v>0</v>
      </c>
      <c r="I210" t="b">
        <v>0</v>
      </c>
      <c r="J210" t="b">
        <v>0</v>
      </c>
      <c r="K210" t="b">
        <v>0</v>
      </c>
      <c r="L210" t="s">
        <v>791</v>
      </c>
      <c r="M210" t="s">
        <v>791</v>
      </c>
      <c r="N210" t="s">
        <v>21</v>
      </c>
      <c r="O210" t="b">
        <v>0</v>
      </c>
      <c r="P210">
        <v>1</v>
      </c>
      <c r="Q210" t="s">
        <v>208</v>
      </c>
      <c r="R210" t="s">
        <v>286</v>
      </c>
      <c r="S210">
        <v>48</v>
      </c>
      <c r="T210" t="s">
        <v>5</v>
      </c>
      <c r="U210" t="s">
        <v>210</v>
      </c>
      <c r="V210" t="s">
        <v>5</v>
      </c>
      <c r="W210">
        <v>2</v>
      </c>
      <c r="X210" t="s">
        <v>14</v>
      </c>
      <c r="Y210">
        <v>72</v>
      </c>
      <c r="Z210" t="s">
        <v>67</v>
      </c>
      <c r="AA210" t="s">
        <v>8</v>
      </c>
      <c r="AC210" t="s">
        <v>32</v>
      </c>
      <c r="AD210">
        <v>437</v>
      </c>
    </row>
    <row r="211" spans="1:30" x14ac:dyDescent="0.3">
      <c r="A211">
        <v>14413359</v>
      </c>
      <c r="B211" s="3">
        <v>45664</v>
      </c>
      <c r="C211">
        <v>2025</v>
      </c>
      <c r="D211">
        <v>1</v>
      </c>
      <c r="E211" t="s">
        <v>1579</v>
      </c>
      <c r="F211" t="s">
        <v>0</v>
      </c>
      <c r="G211" t="s">
        <v>10</v>
      </c>
      <c r="H211" t="b">
        <v>0</v>
      </c>
      <c r="I211" t="b">
        <v>0</v>
      </c>
      <c r="J211" t="b">
        <v>0</v>
      </c>
      <c r="K211" t="b">
        <v>0</v>
      </c>
      <c r="L211" t="s">
        <v>1324</v>
      </c>
      <c r="M211" t="s">
        <v>1324</v>
      </c>
      <c r="N211" t="s">
        <v>5</v>
      </c>
      <c r="O211" t="b">
        <v>0</v>
      </c>
      <c r="P211">
        <v>1</v>
      </c>
      <c r="Q211" t="s">
        <v>293</v>
      </c>
      <c r="R211" t="s">
        <v>294</v>
      </c>
      <c r="S211">
        <v>48</v>
      </c>
      <c r="T211" t="s">
        <v>5</v>
      </c>
      <c r="U211" t="s">
        <v>106</v>
      </c>
      <c r="V211" t="s">
        <v>5</v>
      </c>
      <c r="W211">
        <v>1</v>
      </c>
      <c r="X211" t="s">
        <v>31</v>
      </c>
      <c r="Z211" t="s">
        <v>5</v>
      </c>
      <c r="AA211" t="s">
        <v>5</v>
      </c>
      <c r="AC211" t="s">
        <v>716</v>
      </c>
      <c r="AD211">
        <v>445</v>
      </c>
    </row>
    <row r="212" spans="1:30" x14ac:dyDescent="0.3">
      <c r="A212">
        <v>14417924</v>
      </c>
      <c r="B212" s="3">
        <v>45688</v>
      </c>
      <c r="C212">
        <v>2025</v>
      </c>
      <c r="D212">
        <v>1</v>
      </c>
      <c r="E212" t="s">
        <v>1579</v>
      </c>
      <c r="F212" t="s">
        <v>0</v>
      </c>
      <c r="G212" t="s">
        <v>198</v>
      </c>
      <c r="H212" t="b">
        <v>0</v>
      </c>
      <c r="I212" t="b">
        <v>0</v>
      </c>
      <c r="J212" t="b">
        <v>1</v>
      </c>
      <c r="K212" t="b">
        <v>0</v>
      </c>
      <c r="L212" t="s">
        <v>215</v>
      </c>
      <c r="M212" t="s">
        <v>215</v>
      </c>
      <c r="N212" t="s">
        <v>264</v>
      </c>
      <c r="O212" t="b">
        <v>0</v>
      </c>
      <c r="P212">
        <v>1</v>
      </c>
      <c r="Q212" t="s">
        <v>478</v>
      </c>
      <c r="R212" t="s">
        <v>479</v>
      </c>
      <c r="S212">
        <v>42</v>
      </c>
      <c r="T212" t="s">
        <v>452</v>
      </c>
      <c r="U212" t="s">
        <v>480</v>
      </c>
      <c r="V212" t="s">
        <v>111</v>
      </c>
      <c r="W212">
        <v>12</v>
      </c>
      <c r="X212" t="s">
        <v>6</v>
      </c>
      <c r="Y212">
        <v>78</v>
      </c>
      <c r="Z212" t="s">
        <v>67</v>
      </c>
      <c r="AA212" t="s">
        <v>15</v>
      </c>
      <c r="AB212">
        <v>89</v>
      </c>
      <c r="AC212" t="s">
        <v>25</v>
      </c>
      <c r="AD212">
        <v>421</v>
      </c>
    </row>
    <row r="213" spans="1:30" x14ac:dyDescent="0.3">
      <c r="A213">
        <v>14420107</v>
      </c>
      <c r="B213" s="3">
        <v>45674</v>
      </c>
      <c r="C213">
        <v>2025</v>
      </c>
      <c r="D213">
        <v>1</v>
      </c>
      <c r="E213" t="s">
        <v>1579</v>
      </c>
      <c r="F213" t="s">
        <v>0</v>
      </c>
      <c r="G213" t="s">
        <v>50</v>
      </c>
      <c r="H213" t="b">
        <v>1</v>
      </c>
      <c r="I213" t="b">
        <v>0</v>
      </c>
      <c r="J213" t="b">
        <v>0</v>
      </c>
      <c r="K213" t="b">
        <v>0</v>
      </c>
      <c r="L213" t="s">
        <v>1750</v>
      </c>
      <c r="M213" t="s">
        <v>713</v>
      </c>
      <c r="N213" t="s">
        <v>5</v>
      </c>
      <c r="O213" t="b">
        <v>0</v>
      </c>
      <c r="P213">
        <v>12</v>
      </c>
      <c r="Q213" t="s">
        <v>1131</v>
      </c>
      <c r="R213" t="s">
        <v>1132</v>
      </c>
      <c r="S213">
        <v>65</v>
      </c>
      <c r="T213" t="s">
        <v>1488</v>
      </c>
      <c r="U213" t="s">
        <v>1133</v>
      </c>
      <c r="V213" t="s">
        <v>331</v>
      </c>
      <c r="W213">
        <v>22</v>
      </c>
      <c r="X213" t="s">
        <v>6</v>
      </c>
      <c r="Y213">
        <v>55</v>
      </c>
      <c r="Z213" t="s">
        <v>7</v>
      </c>
      <c r="AA213" t="s">
        <v>8</v>
      </c>
      <c r="AC213" t="s">
        <v>116</v>
      </c>
      <c r="AD213">
        <v>435</v>
      </c>
    </row>
    <row r="214" spans="1:30" x14ac:dyDescent="0.3">
      <c r="A214">
        <v>14431221</v>
      </c>
      <c r="B214" s="3">
        <v>45677</v>
      </c>
      <c r="C214">
        <v>2025</v>
      </c>
      <c r="D214">
        <v>1</v>
      </c>
      <c r="E214" t="s">
        <v>1579</v>
      </c>
      <c r="F214" t="s">
        <v>0</v>
      </c>
      <c r="G214" t="s">
        <v>1</v>
      </c>
      <c r="H214" t="b">
        <v>0</v>
      </c>
      <c r="I214" t="b">
        <v>1</v>
      </c>
      <c r="J214" t="b">
        <v>0</v>
      </c>
      <c r="K214" t="b">
        <v>0</v>
      </c>
      <c r="L214" t="s">
        <v>1751</v>
      </c>
      <c r="M214" t="s">
        <v>1559</v>
      </c>
      <c r="N214" t="s">
        <v>118</v>
      </c>
      <c r="O214" t="b">
        <v>0</v>
      </c>
      <c r="P214">
        <v>7</v>
      </c>
      <c r="Q214" t="s">
        <v>175</v>
      </c>
      <c r="R214" t="s">
        <v>176</v>
      </c>
      <c r="S214">
        <v>50</v>
      </c>
      <c r="T214" t="s">
        <v>150</v>
      </c>
      <c r="U214" t="s">
        <v>177</v>
      </c>
      <c r="V214" t="s">
        <v>178</v>
      </c>
      <c r="W214">
        <v>22</v>
      </c>
      <c r="X214" t="s">
        <v>6</v>
      </c>
      <c r="Y214">
        <v>64</v>
      </c>
      <c r="Z214" t="s">
        <v>7</v>
      </c>
      <c r="AA214" t="s">
        <v>15</v>
      </c>
      <c r="AC214" t="s">
        <v>32</v>
      </c>
      <c r="AD214">
        <v>432</v>
      </c>
    </row>
    <row r="215" spans="1:30" x14ac:dyDescent="0.3">
      <c r="A215">
        <v>14435130</v>
      </c>
      <c r="B215" s="3">
        <v>45664</v>
      </c>
      <c r="C215">
        <v>2025</v>
      </c>
      <c r="D215">
        <v>1</v>
      </c>
      <c r="E215" t="s">
        <v>1579</v>
      </c>
      <c r="F215" t="s">
        <v>0</v>
      </c>
      <c r="G215" t="s">
        <v>10</v>
      </c>
      <c r="H215" t="b">
        <v>0</v>
      </c>
      <c r="I215" t="b">
        <v>0</v>
      </c>
      <c r="J215" t="b">
        <v>0</v>
      </c>
      <c r="K215" t="b">
        <v>0</v>
      </c>
      <c r="L215" t="s">
        <v>1752</v>
      </c>
      <c r="M215" t="s">
        <v>843</v>
      </c>
      <c r="N215" t="s">
        <v>5</v>
      </c>
      <c r="O215" t="b">
        <v>0</v>
      </c>
      <c r="P215">
        <v>17</v>
      </c>
      <c r="Q215" t="s">
        <v>146</v>
      </c>
      <c r="R215" t="s">
        <v>147</v>
      </c>
      <c r="S215" t="s">
        <v>5</v>
      </c>
      <c r="T215" t="s">
        <v>5</v>
      </c>
      <c r="U215" t="s">
        <v>148</v>
      </c>
      <c r="V215" t="s">
        <v>149</v>
      </c>
      <c r="W215">
        <v>1</v>
      </c>
      <c r="X215" t="s">
        <v>31</v>
      </c>
      <c r="Z215" t="s">
        <v>5</v>
      </c>
      <c r="AA215" t="s">
        <v>5</v>
      </c>
      <c r="AC215" t="s">
        <v>25</v>
      </c>
      <c r="AD215">
        <v>445</v>
      </c>
    </row>
    <row r="216" spans="1:30" x14ac:dyDescent="0.3">
      <c r="A216">
        <v>14457189</v>
      </c>
      <c r="B216" s="3">
        <v>45678</v>
      </c>
      <c r="C216">
        <v>2025</v>
      </c>
      <c r="D216">
        <v>1</v>
      </c>
      <c r="E216" t="s">
        <v>1579</v>
      </c>
      <c r="F216" t="s">
        <v>0</v>
      </c>
      <c r="G216" t="s">
        <v>1</v>
      </c>
      <c r="H216" t="b">
        <v>0</v>
      </c>
      <c r="I216" t="b">
        <v>1</v>
      </c>
      <c r="J216" t="b">
        <v>0</v>
      </c>
      <c r="K216" t="b">
        <v>0</v>
      </c>
      <c r="L216" t="s">
        <v>1753</v>
      </c>
      <c r="M216" t="s">
        <v>1753</v>
      </c>
      <c r="N216" t="s">
        <v>5</v>
      </c>
      <c r="O216" t="b">
        <v>0</v>
      </c>
      <c r="P216">
        <v>1</v>
      </c>
      <c r="Q216" t="s">
        <v>1260</v>
      </c>
      <c r="R216" t="s">
        <v>1261</v>
      </c>
      <c r="S216">
        <v>55</v>
      </c>
      <c r="T216" t="s">
        <v>1129</v>
      </c>
      <c r="U216" t="s">
        <v>1262</v>
      </c>
      <c r="V216" t="s">
        <v>1130</v>
      </c>
      <c r="W216">
        <v>3</v>
      </c>
      <c r="X216" t="s">
        <v>14</v>
      </c>
      <c r="Y216">
        <v>7</v>
      </c>
      <c r="Z216" t="s">
        <v>46</v>
      </c>
      <c r="AA216" t="s">
        <v>15</v>
      </c>
      <c r="AC216" t="s">
        <v>558</v>
      </c>
      <c r="AD216">
        <v>431</v>
      </c>
    </row>
    <row r="217" spans="1:30" x14ac:dyDescent="0.3">
      <c r="A217">
        <v>14472415</v>
      </c>
      <c r="B217" s="3">
        <v>45664</v>
      </c>
      <c r="C217">
        <v>2025</v>
      </c>
      <c r="D217">
        <v>1</v>
      </c>
      <c r="E217" t="s">
        <v>1579</v>
      </c>
      <c r="F217" t="s">
        <v>125</v>
      </c>
      <c r="G217" t="s">
        <v>10</v>
      </c>
      <c r="H217" t="b">
        <v>0</v>
      </c>
      <c r="I217" t="b">
        <v>0</v>
      </c>
      <c r="J217" t="b">
        <v>0</v>
      </c>
      <c r="K217" t="b">
        <v>0</v>
      </c>
      <c r="L217" t="s">
        <v>192</v>
      </c>
      <c r="M217" t="s">
        <v>192</v>
      </c>
      <c r="N217" t="s">
        <v>5</v>
      </c>
      <c r="O217" t="b">
        <v>0</v>
      </c>
      <c r="P217">
        <v>1</v>
      </c>
      <c r="Q217" t="s">
        <v>127</v>
      </c>
      <c r="R217" t="s">
        <v>128</v>
      </c>
      <c r="S217">
        <v>65</v>
      </c>
      <c r="T217" t="s">
        <v>83</v>
      </c>
      <c r="U217" t="s">
        <v>129</v>
      </c>
      <c r="V217" t="s">
        <v>130</v>
      </c>
      <c r="W217">
        <v>1</v>
      </c>
      <c r="X217" t="s">
        <v>31</v>
      </c>
      <c r="Y217">
        <v>71</v>
      </c>
      <c r="Z217" t="s">
        <v>67</v>
      </c>
      <c r="AA217" t="s">
        <v>8</v>
      </c>
      <c r="AC217" t="s">
        <v>32</v>
      </c>
      <c r="AD217">
        <v>445</v>
      </c>
    </row>
    <row r="218" spans="1:30" x14ac:dyDescent="0.3">
      <c r="A218">
        <v>14473898</v>
      </c>
      <c r="B218" s="3">
        <v>45684</v>
      </c>
      <c r="C218">
        <v>2025</v>
      </c>
      <c r="D218">
        <v>1</v>
      </c>
      <c r="E218" t="s">
        <v>1579</v>
      </c>
      <c r="F218" t="s">
        <v>0</v>
      </c>
      <c r="G218" t="s">
        <v>1</v>
      </c>
      <c r="H218" t="b">
        <v>0</v>
      </c>
      <c r="I218" t="b">
        <v>1</v>
      </c>
      <c r="J218" t="b">
        <v>0</v>
      </c>
      <c r="K218" t="b">
        <v>0</v>
      </c>
      <c r="L218" t="s">
        <v>1754</v>
      </c>
      <c r="M218" t="s">
        <v>1755</v>
      </c>
      <c r="N218" t="s">
        <v>5</v>
      </c>
      <c r="O218" t="b">
        <v>0</v>
      </c>
      <c r="P218">
        <v>7</v>
      </c>
      <c r="Q218" t="s">
        <v>683</v>
      </c>
      <c r="R218" t="s">
        <v>684</v>
      </c>
      <c r="S218" t="s">
        <v>5</v>
      </c>
      <c r="T218" t="s">
        <v>685</v>
      </c>
      <c r="U218" t="s">
        <v>271</v>
      </c>
      <c r="V218" t="s">
        <v>686</v>
      </c>
      <c r="W218">
        <v>13</v>
      </c>
      <c r="X218" t="s">
        <v>6</v>
      </c>
      <c r="Y218">
        <v>11</v>
      </c>
      <c r="Z218" t="s">
        <v>46</v>
      </c>
      <c r="AA218" t="s">
        <v>15</v>
      </c>
      <c r="AB218">
        <v>26.3</v>
      </c>
      <c r="AC218" t="s">
        <v>32</v>
      </c>
      <c r="AD218">
        <v>425</v>
      </c>
    </row>
    <row r="219" spans="1:30" x14ac:dyDescent="0.3">
      <c r="A219">
        <v>14479617</v>
      </c>
      <c r="B219" s="3">
        <v>45660</v>
      </c>
      <c r="C219">
        <v>2025</v>
      </c>
      <c r="D219">
        <v>1</v>
      </c>
      <c r="E219" t="s">
        <v>1579</v>
      </c>
      <c r="F219" t="s">
        <v>0</v>
      </c>
      <c r="G219" t="s">
        <v>10</v>
      </c>
      <c r="H219" t="b">
        <v>0</v>
      </c>
      <c r="I219" t="b">
        <v>0</v>
      </c>
      <c r="J219" t="b">
        <v>0</v>
      </c>
      <c r="K219" t="b">
        <v>0</v>
      </c>
      <c r="L219" t="s">
        <v>1314</v>
      </c>
      <c r="M219" t="s">
        <v>1314</v>
      </c>
      <c r="N219" t="s">
        <v>5</v>
      </c>
      <c r="O219" t="b">
        <v>0</v>
      </c>
      <c r="P219">
        <v>1</v>
      </c>
      <c r="Q219" t="s">
        <v>169</v>
      </c>
      <c r="R219" t="s">
        <v>170</v>
      </c>
      <c r="S219" t="s">
        <v>5</v>
      </c>
      <c r="T219" t="s">
        <v>171</v>
      </c>
      <c r="U219" t="s">
        <v>106</v>
      </c>
      <c r="V219" t="s">
        <v>172</v>
      </c>
      <c r="W219">
        <v>2</v>
      </c>
      <c r="X219" t="s">
        <v>14</v>
      </c>
      <c r="Z219" t="s">
        <v>5</v>
      </c>
      <c r="AA219" t="s">
        <v>5</v>
      </c>
      <c r="AC219" t="s">
        <v>25</v>
      </c>
      <c r="AD219">
        <v>449</v>
      </c>
    </row>
    <row r="220" spans="1:30" x14ac:dyDescent="0.3">
      <c r="A220">
        <v>14495818</v>
      </c>
      <c r="B220" s="3">
        <v>45667</v>
      </c>
      <c r="C220">
        <v>2025</v>
      </c>
      <c r="D220">
        <v>1</v>
      </c>
      <c r="E220" t="s">
        <v>1579</v>
      </c>
      <c r="F220" t="s">
        <v>125</v>
      </c>
      <c r="G220" t="s">
        <v>10</v>
      </c>
      <c r="H220" t="b">
        <v>0</v>
      </c>
      <c r="I220" t="b">
        <v>0</v>
      </c>
      <c r="J220" t="b">
        <v>0</v>
      </c>
      <c r="K220" t="b">
        <v>0</v>
      </c>
      <c r="L220" t="s">
        <v>1756</v>
      </c>
      <c r="M220" t="s">
        <v>192</v>
      </c>
      <c r="N220" t="s">
        <v>57</v>
      </c>
      <c r="O220" t="b">
        <v>1</v>
      </c>
      <c r="P220">
        <v>5</v>
      </c>
      <c r="Q220" t="s">
        <v>127</v>
      </c>
      <c r="R220" t="s">
        <v>128</v>
      </c>
      <c r="S220">
        <v>65</v>
      </c>
      <c r="T220" t="s">
        <v>80</v>
      </c>
      <c r="U220" t="s">
        <v>129</v>
      </c>
      <c r="V220" t="s">
        <v>130</v>
      </c>
      <c r="W220">
        <v>25</v>
      </c>
      <c r="X220" t="s">
        <v>6</v>
      </c>
      <c r="Y220">
        <v>48</v>
      </c>
      <c r="Z220" t="s">
        <v>7</v>
      </c>
      <c r="AA220" t="s">
        <v>8</v>
      </c>
      <c r="AC220" t="s">
        <v>32</v>
      </c>
      <c r="AD220">
        <v>442</v>
      </c>
    </row>
    <row r="221" spans="1:30" x14ac:dyDescent="0.3">
      <c r="A221">
        <v>14496184</v>
      </c>
      <c r="B221" s="3">
        <v>45664</v>
      </c>
      <c r="C221">
        <v>2025</v>
      </c>
      <c r="D221">
        <v>1</v>
      </c>
      <c r="E221" t="s">
        <v>1579</v>
      </c>
      <c r="F221" t="s">
        <v>0</v>
      </c>
      <c r="G221" t="s">
        <v>10</v>
      </c>
      <c r="H221" t="b">
        <v>0</v>
      </c>
      <c r="I221" t="b">
        <v>0</v>
      </c>
      <c r="J221" t="b">
        <v>0</v>
      </c>
      <c r="K221" t="b">
        <v>0</v>
      </c>
      <c r="L221" t="s">
        <v>1757</v>
      </c>
      <c r="M221" t="s">
        <v>568</v>
      </c>
      <c r="N221" t="s">
        <v>5</v>
      </c>
      <c r="O221" t="b">
        <v>0</v>
      </c>
      <c r="P221">
        <v>2</v>
      </c>
      <c r="Q221" t="s">
        <v>727</v>
      </c>
      <c r="R221" t="s">
        <v>728</v>
      </c>
      <c r="S221">
        <v>48</v>
      </c>
      <c r="T221" t="s">
        <v>452</v>
      </c>
      <c r="U221" t="s">
        <v>730</v>
      </c>
      <c r="V221" t="s">
        <v>331</v>
      </c>
      <c r="W221">
        <v>1</v>
      </c>
      <c r="X221" t="s">
        <v>31</v>
      </c>
      <c r="Z221" t="s">
        <v>5</v>
      </c>
      <c r="AA221" t="s">
        <v>5</v>
      </c>
      <c r="AC221" t="s">
        <v>25</v>
      </c>
      <c r="AD221">
        <v>445</v>
      </c>
    </row>
    <row r="222" spans="1:30" x14ac:dyDescent="0.3">
      <c r="A222">
        <v>14500240</v>
      </c>
      <c r="B222" s="3">
        <v>45687</v>
      </c>
      <c r="C222">
        <v>2025</v>
      </c>
      <c r="D222">
        <v>1</v>
      </c>
      <c r="E222" t="s">
        <v>1579</v>
      </c>
      <c r="F222" t="s">
        <v>0</v>
      </c>
      <c r="G222" t="s">
        <v>10</v>
      </c>
      <c r="H222" t="b">
        <v>0</v>
      </c>
      <c r="I222" t="b">
        <v>0</v>
      </c>
      <c r="J222" t="b">
        <v>0</v>
      </c>
      <c r="K222" t="b">
        <v>0</v>
      </c>
      <c r="L222" t="s">
        <v>1758</v>
      </c>
      <c r="M222" t="s">
        <v>517</v>
      </c>
      <c r="N222" t="s">
        <v>17</v>
      </c>
      <c r="O222" t="b">
        <v>0</v>
      </c>
      <c r="P222">
        <v>4</v>
      </c>
      <c r="Q222" t="s">
        <v>141</v>
      </c>
      <c r="R222" t="s">
        <v>142</v>
      </c>
      <c r="S222">
        <v>48</v>
      </c>
      <c r="T222" t="s">
        <v>143</v>
      </c>
      <c r="U222" t="s">
        <v>144</v>
      </c>
      <c r="V222" t="s">
        <v>5</v>
      </c>
      <c r="W222">
        <v>22</v>
      </c>
      <c r="X222" t="s">
        <v>6</v>
      </c>
      <c r="Y222">
        <v>36</v>
      </c>
      <c r="Z222" t="s">
        <v>61</v>
      </c>
      <c r="AA222" t="s">
        <v>8</v>
      </c>
      <c r="AC222" t="s">
        <v>32</v>
      </c>
      <c r="AD222">
        <v>422</v>
      </c>
    </row>
    <row r="223" spans="1:30" x14ac:dyDescent="0.3">
      <c r="A223">
        <v>14502848</v>
      </c>
      <c r="B223" s="3">
        <v>45664</v>
      </c>
      <c r="C223">
        <v>2025</v>
      </c>
      <c r="D223">
        <v>1</v>
      </c>
      <c r="E223" t="s">
        <v>1579</v>
      </c>
      <c r="F223" t="s">
        <v>125</v>
      </c>
      <c r="G223" t="s">
        <v>10</v>
      </c>
      <c r="H223" t="b">
        <v>0</v>
      </c>
      <c r="I223" t="b">
        <v>0</v>
      </c>
      <c r="J223" t="b">
        <v>0</v>
      </c>
      <c r="K223" t="b">
        <v>0</v>
      </c>
      <c r="L223" t="s">
        <v>1759</v>
      </c>
      <c r="M223" t="s">
        <v>408</v>
      </c>
      <c r="N223" t="s">
        <v>118</v>
      </c>
      <c r="O223" t="b">
        <v>0</v>
      </c>
      <c r="P223">
        <v>13</v>
      </c>
      <c r="Q223" t="s">
        <v>423</v>
      </c>
      <c r="R223" t="s">
        <v>424</v>
      </c>
      <c r="S223">
        <v>50</v>
      </c>
      <c r="T223" t="s">
        <v>150</v>
      </c>
      <c r="U223" t="s">
        <v>177</v>
      </c>
      <c r="V223" t="s">
        <v>292</v>
      </c>
      <c r="W223">
        <v>11</v>
      </c>
      <c r="X223" t="s">
        <v>6</v>
      </c>
      <c r="Z223" t="s">
        <v>5</v>
      </c>
      <c r="AA223" t="s">
        <v>8</v>
      </c>
      <c r="AB223">
        <v>58.9</v>
      </c>
      <c r="AC223" t="s">
        <v>32</v>
      </c>
      <c r="AD223">
        <v>445</v>
      </c>
    </row>
    <row r="224" spans="1:30" x14ac:dyDescent="0.3">
      <c r="A224">
        <v>14507557</v>
      </c>
      <c r="B224" s="3">
        <v>45664</v>
      </c>
      <c r="C224">
        <v>2025</v>
      </c>
      <c r="D224">
        <v>1</v>
      </c>
      <c r="E224" t="s">
        <v>1579</v>
      </c>
      <c r="F224" t="s">
        <v>0</v>
      </c>
      <c r="G224" t="s">
        <v>10</v>
      </c>
      <c r="H224" t="b">
        <v>0</v>
      </c>
      <c r="I224" t="b">
        <v>0</v>
      </c>
      <c r="J224" t="b">
        <v>0</v>
      </c>
      <c r="K224" t="b">
        <v>0</v>
      </c>
      <c r="L224" t="s">
        <v>1760</v>
      </c>
      <c r="M224" t="s">
        <v>1358</v>
      </c>
      <c r="N224" t="s">
        <v>5</v>
      </c>
      <c r="O224" t="b">
        <v>0</v>
      </c>
      <c r="P224">
        <v>2</v>
      </c>
      <c r="Q224" t="s">
        <v>1257</v>
      </c>
      <c r="R224" t="s">
        <v>1410</v>
      </c>
      <c r="S224">
        <v>48</v>
      </c>
      <c r="T224" t="s">
        <v>737</v>
      </c>
      <c r="U224" t="s">
        <v>1411</v>
      </c>
      <c r="V224" t="s">
        <v>261</v>
      </c>
      <c r="W224">
        <v>3</v>
      </c>
      <c r="X224" t="s">
        <v>14</v>
      </c>
      <c r="Z224" t="s">
        <v>5</v>
      </c>
      <c r="AA224" t="s">
        <v>5</v>
      </c>
      <c r="AC224" t="s">
        <v>25</v>
      </c>
      <c r="AD224">
        <v>445</v>
      </c>
    </row>
    <row r="225" spans="1:30" x14ac:dyDescent="0.3">
      <c r="A225">
        <v>14511097</v>
      </c>
      <c r="B225" s="3">
        <v>45664</v>
      </c>
      <c r="C225">
        <v>2025</v>
      </c>
      <c r="D225">
        <v>1</v>
      </c>
      <c r="E225" t="s">
        <v>1579</v>
      </c>
      <c r="F225" t="s">
        <v>0</v>
      </c>
      <c r="G225" t="s">
        <v>50</v>
      </c>
      <c r="H225" t="b">
        <v>1</v>
      </c>
      <c r="I225" t="b">
        <v>0</v>
      </c>
      <c r="J225" t="b">
        <v>0</v>
      </c>
      <c r="K225" t="b">
        <v>0</v>
      </c>
      <c r="L225" t="s">
        <v>50</v>
      </c>
      <c r="M225" t="s">
        <v>50</v>
      </c>
      <c r="N225" t="s">
        <v>5</v>
      </c>
      <c r="O225" t="b">
        <v>0</v>
      </c>
      <c r="P225">
        <v>1</v>
      </c>
      <c r="Q225" t="s">
        <v>169</v>
      </c>
      <c r="R225" t="s">
        <v>170</v>
      </c>
      <c r="S225" t="s">
        <v>5</v>
      </c>
      <c r="T225" t="s">
        <v>5</v>
      </c>
      <c r="U225" t="s">
        <v>106</v>
      </c>
      <c r="V225" t="s">
        <v>172</v>
      </c>
      <c r="W225">
        <v>1</v>
      </c>
      <c r="X225" t="s">
        <v>31</v>
      </c>
      <c r="Z225" t="s">
        <v>5</v>
      </c>
      <c r="AA225" t="s">
        <v>5</v>
      </c>
      <c r="AC225" t="s">
        <v>56</v>
      </c>
      <c r="AD225">
        <v>445</v>
      </c>
    </row>
    <row r="226" spans="1:30" x14ac:dyDescent="0.3">
      <c r="A226">
        <v>14517326</v>
      </c>
      <c r="B226" s="3">
        <v>45683</v>
      </c>
      <c r="C226">
        <v>2025</v>
      </c>
      <c r="D226">
        <v>1</v>
      </c>
      <c r="E226" t="s">
        <v>1579</v>
      </c>
      <c r="F226" t="s">
        <v>0</v>
      </c>
      <c r="G226" t="s">
        <v>10</v>
      </c>
      <c r="H226" t="b">
        <v>0</v>
      </c>
      <c r="I226" t="b">
        <v>0</v>
      </c>
      <c r="J226" t="b">
        <v>0</v>
      </c>
      <c r="K226" t="b">
        <v>0</v>
      </c>
      <c r="L226" t="s">
        <v>1761</v>
      </c>
      <c r="M226" t="s">
        <v>102</v>
      </c>
      <c r="N226" t="s">
        <v>5</v>
      </c>
      <c r="O226" t="b">
        <v>0</v>
      </c>
      <c r="P226">
        <v>5</v>
      </c>
      <c r="Q226" t="s">
        <v>34</v>
      </c>
      <c r="R226" t="s">
        <v>35</v>
      </c>
      <c r="S226">
        <v>48</v>
      </c>
      <c r="T226" t="s">
        <v>166</v>
      </c>
      <c r="U226" t="s">
        <v>37</v>
      </c>
      <c r="V226" t="s">
        <v>38</v>
      </c>
      <c r="W226">
        <v>4</v>
      </c>
      <c r="X226" t="s">
        <v>40</v>
      </c>
      <c r="Y226">
        <v>17</v>
      </c>
      <c r="Z226" t="s">
        <v>19</v>
      </c>
      <c r="AA226" t="s">
        <v>15</v>
      </c>
      <c r="AC226" t="s">
        <v>32</v>
      </c>
      <c r="AD226">
        <v>426</v>
      </c>
    </row>
    <row r="227" spans="1:30" x14ac:dyDescent="0.3">
      <c r="A227">
        <v>14518688</v>
      </c>
      <c r="B227" s="3">
        <v>45665</v>
      </c>
      <c r="C227">
        <v>2025</v>
      </c>
      <c r="D227">
        <v>1</v>
      </c>
      <c r="E227" t="s">
        <v>1579</v>
      </c>
      <c r="F227" t="s">
        <v>0</v>
      </c>
      <c r="G227" t="s">
        <v>10</v>
      </c>
      <c r="H227" t="b">
        <v>0</v>
      </c>
      <c r="I227" t="b">
        <v>0</v>
      </c>
      <c r="J227" t="b">
        <v>0</v>
      </c>
      <c r="K227" t="b">
        <v>0</v>
      </c>
      <c r="L227" t="s">
        <v>404</v>
      </c>
      <c r="M227" t="s">
        <v>404</v>
      </c>
      <c r="N227" t="s">
        <v>5</v>
      </c>
      <c r="O227" t="b">
        <v>0</v>
      </c>
      <c r="P227">
        <v>1</v>
      </c>
      <c r="Q227" t="s">
        <v>169</v>
      </c>
      <c r="R227" t="s">
        <v>170</v>
      </c>
      <c r="S227" t="s">
        <v>5</v>
      </c>
      <c r="T227" t="s">
        <v>171</v>
      </c>
      <c r="U227" t="s">
        <v>106</v>
      </c>
      <c r="V227" t="s">
        <v>172</v>
      </c>
      <c r="W227">
        <v>2</v>
      </c>
      <c r="X227" t="s">
        <v>14</v>
      </c>
      <c r="Z227" t="s">
        <v>5</v>
      </c>
      <c r="AA227" t="s">
        <v>5</v>
      </c>
      <c r="AC227" t="s">
        <v>32</v>
      </c>
      <c r="AD227">
        <v>444</v>
      </c>
    </row>
    <row r="228" spans="1:30" x14ac:dyDescent="0.3">
      <c r="A228">
        <v>14526263</v>
      </c>
      <c r="B228" s="3">
        <v>45681</v>
      </c>
      <c r="C228">
        <v>2025</v>
      </c>
      <c r="D228">
        <v>1</v>
      </c>
      <c r="E228" t="s">
        <v>1579</v>
      </c>
      <c r="F228" t="s">
        <v>0</v>
      </c>
      <c r="G228" t="s">
        <v>10</v>
      </c>
      <c r="H228" t="b">
        <v>0</v>
      </c>
      <c r="I228" t="b">
        <v>0</v>
      </c>
      <c r="J228" t="b">
        <v>0</v>
      </c>
      <c r="K228" t="b">
        <v>0</v>
      </c>
      <c r="L228" t="s">
        <v>1762</v>
      </c>
      <c r="M228" t="s">
        <v>886</v>
      </c>
      <c r="N228" t="s">
        <v>5</v>
      </c>
      <c r="O228" t="b">
        <v>0</v>
      </c>
      <c r="P228">
        <v>17</v>
      </c>
      <c r="Q228" t="s">
        <v>146</v>
      </c>
      <c r="R228" t="s">
        <v>147</v>
      </c>
      <c r="S228">
        <v>65</v>
      </c>
      <c r="T228" t="s">
        <v>83</v>
      </c>
      <c r="U228" t="s">
        <v>148</v>
      </c>
      <c r="V228" t="s">
        <v>149</v>
      </c>
      <c r="W228">
        <v>3</v>
      </c>
      <c r="X228" t="s">
        <v>14</v>
      </c>
      <c r="Z228" t="s">
        <v>5</v>
      </c>
      <c r="AA228" t="s">
        <v>5</v>
      </c>
      <c r="AC228" t="s">
        <v>25</v>
      </c>
      <c r="AD228">
        <v>428</v>
      </c>
    </row>
    <row r="229" spans="1:30" x14ac:dyDescent="0.3">
      <c r="A229">
        <v>14529074</v>
      </c>
      <c r="B229" s="3">
        <v>45688</v>
      </c>
      <c r="C229">
        <v>2025</v>
      </c>
      <c r="D229">
        <v>1</v>
      </c>
      <c r="E229" t="s">
        <v>1579</v>
      </c>
      <c r="F229" t="s">
        <v>0</v>
      </c>
      <c r="G229" t="s">
        <v>10</v>
      </c>
      <c r="H229" t="b">
        <v>0</v>
      </c>
      <c r="I229" t="b">
        <v>0</v>
      </c>
      <c r="J229" t="b">
        <v>0</v>
      </c>
      <c r="K229" t="b">
        <v>0</v>
      </c>
      <c r="L229" t="s">
        <v>1763</v>
      </c>
      <c r="M229" t="s">
        <v>262</v>
      </c>
      <c r="N229" t="s">
        <v>118</v>
      </c>
      <c r="O229" t="b">
        <v>0</v>
      </c>
      <c r="P229">
        <v>19</v>
      </c>
      <c r="Q229" t="s">
        <v>333</v>
      </c>
      <c r="R229" t="s">
        <v>334</v>
      </c>
      <c r="S229">
        <v>48</v>
      </c>
      <c r="T229" t="s">
        <v>335</v>
      </c>
      <c r="U229" t="s">
        <v>210</v>
      </c>
      <c r="V229" t="s">
        <v>5</v>
      </c>
      <c r="W229">
        <v>5</v>
      </c>
      <c r="X229" t="s">
        <v>40</v>
      </c>
      <c r="Y229">
        <v>68</v>
      </c>
      <c r="Z229" t="s">
        <v>67</v>
      </c>
      <c r="AA229" t="s">
        <v>8</v>
      </c>
      <c r="AB229">
        <v>61.223999999999997</v>
      </c>
      <c r="AC229" t="s">
        <v>32</v>
      </c>
      <c r="AD229">
        <v>421</v>
      </c>
    </row>
    <row r="230" spans="1:30" x14ac:dyDescent="0.3">
      <c r="A230">
        <v>14533258</v>
      </c>
      <c r="B230" s="3">
        <v>45664</v>
      </c>
      <c r="C230">
        <v>2025</v>
      </c>
      <c r="D230">
        <v>1</v>
      </c>
      <c r="E230" t="s">
        <v>1579</v>
      </c>
      <c r="F230" t="s">
        <v>0</v>
      </c>
      <c r="G230" t="s">
        <v>50</v>
      </c>
      <c r="H230" t="b">
        <v>1</v>
      </c>
      <c r="I230" t="b">
        <v>0</v>
      </c>
      <c r="J230" t="b">
        <v>0</v>
      </c>
      <c r="K230" t="b">
        <v>0</v>
      </c>
      <c r="L230" t="s">
        <v>50</v>
      </c>
      <c r="M230" t="s">
        <v>50</v>
      </c>
      <c r="N230" t="s">
        <v>5</v>
      </c>
      <c r="O230" t="b">
        <v>0</v>
      </c>
      <c r="P230">
        <v>1</v>
      </c>
      <c r="Q230" t="s">
        <v>169</v>
      </c>
      <c r="R230" t="s">
        <v>170</v>
      </c>
      <c r="S230" t="s">
        <v>5</v>
      </c>
      <c r="T230" t="s">
        <v>171</v>
      </c>
      <c r="U230" t="s">
        <v>106</v>
      </c>
      <c r="V230" t="s">
        <v>172</v>
      </c>
      <c r="W230">
        <v>1</v>
      </c>
      <c r="X230" t="s">
        <v>31</v>
      </c>
      <c r="Z230" t="s">
        <v>5</v>
      </c>
      <c r="AA230" t="s">
        <v>5</v>
      </c>
      <c r="AC230" t="s">
        <v>1334</v>
      </c>
      <c r="AD230">
        <v>445</v>
      </c>
    </row>
    <row r="231" spans="1:30" x14ac:dyDescent="0.3">
      <c r="A231">
        <v>14538472</v>
      </c>
      <c r="B231" s="3">
        <v>45664</v>
      </c>
      <c r="C231">
        <v>2025</v>
      </c>
      <c r="D231">
        <v>1</v>
      </c>
      <c r="E231" t="s">
        <v>1579</v>
      </c>
      <c r="F231" t="s">
        <v>0</v>
      </c>
      <c r="G231" t="s">
        <v>10</v>
      </c>
      <c r="H231" t="b">
        <v>0</v>
      </c>
      <c r="I231" t="b">
        <v>0</v>
      </c>
      <c r="J231" t="b">
        <v>0</v>
      </c>
      <c r="K231" t="b">
        <v>0</v>
      </c>
      <c r="L231" t="s">
        <v>1764</v>
      </c>
      <c r="M231" t="s">
        <v>1166</v>
      </c>
      <c r="N231" t="s">
        <v>5</v>
      </c>
      <c r="O231" t="b">
        <v>0</v>
      </c>
      <c r="P231">
        <v>2</v>
      </c>
      <c r="Q231" t="s">
        <v>681</v>
      </c>
      <c r="R231" t="s">
        <v>5</v>
      </c>
      <c r="S231">
        <v>65</v>
      </c>
      <c r="T231" t="s">
        <v>83</v>
      </c>
      <c r="U231" t="s">
        <v>5</v>
      </c>
      <c r="V231" t="s">
        <v>5</v>
      </c>
      <c r="W231">
        <v>1</v>
      </c>
      <c r="X231" t="s">
        <v>31</v>
      </c>
      <c r="Z231" t="s">
        <v>5</v>
      </c>
      <c r="AA231" t="s">
        <v>5</v>
      </c>
      <c r="AC231" t="s">
        <v>9</v>
      </c>
      <c r="AD231">
        <v>445</v>
      </c>
    </row>
    <row r="232" spans="1:30" x14ac:dyDescent="0.3">
      <c r="A232">
        <v>14544348</v>
      </c>
      <c r="B232" s="3">
        <v>45685</v>
      </c>
      <c r="C232">
        <v>2025</v>
      </c>
      <c r="D232">
        <v>1</v>
      </c>
      <c r="E232" t="s">
        <v>1579</v>
      </c>
      <c r="F232" t="s">
        <v>0</v>
      </c>
      <c r="G232" t="s">
        <v>50</v>
      </c>
      <c r="H232" t="b">
        <v>1</v>
      </c>
      <c r="I232" t="b">
        <v>0</v>
      </c>
      <c r="J232" t="b">
        <v>0</v>
      </c>
      <c r="K232" t="b">
        <v>0</v>
      </c>
      <c r="L232" t="s">
        <v>1765</v>
      </c>
      <c r="M232" t="s">
        <v>1766</v>
      </c>
      <c r="N232" t="s">
        <v>5</v>
      </c>
      <c r="O232" t="b">
        <v>0</v>
      </c>
      <c r="P232">
        <v>5</v>
      </c>
      <c r="Q232" t="s">
        <v>78</v>
      </c>
      <c r="R232" t="s">
        <v>79</v>
      </c>
      <c r="S232">
        <v>40</v>
      </c>
      <c r="T232" t="s">
        <v>711</v>
      </c>
      <c r="U232" t="s">
        <v>81</v>
      </c>
      <c r="V232" t="s">
        <v>82</v>
      </c>
      <c r="W232">
        <v>6</v>
      </c>
      <c r="X232" t="s">
        <v>6</v>
      </c>
      <c r="Y232">
        <v>58</v>
      </c>
      <c r="Z232" t="s">
        <v>7</v>
      </c>
      <c r="AA232" t="s">
        <v>15</v>
      </c>
      <c r="AC232" t="s">
        <v>56</v>
      </c>
      <c r="AD232">
        <v>424</v>
      </c>
    </row>
    <row r="233" spans="1:30" x14ac:dyDescent="0.3">
      <c r="A233">
        <v>14544629</v>
      </c>
      <c r="B233" s="3">
        <v>45679</v>
      </c>
      <c r="C233">
        <v>2025</v>
      </c>
      <c r="D233">
        <v>1</v>
      </c>
      <c r="E233" t="s">
        <v>1579</v>
      </c>
      <c r="F233" t="s">
        <v>0</v>
      </c>
      <c r="G233" t="s">
        <v>1</v>
      </c>
      <c r="H233" t="b">
        <v>0</v>
      </c>
      <c r="I233" t="b">
        <v>1</v>
      </c>
      <c r="J233" t="b">
        <v>0</v>
      </c>
      <c r="K233" t="b">
        <v>0</v>
      </c>
      <c r="L233" t="s">
        <v>1767</v>
      </c>
      <c r="M233" t="s">
        <v>179</v>
      </c>
      <c r="N233" t="s">
        <v>5</v>
      </c>
      <c r="O233" t="b">
        <v>0</v>
      </c>
      <c r="P233">
        <v>4</v>
      </c>
      <c r="Q233" t="s">
        <v>97</v>
      </c>
      <c r="R233" t="s">
        <v>98</v>
      </c>
      <c r="S233">
        <v>65</v>
      </c>
      <c r="T233" t="s">
        <v>1768</v>
      </c>
      <c r="U233" t="s">
        <v>99</v>
      </c>
      <c r="V233" t="s">
        <v>100</v>
      </c>
      <c r="W233">
        <v>3</v>
      </c>
      <c r="X233" t="s">
        <v>14</v>
      </c>
      <c r="Y233">
        <v>27</v>
      </c>
      <c r="Z233" t="s">
        <v>61</v>
      </c>
      <c r="AA233" t="s">
        <v>15</v>
      </c>
      <c r="AC233" t="s">
        <v>25</v>
      </c>
      <c r="AD233">
        <v>430</v>
      </c>
    </row>
    <row r="234" spans="1:30" x14ac:dyDescent="0.3">
      <c r="A234">
        <v>14545795</v>
      </c>
      <c r="B234" s="3">
        <v>45664</v>
      </c>
      <c r="C234">
        <v>2025</v>
      </c>
      <c r="D234">
        <v>1</v>
      </c>
      <c r="E234" t="s">
        <v>1579</v>
      </c>
      <c r="F234" t="s">
        <v>0</v>
      </c>
      <c r="G234" t="s">
        <v>10</v>
      </c>
      <c r="H234" t="b">
        <v>0</v>
      </c>
      <c r="I234" t="b">
        <v>0</v>
      </c>
      <c r="J234" t="b">
        <v>0</v>
      </c>
      <c r="K234" t="b">
        <v>0</v>
      </c>
      <c r="L234" t="s">
        <v>1343</v>
      </c>
      <c r="M234" t="s">
        <v>1343</v>
      </c>
      <c r="N234" t="s">
        <v>5</v>
      </c>
      <c r="O234" t="b">
        <v>0</v>
      </c>
      <c r="P234">
        <v>1</v>
      </c>
      <c r="Q234" t="s">
        <v>681</v>
      </c>
      <c r="R234" t="s">
        <v>5</v>
      </c>
      <c r="S234">
        <v>65</v>
      </c>
      <c r="T234" t="s">
        <v>83</v>
      </c>
      <c r="U234" t="s">
        <v>5</v>
      </c>
      <c r="V234" t="s">
        <v>5</v>
      </c>
      <c r="W234">
        <v>1</v>
      </c>
      <c r="X234" t="s">
        <v>31</v>
      </c>
      <c r="Z234" t="s">
        <v>5</v>
      </c>
      <c r="AA234" t="s">
        <v>5</v>
      </c>
      <c r="AC234" t="s">
        <v>9</v>
      </c>
      <c r="AD234">
        <v>445</v>
      </c>
    </row>
    <row r="235" spans="1:30" x14ac:dyDescent="0.3">
      <c r="A235">
        <v>14546844</v>
      </c>
      <c r="B235" s="3">
        <v>45673</v>
      </c>
      <c r="C235">
        <v>2025</v>
      </c>
      <c r="D235">
        <v>1</v>
      </c>
      <c r="E235" t="s">
        <v>1579</v>
      </c>
      <c r="F235" t="s">
        <v>0</v>
      </c>
      <c r="G235" t="s">
        <v>1</v>
      </c>
      <c r="H235" t="b">
        <v>0</v>
      </c>
      <c r="I235" t="b">
        <v>1</v>
      </c>
      <c r="J235" t="b">
        <v>0</v>
      </c>
      <c r="K235" t="b">
        <v>0</v>
      </c>
      <c r="L235" t="s">
        <v>1769</v>
      </c>
      <c r="M235" t="s">
        <v>896</v>
      </c>
      <c r="N235" t="s">
        <v>140</v>
      </c>
      <c r="O235" t="b">
        <v>0</v>
      </c>
      <c r="P235">
        <v>30</v>
      </c>
      <c r="Q235" t="s">
        <v>510</v>
      </c>
      <c r="R235" t="s">
        <v>847</v>
      </c>
      <c r="S235">
        <v>48</v>
      </c>
      <c r="T235" t="s">
        <v>512</v>
      </c>
      <c r="U235" t="s">
        <v>29</v>
      </c>
      <c r="V235" t="s">
        <v>514</v>
      </c>
      <c r="W235">
        <v>19</v>
      </c>
      <c r="X235" t="s">
        <v>6</v>
      </c>
      <c r="Y235">
        <v>73</v>
      </c>
      <c r="Z235" t="s">
        <v>67</v>
      </c>
      <c r="AA235" t="s">
        <v>8</v>
      </c>
      <c r="AB235">
        <v>77</v>
      </c>
      <c r="AC235" t="s">
        <v>32</v>
      </c>
      <c r="AD235">
        <v>436</v>
      </c>
    </row>
    <row r="236" spans="1:30" x14ac:dyDescent="0.3">
      <c r="A236">
        <v>14565300</v>
      </c>
      <c r="B236" s="3">
        <v>45683</v>
      </c>
      <c r="C236">
        <v>2025</v>
      </c>
      <c r="D236">
        <v>1</v>
      </c>
      <c r="E236" t="s">
        <v>1579</v>
      </c>
      <c r="F236" t="s">
        <v>125</v>
      </c>
      <c r="G236" t="s">
        <v>10</v>
      </c>
      <c r="H236" t="b">
        <v>0</v>
      </c>
      <c r="I236" t="b">
        <v>0</v>
      </c>
      <c r="J236" t="b">
        <v>0</v>
      </c>
      <c r="K236" t="b">
        <v>0</v>
      </c>
      <c r="L236" t="s">
        <v>217</v>
      </c>
      <c r="M236" t="s">
        <v>217</v>
      </c>
      <c r="N236" t="s">
        <v>5</v>
      </c>
      <c r="O236" t="b">
        <v>0</v>
      </c>
      <c r="P236">
        <v>1</v>
      </c>
      <c r="Q236" t="s">
        <v>169</v>
      </c>
      <c r="R236" t="s">
        <v>170</v>
      </c>
      <c r="S236" t="s">
        <v>5</v>
      </c>
      <c r="T236" t="s">
        <v>1117</v>
      </c>
      <c r="U236" t="s">
        <v>106</v>
      </c>
      <c r="V236" t="s">
        <v>172</v>
      </c>
      <c r="W236">
        <v>2</v>
      </c>
      <c r="X236" t="s">
        <v>14</v>
      </c>
      <c r="Y236">
        <v>70</v>
      </c>
      <c r="Z236" t="s">
        <v>67</v>
      </c>
      <c r="AA236" t="s">
        <v>15</v>
      </c>
      <c r="AC236" t="s">
        <v>32</v>
      </c>
      <c r="AD236">
        <v>426</v>
      </c>
    </row>
    <row r="237" spans="1:30" x14ac:dyDescent="0.3">
      <c r="A237">
        <v>14579147</v>
      </c>
      <c r="B237" s="3">
        <v>45688</v>
      </c>
      <c r="C237">
        <v>2025</v>
      </c>
      <c r="D237">
        <v>1</v>
      </c>
      <c r="E237" t="s">
        <v>1579</v>
      </c>
      <c r="F237" t="s">
        <v>0</v>
      </c>
      <c r="G237" t="s">
        <v>1</v>
      </c>
      <c r="H237" t="b">
        <v>0</v>
      </c>
      <c r="I237" t="b">
        <v>1</v>
      </c>
      <c r="J237" t="b">
        <v>0</v>
      </c>
      <c r="K237" t="b">
        <v>0</v>
      </c>
      <c r="L237" t="s">
        <v>1770</v>
      </c>
      <c r="M237" t="s">
        <v>941</v>
      </c>
      <c r="N237" t="s">
        <v>5</v>
      </c>
      <c r="O237" t="b">
        <v>0</v>
      </c>
      <c r="P237">
        <v>3</v>
      </c>
      <c r="Q237" t="s">
        <v>1459</v>
      </c>
      <c r="R237" t="s">
        <v>1539</v>
      </c>
      <c r="S237">
        <v>48</v>
      </c>
      <c r="T237" t="s">
        <v>1010</v>
      </c>
      <c r="U237" t="s">
        <v>798</v>
      </c>
      <c r="V237" t="s">
        <v>5</v>
      </c>
      <c r="W237">
        <v>24</v>
      </c>
      <c r="X237" t="s">
        <v>6</v>
      </c>
      <c r="Y237">
        <v>54</v>
      </c>
      <c r="Z237" t="s">
        <v>7</v>
      </c>
      <c r="AA237" t="s">
        <v>15</v>
      </c>
      <c r="AB237">
        <v>62</v>
      </c>
      <c r="AC237" t="s">
        <v>9</v>
      </c>
      <c r="AD237">
        <v>421</v>
      </c>
    </row>
    <row r="238" spans="1:30" x14ac:dyDescent="0.3">
      <c r="A238">
        <v>14582251</v>
      </c>
      <c r="B238" s="3">
        <v>45678</v>
      </c>
      <c r="C238">
        <v>2025</v>
      </c>
      <c r="D238">
        <v>1</v>
      </c>
      <c r="E238" t="s">
        <v>1579</v>
      </c>
      <c r="F238" t="s">
        <v>0</v>
      </c>
      <c r="G238" t="s">
        <v>1</v>
      </c>
      <c r="H238" t="b">
        <v>0</v>
      </c>
      <c r="I238" t="b">
        <v>1</v>
      </c>
      <c r="J238" t="b">
        <v>0</v>
      </c>
      <c r="K238" t="b">
        <v>0</v>
      </c>
      <c r="L238" t="s">
        <v>1286</v>
      </c>
      <c r="M238" t="s">
        <v>1286</v>
      </c>
      <c r="N238" t="s">
        <v>5</v>
      </c>
      <c r="O238" t="b">
        <v>0</v>
      </c>
      <c r="P238">
        <v>1</v>
      </c>
      <c r="Q238" t="s">
        <v>509</v>
      </c>
      <c r="R238" t="s">
        <v>5</v>
      </c>
      <c r="S238">
        <v>65</v>
      </c>
      <c r="T238" t="s">
        <v>1768</v>
      </c>
      <c r="U238" t="s">
        <v>5</v>
      </c>
      <c r="V238" t="s">
        <v>5</v>
      </c>
      <c r="W238">
        <v>4</v>
      </c>
      <c r="X238" t="s">
        <v>40</v>
      </c>
      <c r="Y238">
        <v>27</v>
      </c>
      <c r="Z238" t="s">
        <v>61</v>
      </c>
      <c r="AA238" t="s">
        <v>15</v>
      </c>
      <c r="AC238" t="s">
        <v>25</v>
      </c>
      <c r="AD238">
        <v>431</v>
      </c>
    </row>
    <row r="239" spans="1:30" x14ac:dyDescent="0.3">
      <c r="A239">
        <v>14589024</v>
      </c>
      <c r="B239" s="3">
        <v>45663</v>
      </c>
      <c r="C239">
        <v>2025</v>
      </c>
      <c r="D239">
        <v>1</v>
      </c>
      <c r="E239" t="s">
        <v>1579</v>
      </c>
      <c r="F239" t="s">
        <v>0</v>
      </c>
      <c r="G239" t="s">
        <v>1</v>
      </c>
      <c r="H239" t="b">
        <v>0</v>
      </c>
      <c r="I239" t="b">
        <v>1</v>
      </c>
      <c r="J239" t="b">
        <v>0</v>
      </c>
      <c r="K239" t="b">
        <v>0</v>
      </c>
      <c r="L239" t="s">
        <v>1771</v>
      </c>
      <c r="M239" t="s">
        <v>1220</v>
      </c>
      <c r="N239" t="s">
        <v>94</v>
      </c>
      <c r="O239" t="b">
        <v>1</v>
      </c>
      <c r="P239">
        <v>5</v>
      </c>
      <c r="Q239" t="s">
        <v>1462</v>
      </c>
      <c r="R239" t="s">
        <v>1463</v>
      </c>
      <c r="S239">
        <v>42</v>
      </c>
      <c r="T239" t="s">
        <v>1371</v>
      </c>
      <c r="U239" t="s">
        <v>1464</v>
      </c>
      <c r="V239" t="s">
        <v>5</v>
      </c>
      <c r="W239">
        <v>11</v>
      </c>
      <c r="X239" t="s">
        <v>6</v>
      </c>
      <c r="Y239">
        <v>83</v>
      </c>
      <c r="Z239" t="s">
        <v>196</v>
      </c>
      <c r="AA239" t="s">
        <v>8</v>
      </c>
      <c r="AB239">
        <v>60</v>
      </c>
      <c r="AC239" t="s">
        <v>25</v>
      </c>
      <c r="AD239">
        <v>446</v>
      </c>
    </row>
    <row r="240" spans="1:30" x14ac:dyDescent="0.3">
      <c r="A240">
        <v>14589642</v>
      </c>
      <c r="B240" s="3">
        <v>45666</v>
      </c>
      <c r="C240">
        <v>2025</v>
      </c>
      <c r="D240">
        <v>1</v>
      </c>
      <c r="E240" t="s">
        <v>1579</v>
      </c>
      <c r="F240" t="s">
        <v>0</v>
      </c>
      <c r="G240" t="s">
        <v>10</v>
      </c>
      <c r="H240" t="b">
        <v>0</v>
      </c>
      <c r="I240" t="b">
        <v>0</v>
      </c>
      <c r="J240" t="b">
        <v>0</v>
      </c>
      <c r="K240" t="b">
        <v>0</v>
      </c>
      <c r="L240" t="s">
        <v>735</v>
      </c>
      <c r="M240" t="s">
        <v>735</v>
      </c>
      <c r="N240" t="s">
        <v>5</v>
      </c>
      <c r="O240" t="b">
        <v>0</v>
      </c>
      <c r="P240">
        <v>1</v>
      </c>
      <c r="Q240" t="s">
        <v>169</v>
      </c>
      <c r="R240" t="s">
        <v>170</v>
      </c>
      <c r="S240" t="s">
        <v>5</v>
      </c>
      <c r="T240" t="s">
        <v>446</v>
      </c>
      <c r="U240" t="s">
        <v>106</v>
      </c>
      <c r="V240" t="s">
        <v>172</v>
      </c>
      <c r="W240">
        <v>1</v>
      </c>
      <c r="X240" t="s">
        <v>31</v>
      </c>
      <c r="Z240" t="s">
        <v>5</v>
      </c>
      <c r="AA240" t="s">
        <v>5</v>
      </c>
      <c r="AC240" t="s">
        <v>56</v>
      </c>
      <c r="AD240">
        <v>443</v>
      </c>
    </row>
    <row r="241" spans="1:30" x14ac:dyDescent="0.3">
      <c r="A241">
        <v>14600222</v>
      </c>
      <c r="B241" s="3">
        <v>45673</v>
      </c>
      <c r="C241">
        <v>2025</v>
      </c>
      <c r="D241">
        <v>1</v>
      </c>
      <c r="E241" t="s">
        <v>1579</v>
      </c>
      <c r="F241" t="s">
        <v>0</v>
      </c>
      <c r="G241" t="s">
        <v>1</v>
      </c>
      <c r="H241" t="b">
        <v>0</v>
      </c>
      <c r="I241" t="b">
        <v>1</v>
      </c>
      <c r="J241" t="b">
        <v>0</v>
      </c>
      <c r="K241" t="b">
        <v>0</v>
      </c>
      <c r="L241" t="s">
        <v>1772</v>
      </c>
      <c r="M241" t="s">
        <v>608</v>
      </c>
      <c r="N241" t="s">
        <v>5</v>
      </c>
      <c r="O241" t="b">
        <v>0</v>
      </c>
      <c r="P241">
        <v>6</v>
      </c>
      <c r="Q241" t="s">
        <v>289</v>
      </c>
      <c r="R241" t="s">
        <v>290</v>
      </c>
      <c r="S241" t="s">
        <v>5</v>
      </c>
      <c r="T241" t="s">
        <v>291</v>
      </c>
      <c r="U241" t="s">
        <v>271</v>
      </c>
      <c r="V241" t="s">
        <v>292</v>
      </c>
      <c r="W241">
        <v>16</v>
      </c>
      <c r="X241" t="s">
        <v>6</v>
      </c>
      <c r="Y241">
        <v>33</v>
      </c>
      <c r="Z241" t="s">
        <v>61</v>
      </c>
      <c r="AA241" t="s">
        <v>8</v>
      </c>
      <c r="AC241" t="s">
        <v>9</v>
      </c>
      <c r="AD241">
        <v>436</v>
      </c>
    </row>
    <row r="242" spans="1:30" x14ac:dyDescent="0.3">
      <c r="A242">
        <v>14601712</v>
      </c>
      <c r="B242" s="3">
        <v>45678</v>
      </c>
      <c r="C242">
        <v>2025</v>
      </c>
      <c r="D242">
        <v>1</v>
      </c>
      <c r="E242" t="s">
        <v>1579</v>
      </c>
      <c r="F242" t="s">
        <v>125</v>
      </c>
      <c r="G242" t="s">
        <v>10</v>
      </c>
      <c r="H242" t="b">
        <v>0</v>
      </c>
      <c r="I242" t="b">
        <v>0</v>
      </c>
      <c r="J242" t="b">
        <v>0</v>
      </c>
      <c r="K242" t="b">
        <v>0</v>
      </c>
      <c r="L242" t="s">
        <v>946</v>
      </c>
      <c r="M242" t="s">
        <v>896</v>
      </c>
      <c r="N242" t="s">
        <v>5</v>
      </c>
      <c r="O242" t="b">
        <v>0</v>
      </c>
      <c r="P242">
        <v>2</v>
      </c>
      <c r="Q242" t="s">
        <v>127</v>
      </c>
      <c r="R242" t="s">
        <v>128</v>
      </c>
      <c r="S242">
        <v>65</v>
      </c>
      <c r="T242" t="s">
        <v>80</v>
      </c>
      <c r="U242" t="s">
        <v>129</v>
      </c>
      <c r="V242" t="s">
        <v>130</v>
      </c>
      <c r="W242">
        <v>5</v>
      </c>
      <c r="X242" t="s">
        <v>40</v>
      </c>
      <c r="Y242">
        <v>73</v>
      </c>
      <c r="Z242" t="s">
        <v>67</v>
      </c>
      <c r="AA242" t="s">
        <v>8</v>
      </c>
      <c r="AC242" t="s">
        <v>32</v>
      </c>
      <c r="AD242">
        <v>431</v>
      </c>
    </row>
    <row r="243" spans="1:30" x14ac:dyDescent="0.3">
      <c r="A243">
        <v>14615449</v>
      </c>
      <c r="B243" s="3">
        <v>45678</v>
      </c>
      <c r="C243">
        <v>2025</v>
      </c>
      <c r="D243">
        <v>1</v>
      </c>
      <c r="E243" t="s">
        <v>1579</v>
      </c>
      <c r="F243" t="s">
        <v>0</v>
      </c>
      <c r="G243" t="s">
        <v>10</v>
      </c>
      <c r="H243" t="b">
        <v>0</v>
      </c>
      <c r="I243" t="b">
        <v>0</v>
      </c>
      <c r="J243" t="b">
        <v>0</v>
      </c>
      <c r="K243" t="b">
        <v>0</v>
      </c>
      <c r="L243" t="s">
        <v>327</v>
      </c>
      <c r="M243" t="s">
        <v>327</v>
      </c>
      <c r="N243" t="s">
        <v>5</v>
      </c>
      <c r="O243" t="b">
        <v>0</v>
      </c>
      <c r="P243">
        <v>1</v>
      </c>
      <c r="Q243" t="s">
        <v>146</v>
      </c>
      <c r="R243" t="s">
        <v>1287</v>
      </c>
      <c r="S243">
        <v>48</v>
      </c>
      <c r="T243" t="s">
        <v>5</v>
      </c>
      <c r="U243" t="s">
        <v>72</v>
      </c>
      <c r="V243" t="s">
        <v>149</v>
      </c>
      <c r="W243">
        <v>1</v>
      </c>
      <c r="X243" t="s">
        <v>31</v>
      </c>
      <c r="Z243" t="s">
        <v>5</v>
      </c>
      <c r="AA243" t="s">
        <v>5</v>
      </c>
      <c r="AC243" t="s">
        <v>32</v>
      </c>
      <c r="AD243">
        <v>431</v>
      </c>
    </row>
    <row r="244" spans="1:30" x14ac:dyDescent="0.3">
      <c r="A244">
        <v>14624941</v>
      </c>
      <c r="B244" s="3">
        <v>45666</v>
      </c>
      <c r="C244">
        <v>2025</v>
      </c>
      <c r="D244">
        <v>1</v>
      </c>
      <c r="E244" t="s">
        <v>1579</v>
      </c>
      <c r="F244" t="s">
        <v>0</v>
      </c>
      <c r="G244" t="s">
        <v>10</v>
      </c>
      <c r="H244" t="b">
        <v>0</v>
      </c>
      <c r="I244" t="b">
        <v>0</v>
      </c>
      <c r="J244" t="b">
        <v>0</v>
      </c>
      <c r="K244" t="b">
        <v>0</v>
      </c>
      <c r="L244" t="s">
        <v>378</v>
      </c>
      <c r="M244" t="s">
        <v>378</v>
      </c>
      <c r="N244" t="s">
        <v>5</v>
      </c>
      <c r="O244" t="b">
        <v>0</v>
      </c>
      <c r="P244">
        <v>1</v>
      </c>
      <c r="Q244" t="s">
        <v>1454</v>
      </c>
      <c r="R244" t="s">
        <v>1514</v>
      </c>
      <c r="S244">
        <v>48</v>
      </c>
      <c r="T244" t="s">
        <v>5</v>
      </c>
      <c r="U244" t="s">
        <v>1515</v>
      </c>
      <c r="V244" t="s">
        <v>5</v>
      </c>
      <c r="W244">
        <v>1</v>
      </c>
      <c r="X244" t="s">
        <v>31</v>
      </c>
      <c r="Z244" t="s">
        <v>5</v>
      </c>
      <c r="AA244" t="s">
        <v>5</v>
      </c>
      <c r="AC244" t="s">
        <v>1526</v>
      </c>
      <c r="AD244">
        <v>443</v>
      </c>
    </row>
    <row r="245" spans="1:30" x14ac:dyDescent="0.3">
      <c r="A245">
        <v>14657555</v>
      </c>
      <c r="B245" s="3">
        <v>45686</v>
      </c>
      <c r="C245">
        <v>2025</v>
      </c>
      <c r="D245">
        <v>1</v>
      </c>
      <c r="E245" t="s">
        <v>1579</v>
      </c>
      <c r="F245" t="s">
        <v>0</v>
      </c>
      <c r="G245" t="s">
        <v>10</v>
      </c>
      <c r="H245" t="b">
        <v>0</v>
      </c>
      <c r="I245" t="b">
        <v>0</v>
      </c>
      <c r="J245" t="b">
        <v>0</v>
      </c>
      <c r="K245" t="b">
        <v>0</v>
      </c>
      <c r="L245" t="s">
        <v>1773</v>
      </c>
      <c r="M245" t="s">
        <v>244</v>
      </c>
      <c r="N245" t="s">
        <v>5</v>
      </c>
      <c r="O245" t="b">
        <v>0</v>
      </c>
      <c r="P245">
        <v>10</v>
      </c>
      <c r="Q245" t="s">
        <v>78</v>
      </c>
      <c r="R245" t="s">
        <v>79</v>
      </c>
      <c r="S245">
        <v>40</v>
      </c>
      <c r="T245" t="s">
        <v>737</v>
      </c>
      <c r="U245" t="s">
        <v>81</v>
      </c>
      <c r="V245" t="s">
        <v>82</v>
      </c>
      <c r="W245">
        <v>5</v>
      </c>
      <c r="X245" t="s">
        <v>40</v>
      </c>
      <c r="Z245" t="s">
        <v>5</v>
      </c>
      <c r="AA245" t="s">
        <v>5</v>
      </c>
      <c r="AC245" t="s">
        <v>1008</v>
      </c>
      <c r="AD245">
        <v>423</v>
      </c>
    </row>
    <row r="246" spans="1:30" x14ac:dyDescent="0.3">
      <c r="A246">
        <v>14664559</v>
      </c>
      <c r="B246" s="3">
        <v>45685</v>
      </c>
      <c r="C246">
        <v>2025</v>
      </c>
      <c r="D246">
        <v>1</v>
      </c>
      <c r="E246" t="s">
        <v>1579</v>
      </c>
      <c r="F246" t="s">
        <v>125</v>
      </c>
      <c r="G246" t="s">
        <v>10</v>
      </c>
      <c r="H246" t="b">
        <v>0</v>
      </c>
      <c r="I246" t="b">
        <v>0</v>
      </c>
      <c r="J246" t="b">
        <v>0</v>
      </c>
      <c r="K246" t="b">
        <v>0</v>
      </c>
      <c r="L246" t="s">
        <v>1774</v>
      </c>
      <c r="M246" t="s">
        <v>1316</v>
      </c>
      <c r="N246" t="s">
        <v>5</v>
      </c>
      <c r="O246" t="b">
        <v>0</v>
      </c>
      <c r="P246">
        <v>3</v>
      </c>
      <c r="Q246" t="s">
        <v>208</v>
      </c>
      <c r="R246" t="s">
        <v>209</v>
      </c>
      <c r="S246">
        <v>48</v>
      </c>
      <c r="T246" t="s">
        <v>80</v>
      </c>
      <c r="U246" t="s">
        <v>210</v>
      </c>
      <c r="V246" t="s">
        <v>5</v>
      </c>
      <c r="W246">
        <v>7</v>
      </c>
      <c r="X246" t="s">
        <v>6</v>
      </c>
      <c r="Y246">
        <v>49</v>
      </c>
      <c r="Z246" t="s">
        <v>7</v>
      </c>
      <c r="AA246" t="s">
        <v>8</v>
      </c>
      <c r="AB246">
        <v>98</v>
      </c>
      <c r="AC246" t="s">
        <v>32</v>
      </c>
      <c r="AD246">
        <v>424</v>
      </c>
    </row>
    <row r="247" spans="1:30" x14ac:dyDescent="0.3">
      <c r="A247">
        <v>14666292</v>
      </c>
      <c r="B247" s="3">
        <v>45665</v>
      </c>
      <c r="C247">
        <v>2025</v>
      </c>
      <c r="D247">
        <v>1</v>
      </c>
      <c r="E247" t="s">
        <v>1579</v>
      </c>
      <c r="F247" t="s">
        <v>0</v>
      </c>
      <c r="G247" t="s">
        <v>10</v>
      </c>
      <c r="H247" t="b">
        <v>0</v>
      </c>
      <c r="I247" t="b">
        <v>0</v>
      </c>
      <c r="J247" t="b">
        <v>0</v>
      </c>
      <c r="K247" t="b">
        <v>0</v>
      </c>
      <c r="L247" t="s">
        <v>1775</v>
      </c>
      <c r="M247" t="s">
        <v>404</v>
      </c>
      <c r="N247" t="s">
        <v>17</v>
      </c>
      <c r="O247" t="b">
        <v>0</v>
      </c>
      <c r="P247">
        <v>3</v>
      </c>
      <c r="Q247" t="s">
        <v>169</v>
      </c>
      <c r="R247" t="s">
        <v>170</v>
      </c>
      <c r="S247" t="s">
        <v>5</v>
      </c>
      <c r="T247" t="s">
        <v>5</v>
      </c>
      <c r="U247" t="s">
        <v>106</v>
      </c>
      <c r="V247" t="s">
        <v>172</v>
      </c>
      <c r="W247">
        <v>1</v>
      </c>
      <c r="X247" t="s">
        <v>31</v>
      </c>
      <c r="Z247" t="s">
        <v>5</v>
      </c>
      <c r="AA247" t="s">
        <v>5</v>
      </c>
      <c r="AC247" t="s">
        <v>716</v>
      </c>
      <c r="AD247">
        <v>444</v>
      </c>
    </row>
    <row r="248" spans="1:30" x14ac:dyDescent="0.3">
      <c r="A248">
        <v>14666300</v>
      </c>
      <c r="B248" s="3">
        <v>45665</v>
      </c>
      <c r="C248">
        <v>2025</v>
      </c>
      <c r="D248">
        <v>1</v>
      </c>
      <c r="E248" t="s">
        <v>1579</v>
      </c>
      <c r="F248" t="s">
        <v>0</v>
      </c>
      <c r="G248" t="s">
        <v>10</v>
      </c>
      <c r="H248" t="b">
        <v>0</v>
      </c>
      <c r="I248" t="b">
        <v>0</v>
      </c>
      <c r="J248" t="b">
        <v>0</v>
      </c>
      <c r="K248" t="b">
        <v>0</v>
      </c>
      <c r="L248" t="s">
        <v>1776</v>
      </c>
      <c r="M248" t="s">
        <v>404</v>
      </c>
      <c r="N248" t="s">
        <v>264</v>
      </c>
      <c r="O248" t="b">
        <v>0</v>
      </c>
      <c r="P248">
        <v>3</v>
      </c>
      <c r="Q248" t="s">
        <v>169</v>
      </c>
      <c r="R248" t="s">
        <v>170</v>
      </c>
      <c r="S248" t="s">
        <v>5</v>
      </c>
      <c r="T248" t="s">
        <v>619</v>
      </c>
      <c r="U248" t="s">
        <v>106</v>
      </c>
      <c r="V248" t="s">
        <v>172</v>
      </c>
      <c r="W248">
        <v>1</v>
      </c>
      <c r="X248" t="s">
        <v>31</v>
      </c>
      <c r="Z248" t="s">
        <v>5</v>
      </c>
      <c r="AA248" t="s">
        <v>5</v>
      </c>
      <c r="AC248" t="s">
        <v>716</v>
      </c>
      <c r="AD248">
        <v>444</v>
      </c>
    </row>
    <row r="249" spans="1:30" x14ac:dyDescent="0.3">
      <c r="A249">
        <v>14666301</v>
      </c>
      <c r="B249" s="3">
        <v>45665</v>
      </c>
      <c r="C249">
        <v>2025</v>
      </c>
      <c r="D249">
        <v>1</v>
      </c>
      <c r="E249" t="s">
        <v>1579</v>
      </c>
      <c r="F249" t="s">
        <v>0</v>
      </c>
      <c r="G249" t="s">
        <v>10</v>
      </c>
      <c r="H249" t="b">
        <v>0</v>
      </c>
      <c r="I249" t="b">
        <v>0</v>
      </c>
      <c r="J249" t="b">
        <v>0</v>
      </c>
      <c r="K249" t="b">
        <v>0</v>
      </c>
      <c r="L249" t="s">
        <v>1777</v>
      </c>
      <c r="M249" t="s">
        <v>404</v>
      </c>
      <c r="N249" t="s">
        <v>17</v>
      </c>
      <c r="O249" t="b">
        <v>0</v>
      </c>
      <c r="P249">
        <v>4</v>
      </c>
      <c r="Q249" t="s">
        <v>169</v>
      </c>
      <c r="R249" t="s">
        <v>170</v>
      </c>
      <c r="S249" t="s">
        <v>5</v>
      </c>
      <c r="T249" t="s">
        <v>921</v>
      </c>
      <c r="U249" t="s">
        <v>106</v>
      </c>
      <c r="V249" t="s">
        <v>172</v>
      </c>
      <c r="W249">
        <v>1</v>
      </c>
      <c r="X249" t="s">
        <v>31</v>
      </c>
      <c r="Z249" t="s">
        <v>5</v>
      </c>
      <c r="AA249" t="s">
        <v>5</v>
      </c>
      <c r="AC249" t="s">
        <v>716</v>
      </c>
      <c r="AD249">
        <v>444</v>
      </c>
    </row>
    <row r="250" spans="1:30" x14ac:dyDescent="0.3">
      <c r="A250">
        <v>14666303</v>
      </c>
      <c r="B250" s="3">
        <v>45665</v>
      </c>
      <c r="C250">
        <v>2025</v>
      </c>
      <c r="D250">
        <v>1</v>
      </c>
      <c r="E250" t="s">
        <v>1579</v>
      </c>
      <c r="F250" t="s">
        <v>0</v>
      </c>
      <c r="G250" t="s">
        <v>10</v>
      </c>
      <c r="H250" t="b">
        <v>0</v>
      </c>
      <c r="I250" t="b">
        <v>0</v>
      </c>
      <c r="J250" t="b">
        <v>0</v>
      </c>
      <c r="K250" t="b">
        <v>0</v>
      </c>
      <c r="L250" t="s">
        <v>1778</v>
      </c>
      <c r="M250" t="s">
        <v>404</v>
      </c>
      <c r="N250" t="s">
        <v>94</v>
      </c>
      <c r="O250" t="b">
        <v>1</v>
      </c>
      <c r="P250">
        <v>4</v>
      </c>
      <c r="Q250" t="s">
        <v>169</v>
      </c>
      <c r="R250" t="s">
        <v>170</v>
      </c>
      <c r="S250" t="s">
        <v>5</v>
      </c>
      <c r="T250" t="s">
        <v>619</v>
      </c>
      <c r="U250" t="s">
        <v>106</v>
      </c>
      <c r="V250" t="s">
        <v>172</v>
      </c>
      <c r="W250">
        <v>1</v>
      </c>
      <c r="X250" t="s">
        <v>31</v>
      </c>
      <c r="Z250" t="s">
        <v>5</v>
      </c>
      <c r="AA250" t="s">
        <v>5</v>
      </c>
      <c r="AC250" t="s">
        <v>716</v>
      </c>
      <c r="AD250">
        <v>444</v>
      </c>
    </row>
    <row r="251" spans="1:30" x14ac:dyDescent="0.3">
      <c r="A251">
        <v>14666500</v>
      </c>
      <c r="B251" s="3">
        <v>45665</v>
      </c>
      <c r="C251">
        <v>2025</v>
      </c>
      <c r="D251">
        <v>1</v>
      </c>
      <c r="E251" t="s">
        <v>1579</v>
      </c>
      <c r="F251" t="s">
        <v>0</v>
      </c>
      <c r="G251" t="s">
        <v>10</v>
      </c>
      <c r="H251" t="b">
        <v>0</v>
      </c>
      <c r="I251" t="b">
        <v>0</v>
      </c>
      <c r="J251" t="b">
        <v>0</v>
      </c>
      <c r="K251" t="b">
        <v>0</v>
      </c>
      <c r="L251" t="s">
        <v>1779</v>
      </c>
      <c r="M251" t="s">
        <v>404</v>
      </c>
      <c r="N251" t="s">
        <v>17</v>
      </c>
      <c r="O251" t="b">
        <v>0</v>
      </c>
      <c r="P251">
        <v>6</v>
      </c>
      <c r="Q251" t="s">
        <v>169</v>
      </c>
      <c r="R251" t="s">
        <v>170</v>
      </c>
      <c r="S251" t="s">
        <v>5</v>
      </c>
      <c r="T251" t="s">
        <v>619</v>
      </c>
      <c r="U251" t="s">
        <v>106</v>
      </c>
      <c r="V251" t="s">
        <v>172</v>
      </c>
      <c r="W251">
        <v>1</v>
      </c>
      <c r="X251" t="s">
        <v>31</v>
      </c>
      <c r="Z251" t="s">
        <v>5</v>
      </c>
      <c r="AA251" t="s">
        <v>5</v>
      </c>
      <c r="AC251" t="s">
        <v>716</v>
      </c>
      <c r="AD251">
        <v>444</v>
      </c>
    </row>
    <row r="252" spans="1:30" x14ac:dyDescent="0.3">
      <c r="A252">
        <v>14666504</v>
      </c>
      <c r="B252" s="3">
        <v>45665</v>
      </c>
      <c r="C252">
        <v>2025</v>
      </c>
      <c r="D252">
        <v>1</v>
      </c>
      <c r="E252" t="s">
        <v>1579</v>
      </c>
      <c r="F252" t="s">
        <v>0</v>
      </c>
      <c r="G252" t="s">
        <v>10</v>
      </c>
      <c r="H252" t="b">
        <v>0</v>
      </c>
      <c r="I252" t="b">
        <v>0</v>
      </c>
      <c r="J252" t="b">
        <v>0</v>
      </c>
      <c r="K252" t="b">
        <v>0</v>
      </c>
      <c r="L252" t="s">
        <v>1780</v>
      </c>
      <c r="M252" t="s">
        <v>404</v>
      </c>
      <c r="N252" t="s">
        <v>17</v>
      </c>
      <c r="O252" t="b">
        <v>0</v>
      </c>
      <c r="P252">
        <v>4</v>
      </c>
      <c r="Q252" t="s">
        <v>169</v>
      </c>
      <c r="R252" t="s">
        <v>170</v>
      </c>
      <c r="S252" t="s">
        <v>5</v>
      </c>
      <c r="T252" t="s">
        <v>619</v>
      </c>
      <c r="U252" t="s">
        <v>106</v>
      </c>
      <c r="V252" t="s">
        <v>172</v>
      </c>
      <c r="W252">
        <v>1</v>
      </c>
      <c r="X252" t="s">
        <v>31</v>
      </c>
      <c r="Z252" t="s">
        <v>5</v>
      </c>
      <c r="AA252" t="s">
        <v>5</v>
      </c>
      <c r="AC252" t="s">
        <v>716</v>
      </c>
      <c r="AD252">
        <v>444</v>
      </c>
    </row>
    <row r="253" spans="1:30" x14ac:dyDescent="0.3">
      <c r="A253">
        <v>14666515</v>
      </c>
      <c r="B253" s="3">
        <v>45665</v>
      </c>
      <c r="C253">
        <v>2025</v>
      </c>
      <c r="D253">
        <v>1</v>
      </c>
      <c r="E253" t="s">
        <v>1579</v>
      </c>
      <c r="F253" t="s">
        <v>0</v>
      </c>
      <c r="G253" t="s">
        <v>10</v>
      </c>
      <c r="H253" t="b">
        <v>0</v>
      </c>
      <c r="I253" t="b">
        <v>0</v>
      </c>
      <c r="J253" t="b">
        <v>0</v>
      </c>
      <c r="K253" t="b">
        <v>0</v>
      </c>
      <c r="L253" t="s">
        <v>1781</v>
      </c>
      <c r="M253" t="s">
        <v>404</v>
      </c>
      <c r="N253" t="s">
        <v>17</v>
      </c>
      <c r="O253" t="b">
        <v>0</v>
      </c>
      <c r="P253">
        <v>3</v>
      </c>
      <c r="Q253" t="s">
        <v>169</v>
      </c>
      <c r="R253" t="s">
        <v>170</v>
      </c>
      <c r="S253" t="s">
        <v>5</v>
      </c>
      <c r="T253" t="s">
        <v>619</v>
      </c>
      <c r="U253" t="s">
        <v>106</v>
      </c>
      <c r="V253" t="s">
        <v>172</v>
      </c>
      <c r="W253">
        <v>1</v>
      </c>
      <c r="X253" t="s">
        <v>31</v>
      </c>
      <c r="Z253" t="s">
        <v>5</v>
      </c>
      <c r="AA253" t="s">
        <v>5</v>
      </c>
      <c r="AC253" t="s">
        <v>716</v>
      </c>
      <c r="AD253">
        <v>444</v>
      </c>
    </row>
    <row r="254" spans="1:30" x14ac:dyDescent="0.3">
      <c r="A254">
        <v>14666529</v>
      </c>
      <c r="B254" s="3">
        <v>45665</v>
      </c>
      <c r="C254">
        <v>2025</v>
      </c>
      <c r="D254">
        <v>1</v>
      </c>
      <c r="E254" t="s">
        <v>1579</v>
      </c>
      <c r="F254" t="s">
        <v>0</v>
      </c>
      <c r="G254" t="s">
        <v>10</v>
      </c>
      <c r="H254" t="b">
        <v>0</v>
      </c>
      <c r="I254" t="b">
        <v>0</v>
      </c>
      <c r="J254" t="b">
        <v>0</v>
      </c>
      <c r="K254" t="b">
        <v>0</v>
      </c>
      <c r="L254" t="s">
        <v>1782</v>
      </c>
      <c r="M254" t="s">
        <v>404</v>
      </c>
      <c r="N254" t="s">
        <v>63</v>
      </c>
      <c r="O254" t="b">
        <v>0</v>
      </c>
      <c r="P254">
        <v>4</v>
      </c>
      <c r="Q254" t="s">
        <v>169</v>
      </c>
      <c r="R254" t="s">
        <v>170</v>
      </c>
      <c r="S254" t="s">
        <v>5</v>
      </c>
      <c r="T254" t="s">
        <v>619</v>
      </c>
      <c r="U254" t="s">
        <v>106</v>
      </c>
      <c r="V254" t="s">
        <v>172</v>
      </c>
      <c r="W254">
        <v>1</v>
      </c>
      <c r="X254" t="s">
        <v>31</v>
      </c>
      <c r="Z254" t="s">
        <v>5</v>
      </c>
      <c r="AA254" t="s">
        <v>5</v>
      </c>
      <c r="AC254" t="s">
        <v>716</v>
      </c>
      <c r="AD254">
        <v>444</v>
      </c>
    </row>
    <row r="255" spans="1:30" x14ac:dyDescent="0.3">
      <c r="A255">
        <v>14666540</v>
      </c>
      <c r="B255" s="3">
        <v>45666</v>
      </c>
      <c r="C255">
        <v>2025</v>
      </c>
      <c r="D255">
        <v>1</v>
      </c>
      <c r="E255" t="s">
        <v>1579</v>
      </c>
      <c r="F255" t="s">
        <v>0</v>
      </c>
      <c r="G255" t="s">
        <v>10</v>
      </c>
      <c r="H255" t="b">
        <v>0</v>
      </c>
      <c r="I255" t="b">
        <v>0</v>
      </c>
      <c r="J255" t="b">
        <v>0</v>
      </c>
      <c r="K255" t="b">
        <v>0</v>
      </c>
      <c r="L255" t="s">
        <v>1783</v>
      </c>
      <c r="M255" t="s">
        <v>404</v>
      </c>
      <c r="N255" t="s">
        <v>63</v>
      </c>
      <c r="O255" t="b">
        <v>0</v>
      </c>
      <c r="P255">
        <v>4</v>
      </c>
      <c r="Q255" t="s">
        <v>169</v>
      </c>
      <c r="R255" t="s">
        <v>170</v>
      </c>
      <c r="S255" t="s">
        <v>5</v>
      </c>
      <c r="T255" t="s">
        <v>619</v>
      </c>
      <c r="U255" t="s">
        <v>106</v>
      </c>
      <c r="V255" t="s">
        <v>172</v>
      </c>
      <c r="W255">
        <v>1</v>
      </c>
      <c r="X255" t="s">
        <v>31</v>
      </c>
      <c r="Z255" t="s">
        <v>5</v>
      </c>
      <c r="AA255" t="s">
        <v>5</v>
      </c>
      <c r="AC255" t="s">
        <v>716</v>
      </c>
      <c r="AD255">
        <v>443</v>
      </c>
    </row>
    <row r="256" spans="1:30" x14ac:dyDescent="0.3">
      <c r="A256">
        <v>14670410</v>
      </c>
      <c r="B256" s="3">
        <v>45666</v>
      </c>
      <c r="C256">
        <v>2025</v>
      </c>
      <c r="D256">
        <v>1</v>
      </c>
      <c r="E256" t="s">
        <v>1579</v>
      </c>
      <c r="F256" t="s">
        <v>0</v>
      </c>
      <c r="G256" t="s">
        <v>10</v>
      </c>
      <c r="H256" t="b">
        <v>0</v>
      </c>
      <c r="I256" t="b">
        <v>0</v>
      </c>
      <c r="J256" t="b">
        <v>0</v>
      </c>
      <c r="K256" t="b">
        <v>0</v>
      </c>
      <c r="L256" t="s">
        <v>1784</v>
      </c>
      <c r="M256" t="s">
        <v>1424</v>
      </c>
      <c r="N256" t="s">
        <v>17</v>
      </c>
      <c r="O256" t="b">
        <v>0</v>
      </c>
      <c r="P256">
        <v>5</v>
      </c>
      <c r="Q256" t="s">
        <v>169</v>
      </c>
      <c r="R256" t="s">
        <v>170</v>
      </c>
      <c r="S256" t="s">
        <v>5</v>
      </c>
      <c r="T256" t="s">
        <v>1469</v>
      </c>
      <c r="U256" t="s">
        <v>106</v>
      </c>
      <c r="V256" t="s">
        <v>172</v>
      </c>
      <c r="W256">
        <v>3</v>
      </c>
      <c r="X256" t="s">
        <v>14</v>
      </c>
      <c r="Z256" t="s">
        <v>5</v>
      </c>
      <c r="AA256" t="s">
        <v>5</v>
      </c>
      <c r="AC256" t="s">
        <v>716</v>
      </c>
      <c r="AD256">
        <v>443</v>
      </c>
    </row>
    <row r="257" spans="1:30" x14ac:dyDescent="0.3">
      <c r="A257">
        <v>14670519</v>
      </c>
      <c r="B257" s="3">
        <v>45666</v>
      </c>
      <c r="C257">
        <v>2025</v>
      </c>
      <c r="D257">
        <v>1</v>
      </c>
      <c r="E257" t="s">
        <v>1579</v>
      </c>
      <c r="F257" t="s">
        <v>0</v>
      </c>
      <c r="G257" t="s">
        <v>10</v>
      </c>
      <c r="H257" t="b">
        <v>0</v>
      </c>
      <c r="I257" t="b">
        <v>0</v>
      </c>
      <c r="J257" t="b">
        <v>0</v>
      </c>
      <c r="K257" t="b">
        <v>0</v>
      </c>
      <c r="L257" t="s">
        <v>1785</v>
      </c>
      <c r="M257" t="s">
        <v>404</v>
      </c>
      <c r="N257" t="s">
        <v>17</v>
      </c>
      <c r="O257" t="b">
        <v>0</v>
      </c>
      <c r="P257">
        <v>4</v>
      </c>
      <c r="Q257" t="s">
        <v>169</v>
      </c>
      <c r="R257" t="s">
        <v>170</v>
      </c>
      <c r="S257" t="s">
        <v>5</v>
      </c>
      <c r="T257" t="s">
        <v>1136</v>
      </c>
      <c r="U257" t="s">
        <v>106</v>
      </c>
      <c r="V257" t="s">
        <v>172</v>
      </c>
      <c r="W257">
        <v>1</v>
      </c>
      <c r="X257" t="s">
        <v>31</v>
      </c>
      <c r="Z257" t="s">
        <v>5</v>
      </c>
      <c r="AA257" t="s">
        <v>5</v>
      </c>
      <c r="AC257" t="s">
        <v>716</v>
      </c>
      <c r="AD257">
        <v>443</v>
      </c>
    </row>
    <row r="258" spans="1:30" x14ac:dyDescent="0.3">
      <c r="A258">
        <v>14670735</v>
      </c>
      <c r="B258" s="3">
        <v>45685</v>
      </c>
      <c r="C258">
        <v>2025</v>
      </c>
      <c r="D258">
        <v>1</v>
      </c>
      <c r="E258" t="s">
        <v>1579</v>
      </c>
      <c r="F258" t="s">
        <v>0</v>
      </c>
      <c r="G258" t="s">
        <v>10</v>
      </c>
      <c r="H258" t="b">
        <v>0</v>
      </c>
      <c r="I258" t="b">
        <v>0</v>
      </c>
      <c r="J258" t="b">
        <v>0</v>
      </c>
      <c r="K258" t="b">
        <v>0</v>
      </c>
      <c r="L258" t="s">
        <v>1786</v>
      </c>
      <c r="M258" t="s">
        <v>624</v>
      </c>
      <c r="N258" t="s">
        <v>5</v>
      </c>
      <c r="O258" t="b">
        <v>0</v>
      </c>
      <c r="P258">
        <v>6</v>
      </c>
      <c r="Q258" t="s">
        <v>630</v>
      </c>
      <c r="R258" t="s">
        <v>5</v>
      </c>
      <c r="S258" t="s">
        <v>5</v>
      </c>
      <c r="T258" t="s">
        <v>664</v>
      </c>
      <c r="U258" t="s">
        <v>5</v>
      </c>
      <c r="V258" t="s">
        <v>5</v>
      </c>
      <c r="W258">
        <v>3</v>
      </c>
      <c r="X258" t="s">
        <v>14</v>
      </c>
      <c r="Z258" t="s">
        <v>5</v>
      </c>
      <c r="AA258" t="s">
        <v>8</v>
      </c>
      <c r="AC258" t="s">
        <v>32</v>
      </c>
      <c r="AD258">
        <v>424</v>
      </c>
    </row>
    <row r="259" spans="1:30" x14ac:dyDescent="0.3">
      <c r="A259">
        <v>14678328</v>
      </c>
      <c r="B259" s="3">
        <v>45666</v>
      </c>
      <c r="C259">
        <v>2025</v>
      </c>
      <c r="D259">
        <v>1</v>
      </c>
      <c r="E259" t="s">
        <v>1579</v>
      </c>
      <c r="F259" t="s">
        <v>0</v>
      </c>
      <c r="G259" t="s">
        <v>10</v>
      </c>
      <c r="H259" t="b">
        <v>0</v>
      </c>
      <c r="I259" t="b">
        <v>0</v>
      </c>
      <c r="J259" t="b">
        <v>0</v>
      </c>
      <c r="K259" t="b">
        <v>0</v>
      </c>
      <c r="L259" t="s">
        <v>1787</v>
      </c>
      <c r="M259" t="s">
        <v>1787</v>
      </c>
      <c r="N259" t="s">
        <v>5</v>
      </c>
      <c r="O259" t="b">
        <v>0</v>
      </c>
      <c r="P259">
        <v>1</v>
      </c>
      <c r="Q259" t="s">
        <v>169</v>
      </c>
      <c r="R259" t="s">
        <v>170</v>
      </c>
      <c r="S259" t="s">
        <v>5</v>
      </c>
      <c r="T259" t="s">
        <v>921</v>
      </c>
      <c r="U259" t="s">
        <v>106</v>
      </c>
      <c r="V259" t="s">
        <v>172</v>
      </c>
      <c r="W259">
        <v>1</v>
      </c>
      <c r="X259" t="s">
        <v>31</v>
      </c>
      <c r="Z259" t="s">
        <v>5</v>
      </c>
      <c r="AA259" t="s">
        <v>5</v>
      </c>
      <c r="AC259" t="s">
        <v>32</v>
      </c>
      <c r="AD259">
        <v>443</v>
      </c>
    </row>
    <row r="260" spans="1:30" x14ac:dyDescent="0.3">
      <c r="A260">
        <v>14678337</v>
      </c>
      <c r="B260" s="3">
        <v>45666</v>
      </c>
      <c r="C260">
        <v>2025</v>
      </c>
      <c r="D260">
        <v>1</v>
      </c>
      <c r="E260" t="s">
        <v>1579</v>
      </c>
      <c r="F260" t="s">
        <v>0</v>
      </c>
      <c r="G260" t="s">
        <v>10</v>
      </c>
      <c r="H260" t="b">
        <v>0</v>
      </c>
      <c r="I260" t="b">
        <v>0</v>
      </c>
      <c r="J260" t="b">
        <v>0</v>
      </c>
      <c r="K260" t="b">
        <v>0</v>
      </c>
      <c r="L260" t="s">
        <v>1788</v>
      </c>
      <c r="M260" t="s">
        <v>26</v>
      </c>
      <c r="N260" t="s">
        <v>5</v>
      </c>
      <c r="O260" t="b">
        <v>0</v>
      </c>
      <c r="P260">
        <v>2</v>
      </c>
      <c r="Q260" t="s">
        <v>169</v>
      </c>
      <c r="R260" t="s">
        <v>170</v>
      </c>
      <c r="S260" t="s">
        <v>5</v>
      </c>
      <c r="T260" t="s">
        <v>921</v>
      </c>
      <c r="U260" t="s">
        <v>106</v>
      </c>
      <c r="V260" t="s">
        <v>172</v>
      </c>
      <c r="W260">
        <v>1</v>
      </c>
      <c r="X260" t="s">
        <v>31</v>
      </c>
      <c r="Z260" t="s">
        <v>5</v>
      </c>
      <c r="AA260" t="s">
        <v>5</v>
      </c>
      <c r="AC260" t="s">
        <v>32</v>
      </c>
      <c r="AD260">
        <v>443</v>
      </c>
    </row>
    <row r="261" spans="1:30" x14ac:dyDescent="0.3">
      <c r="A261">
        <v>14689918</v>
      </c>
      <c r="B261" s="3">
        <v>45672</v>
      </c>
      <c r="C261">
        <v>2025</v>
      </c>
      <c r="D261">
        <v>1</v>
      </c>
      <c r="E261" t="s">
        <v>1579</v>
      </c>
      <c r="F261" t="s">
        <v>0</v>
      </c>
      <c r="G261" t="s">
        <v>1</v>
      </c>
      <c r="H261" t="b">
        <v>0</v>
      </c>
      <c r="I261" t="b">
        <v>1</v>
      </c>
      <c r="J261" t="b">
        <v>0</v>
      </c>
      <c r="K261" t="b">
        <v>0</v>
      </c>
      <c r="L261" t="s">
        <v>1789</v>
      </c>
      <c r="M261" t="s">
        <v>1496</v>
      </c>
      <c r="N261" t="s">
        <v>57</v>
      </c>
      <c r="O261" t="b">
        <v>1</v>
      </c>
      <c r="P261">
        <v>10</v>
      </c>
      <c r="Q261" t="s">
        <v>569</v>
      </c>
      <c r="R261" t="s">
        <v>810</v>
      </c>
      <c r="S261">
        <v>42</v>
      </c>
      <c r="T261" t="s">
        <v>429</v>
      </c>
      <c r="U261" t="s">
        <v>811</v>
      </c>
      <c r="V261" t="s">
        <v>571</v>
      </c>
      <c r="W261">
        <v>11</v>
      </c>
      <c r="X261" t="s">
        <v>6</v>
      </c>
      <c r="Z261" t="s">
        <v>5</v>
      </c>
      <c r="AA261" t="s">
        <v>5</v>
      </c>
      <c r="AC261" t="s">
        <v>101</v>
      </c>
      <c r="AD261">
        <v>437</v>
      </c>
    </row>
    <row r="262" spans="1:30" x14ac:dyDescent="0.3">
      <c r="A262">
        <v>14692250</v>
      </c>
      <c r="B262" s="3">
        <v>45684</v>
      </c>
      <c r="C262">
        <v>2025</v>
      </c>
      <c r="D262">
        <v>1</v>
      </c>
      <c r="E262" t="s">
        <v>1579</v>
      </c>
      <c r="F262" t="s">
        <v>0</v>
      </c>
      <c r="G262" t="s">
        <v>384</v>
      </c>
      <c r="H262" t="b">
        <v>1</v>
      </c>
      <c r="I262" t="b">
        <v>1</v>
      </c>
      <c r="J262" t="b">
        <v>1</v>
      </c>
      <c r="K262" t="b">
        <v>0</v>
      </c>
      <c r="L262" t="s">
        <v>1790</v>
      </c>
      <c r="M262" t="s">
        <v>1414</v>
      </c>
      <c r="N262" t="s">
        <v>5</v>
      </c>
      <c r="O262" t="b">
        <v>0</v>
      </c>
      <c r="P262">
        <v>4</v>
      </c>
      <c r="Q262" t="s">
        <v>444</v>
      </c>
      <c r="R262" t="s">
        <v>445</v>
      </c>
      <c r="S262">
        <v>41</v>
      </c>
      <c r="T262" t="s">
        <v>884</v>
      </c>
      <c r="U262" t="s">
        <v>447</v>
      </c>
      <c r="V262" t="s">
        <v>172</v>
      </c>
      <c r="W262">
        <v>8</v>
      </c>
      <c r="X262" t="s">
        <v>6</v>
      </c>
      <c r="Y262">
        <v>84</v>
      </c>
      <c r="Z262" t="s">
        <v>196</v>
      </c>
      <c r="AA262" t="s">
        <v>8</v>
      </c>
      <c r="AB262">
        <v>57</v>
      </c>
      <c r="AC262" t="s">
        <v>20</v>
      </c>
      <c r="AD262">
        <v>425</v>
      </c>
    </row>
    <row r="263" spans="1:30" x14ac:dyDescent="0.3">
      <c r="A263">
        <v>14693703</v>
      </c>
      <c r="B263" s="3">
        <v>45667</v>
      </c>
      <c r="C263">
        <v>2025</v>
      </c>
      <c r="D263">
        <v>1</v>
      </c>
      <c r="E263" t="s">
        <v>1579</v>
      </c>
      <c r="F263" t="s">
        <v>0</v>
      </c>
      <c r="G263" t="s">
        <v>1</v>
      </c>
      <c r="H263" t="b">
        <v>0</v>
      </c>
      <c r="I263" t="b">
        <v>1</v>
      </c>
      <c r="J263" t="b">
        <v>0</v>
      </c>
      <c r="K263" t="b">
        <v>0</v>
      </c>
      <c r="L263" t="s">
        <v>1791</v>
      </c>
      <c r="M263" t="s">
        <v>883</v>
      </c>
      <c r="N263" t="s">
        <v>2</v>
      </c>
      <c r="O263" t="b">
        <v>1</v>
      </c>
      <c r="P263">
        <v>6</v>
      </c>
      <c r="Q263" t="s">
        <v>169</v>
      </c>
      <c r="R263" t="s">
        <v>170</v>
      </c>
      <c r="S263">
        <v>41</v>
      </c>
      <c r="T263" t="s">
        <v>1055</v>
      </c>
      <c r="U263" t="s">
        <v>106</v>
      </c>
      <c r="V263" t="s">
        <v>172</v>
      </c>
      <c r="W263">
        <v>12</v>
      </c>
      <c r="X263" t="s">
        <v>6</v>
      </c>
      <c r="Y263">
        <v>72</v>
      </c>
      <c r="Z263" t="s">
        <v>67</v>
      </c>
      <c r="AA263" t="s">
        <v>8</v>
      </c>
      <c r="AB263">
        <v>58</v>
      </c>
      <c r="AC263" t="s">
        <v>20</v>
      </c>
      <c r="AD263">
        <v>442</v>
      </c>
    </row>
    <row r="264" spans="1:30" x14ac:dyDescent="0.3">
      <c r="A264">
        <v>14701026</v>
      </c>
      <c r="B264" s="3">
        <v>45682</v>
      </c>
      <c r="C264">
        <v>2025</v>
      </c>
      <c r="D264">
        <v>1</v>
      </c>
      <c r="E264" t="s">
        <v>1579</v>
      </c>
      <c r="F264" t="s">
        <v>0</v>
      </c>
      <c r="G264" t="s">
        <v>10</v>
      </c>
      <c r="H264" t="b">
        <v>0</v>
      </c>
      <c r="I264" t="b">
        <v>0</v>
      </c>
      <c r="J264" t="b">
        <v>0</v>
      </c>
      <c r="K264" t="b">
        <v>0</v>
      </c>
      <c r="L264" t="s">
        <v>69</v>
      </c>
      <c r="M264" t="s">
        <v>69</v>
      </c>
      <c r="N264" t="s">
        <v>264</v>
      </c>
      <c r="O264" t="b">
        <v>0</v>
      </c>
      <c r="P264">
        <v>1</v>
      </c>
      <c r="Q264" t="s">
        <v>141</v>
      </c>
      <c r="R264" t="s">
        <v>142</v>
      </c>
      <c r="S264">
        <v>48</v>
      </c>
      <c r="T264" t="s">
        <v>83</v>
      </c>
      <c r="U264" t="s">
        <v>144</v>
      </c>
      <c r="V264" t="s">
        <v>5</v>
      </c>
      <c r="W264">
        <v>16</v>
      </c>
      <c r="X264" t="s">
        <v>6</v>
      </c>
      <c r="Y264">
        <v>45</v>
      </c>
      <c r="Z264" t="s">
        <v>7</v>
      </c>
      <c r="AA264" t="s">
        <v>15</v>
      </c>
      <c r="AC264" t="s">
        <v>32</v>
      </c>
      <c r="AD264">
        <v>427</v>
      </c>
    </row>
    <row r="265" spans="1:30" x14ac:dyDescent="0.3">
      <c r="A265">
        <v>14713699</v>
      </c>
      <c r="B265" s="3">
        <v>45666</v>
      </c>
      <c r="C265">
        <v>2025</v>
      </c>
      <c r="D265">
        <v>1</v>
      </c>
      <c r="E265" t="s">
        <v>1579</v>
      </c>
      <c r="F265" t="s">
        <v>0</v>
      </c>
      <c r="G265" t="s">
        <v>10</v>
      </c>
      <c r="H265" t="b">
        <v>0</v>
      </c>
      <c r="I265" t="b">
        <v>0</v>
      </c>
      <c r="J265" t="b">
        <v>0</v>
      </c>
      <c r="K265" t="b">
        <v>0</v>
      </c>
      <c r="L265" t="s">
        <v>1792</v>
      </c>
      <c r="M265" t="s">
        <v>1097</v>
      </c>
      <c r="N265" t="s">
        <v>5</v>
      </c>
      <c r="O265" t="b">
        <v>0</v>
      </c>
      <c r="P265">
        <v>3</v>
      </c>
      <c r="Q265" t="s">
        <v>169</v>
      </c>
      <c r="R265" t="s">
        <v>170</v>
      </c>
      <c r="S265" t="s">
        <v>5</v>
      </c>
      <c r="T265" t="s">
        <v>619</v>
      </c>
      <c r="U265" t="s">
        <v>106</v>
      </c>
      <c r="V265" t="s">
        <v>172</v>
      </c>
      <c r="W265">
        <v>1</v>
      </c>
      <c r="X265" t="s">
        <v>31</v>
      </c>
      <c r="Z265" t="s">
        <v>5</v>
      </c>
      <c r="AA265" t="s">
        <v>5</v>
      </c>
      <c r="AC265" t="s">
        <v>32</v>
      </c>
      <c r="AD265">
        <v>443</v>
      </c>
    </row>
    <row r="266" spans="1:30" x14ac:dyDescent="0.3">
      <c r="A266">
        <v>14713702</v>
      </c>
      <c r="B266" s="3">
        <v>45667</v>
      </c>
      <c r="C266">
        <v>2025</v>
      </c>
      <c r="D266">
        <v>1</v>
      </c>
      <c r="E266" t="s">
        <v>1579</v>
      </c>
      <c r="F266" t="s">
        <v>0</v>
      </c>
      <c r="G266" t="s">
        <v>10</v>
      </c>
      <c r="H266" t="b">
        <v>0</v>
      </c>
      <c r="I266" t="b">
        <v>0</v>
      </c>
      <c r="J266" t="b">
        <v>0</v>
      </c>
      <c r="K266" t="b">
        <v>0</v>
      </c>
      <c r="L266" t="s">
        <v>1793</v>
      </c>
      <c r="M266" t="s">
        <v>1187</v>
      </c>
      <c r="N266" t="s">
        <v>57</v>
      </c>
      <c r="O266" t="b">
        <v>1</v>
      </c>
      <c r="P266">
        <v>2</v>
      </c>
      <c r="Q266" t="s">
        <v>169</v>
      </c>
      <c r="R266" t="s">
        <v>170</v>
      </c>
      <c r="S266" t="s">
        <v>5</v>
      </c>
      <c r="T266" t="s">
        <v>1794</v>
      </c>
      <c r="U266" t="s">
        <v>106</v>
      </c>
      <c r="V266" t="s">
        <v>172</v>
      </c>
      <c r="W266">
        <v>1</v>
      </c>
      <c r="X266" t="s">
        <v>31</v>
      </c>
      <c r="Z266" t="s">
        <v>5</v>
      </c>
      <c r="AA266" t="s">
        <v>5</v>
      </c>
      <c r="AC266" t="s">
        <v>32</v>
      </c>
      <c r="AD266">
        <v>442</v>
      </c>
    </row>
    <row r="267" spans="1:30" x14ac:dyDescent="0.3">
      <c r="A267">
        <v>14732616</v>
      </c>
      <c r="B267" s="3">
        <v>45667</v>
      </c>
      <c r="C267">
        <v>2025</v>
      </c>
      <c r="D267">
        <v>1</v>
      </c>
      <c r="E267" t="s">
        <v>1579</v>
      </c>
      <c r="F267" t="s">
        <v>0</v>
      </c>
      <c r="G267" t="s">
        <v>50</v>
      </c>
      <c r="H267" t="b">
        <v>1</v>
      </c>
      <c r="I267" t="b">
        <v>0</v>
      </c>
      <c r="J267" t="b">
        <v>0</v>
      </c>
      <c r="K267" t="b">
        <v>0</v>
      </c>
      <c r="L267" t="s">
        <v>1570</v>
      </c>
      <c r="M267" t="s">
        <v>883</v>
      </c>
      <c r="N267" t="s">
        <v>5</v>
      </c>
      <c r="O267" t="b">
        <v>0</v>
      </c>
      <c r="P267">
        <v>2</v>
      </c>
      <c r="Q267" t="s">
        <v>169</v>
      </c>
      <c r="R267" t="s">
        <v>170</v>
      </c>
      <c r="S267">
        <v>42</v>
      </c>
      <c r="T267" t="s">
        <v>619</v>
      </c>
      <c r="U267" t="s">
        <v>106</v>
      </c>
      <c r="V267" t="s">
        <v>172</v>
      </c>
      <c r="W267">
        <v>1</v>
      </c>
      <c r="X267" t="s">
        <v>31</v>
      </c>
      <c r="Z267" t="s">
        <v>5</v>
      </c>
      <c r="AA267" t="s">
        <v>5</v>
      </c>
      <c r="AC267" t="s">
        <v>116</v>
      </c>
      <c r="AD267">
        <v>442</v>
      </c>
    </row>
    <row r="268" spans="1:30" x14ac:dyDescent="0.3">
      <c r="A268">
        <v>14733975</v>
      </c>
      <c r="B268" s="3">
        <v>45666</v>
      </c>
      <c r="C268">
        <v>2025</v>
      </c>
      <c r="D268">
        <v>1</v>
      </c>
      <c r="E268" t="s">
        <v>1579</v>
      </c>
      <c r="F268" t="s">
        <v>0</v>
      </c>
      <c r="G268" t="s">
        <v>10</v>
      </c>
      <c r="H268" t="b">
        <v>0</v>
      </c>
      <c r="I268" t="b">
        <v>0</v>
      </c>
      <c r="J268" t="b">
        <v>0</v>
      </c>
      <c r="K268" t="b">
        <v>0</v>
      </c>
      <c r="L268" t="s">
        <v>1795</v>
      </c>
      <c r="M268" t="s">
        <v>439</v>
      </c>
      <c r="N268" t="s">
        <v>5</v>
      </c>
      <c r="O268" t="b">
        <v>0</v>
      </c>
      <c r="P268">
        <v>2</v>
      </c>
      <c r="Q268" t="s">
        <v>1089</v>
      </c>
      <c r="R268" t="s">
        <v>1090</v>
      </c>
      <c r="S268">
        <v>65</v>
      </c>
      <c r="T268" t="s">
        <v>396</v>
      </c>
      <c r="U268" t="s">
        <v>1092</v>
      </c>
      <c r="V268" t="s">
        <v>1093</v>
      </c>
      <c r="W268">
        <v>2</v>
      </c>
      <c r="X268" t="s">
        <v>14</v>
      </c>
      <c r="Z268" t="s">
        <v>5</v>
      </c>
      <c r="AA268" t="s">
        <v>5</v>
      </c>
      <c r="AC268" t="s">
        <v>254</v>
      </c>
      <c r="AD268">
        <v>443</v>
      </c>
    </row>
    <row r="269" spans="1:30" x14ac:dyDescent="0.3">
      <c r="A269">
        <v>14740343</v>
      </c>
      <c r="B269" s="3">
        <v>45679</v>
      </c>
      <c r="C269">
        <v>2025</v>
      </c>
      <c r="D269">
        <v>1</v>
      </c>
      <c r="E269" t="s">
        <v>1579</v>
      </c>
      <c r="F269" t="s">
        <v>0</v>
      </c>
      <c r="G269" t="s">
        <v>1</v>
      </c>
      <c r="H269" t="b">
        <v>0</v>
      </c>
      <c r="I269" t="b">
        <v>1</v>
      </c>
      <c r="J269" t="b">
        <v>0</v>
      </c>
      <c r="K269" t="b">
        <v>0</v>
      </c>
      <c r="L269" t="s">
        <v>1796</v>
      </c>
      <c r="M269" t="s">
        <v>393</v>
      </c>
      <c r="N269" t="s">
        <v>5</v>
      </c>
      <c r="O269" t="b">
        <v>0</v>
      </c>
      <c r="P269">
        <v>3</v>
      </c>
      <c r="Q269" t="s">
        <v>320</v>
      </c>
      <c r="R269" t="s">
        <v>321</v>
      </c>
      <c r="S269">
        <v>58</v>
      </c>
      <c r="T269" t="s">
        <v>594</v>
      </c>
      <c r="U269" t="s">
        <v>4</v>
      </c>
      <c r="V269" t="s">
        <v>322</v>
      </c>
      <c r="W269">
        <v>3</v>
      </c>
      <c r="X269" t="s">
        <v>14</v>
      </c>
      <c r="Y269">
        <v>75</v>
      </c>
      <c r="Z269" t="s">
        <v>67</v>
      </c>
      <c r="AA269" t="s">
        <v>15</v>
      </c>
      <c r="AC269" t="s">
        <v>9</v>
      </c>
      <c r="AD269">
        <v>430</v>
      </c>
    </row>
    <row r="270" spans="1:30" x14ac:dyDescent="0.3">
      <c r="A270">
        <v>14740698</v>
      </c>
      <c r="B270" s="3">
        <v>45667</v>
      </c>
      <c r="C270">
        <v>2025</v>
      </c>
      <c r="D270">
        <v>1</v>
      </c>
      <c r="E270" t="s">
        <v>1579</v>
      </c>
      <c r="F270" t="s">
        <v>0</v>
      </c>
      <c r="G270" t="s">
        <v>10</v>
      </c>
      <c r="H270" t="b">
        <v>0</v>
      </c>
      <c r="I270" t="b">
        <v>0</v>
      </c>
      <c r="J270" t="b">
        <v>0</v>
      </c>
      <c r="K270" t="b">
        <v>0</v>
      </c>
      <c r="L270" t="s">
        <v>565</v>
      </c>
      <c r="M270" t="s">
        <v>565</v>
      </c>
      <c r="N270" t="s">
        <v>5</v>
      </c>
      <c r="O270" t="b">
        <v>0</v>
      </c>
      <c r="P270">
        <v>1</v>
      </c>
      <c r="Q270" t="s">
        <v>169</v>
      </c>
      <c r="R270" t="s">
        <v>170</v>
      </c>
      <c r="S270" t="s">
        <v>5</v>
      </c>
      <c r="T270" t="s">
        <v>171</v>
      </c>
      <c r="U270" t="s">
        <v>106</v>
      </c>
      <c r="V270" t="s">
        <v>172</v>
      </c>
      <c r="W270">
        <v>2</v>
      </c>
      <c r="X270" t="s">
        <v>14</v>
      </c>
      <c r="Z270" t="s">
        <v>5</v>
      </c>
      <c r="AA270" t="s">
        <v>5</v>
      </c>
      <c r="AC270" t="s">
        <v>32</v>
      </c>
      <c r="AD270">
        <v>442</v>
      </c>
    </row>
    <row r="271" spans="1:30" x14ac:dyDescent="0.3">
      <c r="A271">
        <v>14744934</v>
      </c>
      <c r="B271" s="3">
        <v>45670</v>
      </c>
      <c r="C271">
        <v>2025</v>
      </c>
      <c r="D271">
        <v>1</v>
      </c>
      <c r="E271" t="s">
        <v>1579</v>
      </c>
      <c r="F271" t="s">
        <v>125</v>
      </c>
      <c r="G271" t="s">
        <v>10</v>
      </c>
      <c r="H271" t="b">
        <v>0</v>
      </c>
      <c r="I271" t="b">
        <v>0</v>
      </c>
      <c r="J271" t="b">
        <v>0</v>
      </c>
      <c r="K271" t="b">
        <v>0</v>
      </c>
      <c r="L271" t="s">
        <v>1797</v>
      </c>
      <c r="M271" t="s">
        <v>126</v>
      </c>
      <c r="N271" t="s">
        <v>5</v>
      </c>
      <c r="O271" t="b">
        <v>0</v>
      </c>
      <c r="P271">
        <v>4</v>
      </c>
      <c r="Q271" t="s">
        <v>226</v>
      </c>
      <c r="R271" t="s">
        <v>227</v>
      </c>
      <c r="S271" t="s">
        <v>5</v>
      </c>
      <c r="T271" t="s">
        <v>80</v>
      </c>
      <c r="U271" t="s">
        <v>228</v>
      </c>
      <c r="V271" t="s">
        <v>5</v>
      </c>
      <c r="W271">
        <v>1</v>
      </c>
      <c r="X271" t="s">
        <v>31</v>
      </c>
      <c r="Y271">
        <v>64</v>
      </c>
      <c r="Z271" t="s">
        <v>7</v>
      </c>
      <c r="AA271" t="s">
        <v>8</v>
      </c>
      <c r="AC271" t="s">
        <v>32</v>
      </c>
      <c r="AD271">
        <v>439</v>
      </c>
    </row>
    <row r="272" spans="1:30" x14ac:dyDescent="0.3">
      <c r="A272">
        <v>14750087</v>
      </c>
      <c r="B272" s="3">
        <v>45670</v>
      </c>
      <c r="C272">
        <v>2025</v>
      </c>
      <c r="D272">
        <v>1</v>
      </c>
      <c r="E272" t="s">
        <v>1579</v>
      </c>
      <c r="F272" t="s">
        <v>0</v>
      </c>
      <c r="G272" t="s">
        <v>10</v>
      </c>
      <c r="H272" t="b">
        <v>0</v>
      </c>
      <c r="I272" t="b">
        <v>0</v>
      </c>
      <c r="J272" t="b">
        <v>0</v>
      </c>
      <c r="K272" t="b">
        <v>0</v>
      </c>
      <c r="L272" t="s">
        <v>1798</v>
      </c>
      <c r="M272" t="s">
        <v>225</v>
      </c>
      <c r="N272" t="s">
        <v>57</v>
      </c>
      <c r="O272" t="b">
        <v>1</v>
      </c>
      <c r="P272">
        <v>7</v>
      </c>
      <c r="Q272" t="s">
        <v>250</v>
      </c>
      <c r="R272" t="s">
        <v>251</v>
      </c>
      <c r="S272" t="s">
        <v>5</v>
      </c>
      <c r="T272" t="s">
        <v>252</v>
      </c>
      <c r="U272" t="s">
        <v>253</v>
      </c>
      <c r="V272" t="s">
        <v>5</v>
      </c>
      <c r="W272">
        <v>6</v>
      </c>
      <c r="X272" t="s">
        <v>6</v>
      </c>
      <c r="Y272">
        <v>47</v>
      </c>
      <c r="Z272" t="s">
        <v>7</v>
      </c>
      <c r="AA272" t="s">
        <v>8</v>
      </c>
      <c r="AC272" t="s">
        <v>284</v>
      </c>
      <c r="AD272">
        <v>439</v>
      </c>
    </row>
    <row r="273" spans="1:30" x14ac:dyDescent="0.3">
      <c r="A273">
        <v>14759093</v>
      </c>
      <c r="B273" s="3">
        <v>45666</v>
      </c>
      <c r="C273">
        <v>2025</v>
      </c>
      <c r="D273">
        <v>1</v>
      </c>
      <c r="E273" t="s">
        <v>1579</v>
      </c>
      <c r="F273" t="s">
        <v>0</v>
      </c>
      <c r="G273" t="s">
        <v>10</v>
      </c>
      <c r="H273" t="b">
        <v>0</v>
      </c>
      <c r="I273" t="b">
        <v>0</v>
      </c>
      <c r="J273" t="b">
        <v>0</v>
      </c>
      <c r="K273" t="b">
        <v>0</v>
      </c>
      <c r="L273" t="s">
        <v>1799</v>
      </c>
      <c r="M273" t="s">
        <v>1800</v>
      </c>
      <c r="N273" t="s">
        <v>17</v>
      </c>
      <c r="O273" t="b">
        <v>0</v>
      </c>
      <c r="P273">
        <v>5</v>
      </c>
      <c r="Q273" t="s">
        <v>1175</v>
      </c>
      <c r="R273" t="s">
        <v>1176</v>
      </c>
      <c r="S273">
        <v>65</v>
      </c>
      <c r="T273" t="s">
        <v>1474</v>
      </c>
      <c r="U273" t="s">
        <v>1177</v>
      </c>
      <c r="V273" t="s">
        <v>259</v>
      </c>
      <c r="W273">
        <v>8</v>
      </c>
      <c r="X273" t="s">
        <v>6</v>
      </c>
      <c r="Y273">
        <v>47</v>
      </c>
      <c r="Z273" t="s">
        <v>7</v>
      </c>
      <c r="AA273" t="s">
        <v>8</v>
      </c>
      <c r="AC273" t="s">
        <v>885</v>
      </c>
      <c r="AD273">
        <v>443</v>
      </c>
    </row>
    <row r="274" spans="1:30" x14ac:dyDescent="0.3">
      <c r="A274">
        <v>14763762</v>
      </c>
      <c r="B274" s="3">
        <v>45666</v>
      </c>
      <c r="C274">
        <v>2025</v>
      </c>
      <c r="D274">
        <v>1</v>
      </c>
      <c r="E274" t="s">
        <v>1579</v>
      </c>
      <c r="F274" t="s">
        <v>0</v>
      </c>
      <c r="G274" t="s">
        <v>10</v>
      </c>
      <c r="H274" t="b">
        <v>0</v>
      </c>
      <c r="I274" t="b">
        <v>0</v>
      </c>
      <c r="J274" t="b">
        <v>0</v>
      </c>
      <c r="K274" t="b">
        <v>0</v>
      </c>
      <c r="L274" t="s">
        <v>1128</v>
      </c>
      <c r="M274" t="s">
        <v>1128</v>
      </c>
      <c r="N274" t="s">
        <v>5</v>
      </c>
      <c r="O274" t="b">
        <v>0</v>
      </c>
      <c r="P274">
        <v>1</v>
      </c>
      <c r="Q274" t="s">
        <v>1089</v>
      </c>
      <c r="R274" t="s">
        <v>1090</v>
      </c>
      <c r="S274">
        <v>48</v>
      </c>
      <c r="T274" t="s">
        <v>296</v>
      </c>
      <c r="U274" t="s">
        <v>1092</v>
      </c>
      <c r="V274" t="s">
        <v>1093</v>
      </c>
      <c r="W274">
        <v>1</v>
      </c>
      <c r="X274" t="s">
        <v>31</v>
      </c>
      <c r="Z274" t="s">
        <v>5</v>
      </c>
      <c r="AA274" t="s">
        <v>5</v>
      </c>
      <c r="AC274" t="s">
        <v>116</v>
      </c>
      <c r="AD274">
        <v>443</v>
      </c>
    </row>
    <row r="275" spans="1:30" x14ac:dyDescent="0.3">
      <c r="A275">
        <v>14778558</v>
      </c>
      <c r="B275" s="3">
        <v>45666</v>
      </c>
      <c r="C275">
        <v>2025</v>
      </c>
      <c r="D275">
        <v>1</v>
      </c>
      <c r="E275" t="s">
        <v>1579</v>
      </c>
      <c r="F275" t="s">
        <v>0</v>
      </c>
      <c r="G275" t="s">
        <v>10</v>
      </c>
      <c r="H275" t="b">
        <v>0</v>
      </c>
      <c r="I275" t="b">
        <v>0</v>
      </c>
      <c r="J275" t="b">
        <v>0</v>
      </c>
      <c r="K275" t="b">
        <v>0</v>
      </c>
      <c r="L275" t="s">
        <v>165</v>
      </c>
      <c r="M275" t="s">
        <v>165</v>
      </c>
      <c r="N275" t="s">
        <v>264</v>
      </c>
      <c r="O275" t="b">
        <v>0</v>
      </c>
      <c r="P275">
        <v>1</v>
      </c>
      <c r="Q275" t="s">
        <v>293</v>
      </c>
      <c r="R275" t="s">
        <v>294</v>
      </c>
      <c r="S275">
        <v>48</v>
      </c>
      <c r="T275" t="s">
        <v>134</v>
      </c>
      <c r="U275" t="s">
        <v>106</v>
      </c>
      <c r="V275" t="s">
        <v>5</v>
      </c>
      <c r="W275">
        <v>1</v>
      </c>
      <c r="X275" t="s">
        <v>31</v>
      </c>
      <c r="Z275" t="s">
        <v>5</v>
      </c>
      <c r="AA275" t="s">
        <v>5</v>
      </c>
      <c r="AC275" t="s">
        <v>233</v>
      </c>
      <c r="AD275">
        <v>443</v>
      </c>
    </row>
    <row r="276" spans="1:30" x14ac:dyDescent="0.3">
      <c r="A276">
        <v>14779767</v>
      </c>
      <c r="B276" s="3">
        <v>45687</v>
      </c>
      <c r="C276">
        <v>2025</v>
      </c>
      <c r="D276">
        <v>1</v>
      </c>
      <c r="E276" t="s">
        <v>1579</v>
      </c>
      <c r="F276" t="s">
        <v>0</v>
      </c>
      <c r="G276" t="s">
        <v>10</v>
      </c>
      <c r="H276" t="b">
        <v>0</v>
      </c>
      <c r="I276" t="b">
        <v>0</v>
      </c>
      <c r="J276" t="b">
        <v>0</v>
      </c>
      <c r="K276" t="b">
        <v>0</v>
      </c>
      <c r="L276" t="s">
        <v>1801</v>
      </c>
      <c r="M276" t="s">
        <v>1299</v>
      </c>
      <c r="N276" t="s">
        <v>118</v>
      </c>
      <c r="O276" t="b">
        <v>0</v>
      </c>
      <c r="P276">
        <v>26</v>
      </c>
      <c r="Q276" t="s">
        <v>208</v>
      </c>
      <c r="R276" t="s">
        <v>286</v>
      </c>
      <c r="S276">
        <v>48</v>
      </c>
      <c r="T276" t="s">
        <v>80</v>
      </c>
      <c r="U276" t="s">
        <v>210</v>
      </c>
      <c r="V276" t="s">
        <v>5</v>
      </c>
      <c r="W276">
        <v>5</v>
      </c>
      <c r="X276" t="s">
        <v>40</v>
      </c>
      <c r="Y276">
        <v>61</v>
      </c>
      <c r="Z276" t="s">
        <v>7</v>
      </c>
      <c r="AA276" t="s">
        <v>15</v>
      </c>
      <c r="AB276">
        <v>76.19</v>
      </c>
      <c r="AC276" t="s">
        <v>32</v>
      </c>
      <c r="AD276">
        <v>422</v>
      </c>
    </row>
    <row r="277" spans="1:30" x14ac:dyDescent="0.3">
      <c r="A277">
        <v>14781080</v>
      </c>
      <c r="B277" s="3">
        <v>45681</v>
      </c>
      <c r="C277">
        <v>2025</v>
      </c>
      <c r="D277">
        <v>1</v>
      </c>
      <c r="E277" t="s">
        <v>1579</v>
      </c>
      <c r="F277" t="s">
        <v>125</v>
      </c>
      <c r="G277" t="s">
        <v>10</v>
      </c>
      <c r="H277" t="b">
        <v>0</v>
      </c>
      <c r="I277" t="b">
        <v>0</v>
      </c>
      <c r="J277" t="b">
        <v>0</v>
      </c>
      <c r="K277" t="b">
        <v>0</v>
      </c>
      <c r="L277" t="s">
        <v>1802</v>
      </c>
      <c r="M277" t="s">
        <v>433</v>
      </c>
      <c r="N277" t="s">
        <v>118</v>
      </c>
      <c r="O277" t="b">
        <v>0</v>
      </c>
      <c r="P277">
        <v>4</v>
      </c>
      <c r="Q277" t="s">
        <v>230</v>
      </c>
      <c r="R277" t="s">
        <v>268</v>
      </c>
      <c r="S277">
        <v>48</v>
      </c>
      <c r="T277" t="s">
        <v>83</v>
      </c>
      <c r="U277" t="s">
        <v>231</v>
      </c>
      <c r="V277" t="s">
        <v>232</v>
      </c>
      <c r="W277">
        <v>5</v>
      </c>
      <c r="X277" t="s">
        <v>40</v>
      </c>
      <c r="Z277" t="s">
        <v>5</v>
      </c>
      <c r="AA277" t="s">
        <v>5</v>
      </c>
      <c r="AC277" t="s">
        <v>32</v>
      </c>
      <c r="AD277">
        <v>428</v>
      </c>
    </row>
    <row r="278" spans="1:30" x14ac:dyDescent="0.3">
      <c r="A278">
        <v>14800314</v>
      </c>
      <c r="B278" s="3">
        <v>45684</v>
      </c>
      <c r="C278">
        <v>2025</v>
      </c>
      <c r="D278">
        <v>1</v>
      </c>
      <c r="E278" t="s">
        <v>1579</v>
      </c>
      <c r="F278" t="s">
        <v>125</v>
      </c>
      <c r="G278" t="s">
        <v>10</v>
      </c>
      <c r="H278" t="b">
        <v>0</v>
      </c>
      <c r="I278" t="b">
        <v>0</v>
      </c>
      <c r="J278" t="b">
        <v>0</v>
      </c>
      <c r="K278" t="b">
        <v>0</v>
      </c>
      <c r="L278" t="s">
        <v>1476</v>
      </c>
      <c r="M278" t="s">
        <v>428</v>
      </c>
      <c r="N278" t="s">
        <v>57</v>
      </c>
      <c r="O278" t="b">
        <v>1</v>
      </c>
      <c r="P278">
        <v>2</v>
      </c>
      <c r="Q278" t="s">
        <v>289</v>
      </c>
      <c r="R278" t="s">
        <v>290</v>
      </c>
      <c r="S278" t="s">
        <v>5</v>
      </c>
      <c r="T278" t="s">
        <v>291</v>
      </c>
      <c r="U278" t="s">
        <v>271</v>
      </c>
      <c r="V278" t="s">
        <v>292</v>
      </c>
      <c r="W278">
        <v>4</v>
      </c>
      <c r="X278" t="s">
        <v>40</v>
      </c>
      <c r="Z278" t="s">
        <v>5</v>
      </c>
      <c r="AA278" t="s">
        <v>8</v>
      </c>
      <c r="AB278">
        <v>54.421999999999997</v>
      </c>
      <c r="AC278" t="s">
        <v>32</v>
      </c>
      <c r="AD278">
        <v>425</v>
      </c>
    </row>
    <row r="279" spans="1:30" x14ac:dyDescent="0.3">
      <c r="A279">
        <v>14819810</v>
      </c>
      <c r="B279" s="3">
        <v>45667</v>
      </c>
      <c r="C279">
        <v>2025</v>
      </c>
      <c r="D279">
        <v>1</v>
      </c>
      <c r="E279" t="s">
        <v>1579</v>
      </c>
      <c r="F279" t="s">
        <v>0</v>
      </c>
      <c r="G279" t="s">
        <v>10</v>
      </c>
      <c r="H279" t="b">
        <v>0</v>
      </c>
      <c r="I279" t="b">
        <v>0</v>
      </c>
      <c r="J279" t="b">
        <v>0</v>
      </c>
      <c r="K279" t="b">
        <v>0</v>
      </c>
      <c r="L279" t="s">
        <v>1803</v>
      </c>
      <c r="M279" t="s">
        <v>677</v>
      </c>
      <c r="N279" t="s">
        <v>63</v>
      </c>
      <c r="O279" t="b">
        <v>0</v>
      </c>
      <c r="P279">
        <v>2</v>
      </c>
      <c r="Q279" t="s">
        <v>230</v>
      </c>
      <c r="R279" t="s">
        <v>268</v>
      </c>
      <c r="S279">
        <v>65</v>
      </c>
      <c r="T279" t="s">
        <v>606</v>
      </c>
      <c r="U279" t="s">
        <v>231</v>
      </c>
      <c r="V279" t="s">
        <v>232</v>
      </c>
      <c r="W279">
        <v>21</v>
      </c>
      <c r="X279" t="s">
        <v>6</v>
      </c>
      <c r="Z279" t="s">
        <v>5</v>
      </c>
      <c r="AA279" t="s">
        <v>5</v>
      </c>
      <c r="AC279" t="s">
        <v>32</v>
      </c>
      <c r="AD279">
        <v>442</v>
      </c>
    </row>
    <row r="280" spans="1:30" x14ac:dyDescent="0.3">
      <c r="A280">
        <v>14846590</v>
      </c>
      <c r="B280" s="3">
        <v>45684</v>
      </c>
      <c r="C280">
        <v>2025</v>
      </c>
      <c r="D280">
        <v>1</v>
      </c>
      <c r="E280" t="s">
        <v>1579</v>
      </c>
      <c r="F280" t="s">
        <v>0</v>
      </c>
      <c r="G280" t="s">
        <v>10</v>
      </c>
      <c r="H280" t="b">
        <v>0</v>
      </c>
      <c r="I280" t="b">
        <v>0</v>
      </c>
      <c r="J280" t="b">
        <v>0</v>
      </c>
      <c r="K280" t="b">
        <v>0</v>
      </c>
      <c r="L280" t="s">
        <v>1804</v>
      </c>
      <c r="M280" t="s">
        <v>1145</v>
      </c>
      <c r="N280" t="s">
        <v>63</v>
      </c>
      <c r="O280" t="b">
        <v>0</v>
      </c>
      <c r="P280">
        <v>10</v>
      </c>
      <c r="Q280" t="s">
        <v>208</v>
      </c>
      <c r="R280" t="s">
        <v>286</v>
      </c>
      <c r="S280">
        <v>48</v>
      </c>
      <c r="T280" t="s">
        <v>5</v>
      </c>
      <c r="U280" t="s">
        <v>210</v>
      </c>
      <c r="V280" t="s">
        <v>5</v>
      </c>
      <c r="W280">
        <v>2</v>
      </c>
      <c r="X280" t="s">
        <v>14</v>
      </c>
      <c r="Y280">
        <v>71</v>
      </c>
      <c r="Z280" t="s">
        <v>67</v>
      </c>
      <c r="AA280" t="s">
        <v>8</v>
      </c>
      <c r="AC280" t="s">
        <v>32</v>
      </c>
      <c r="AD280">
        <v>425</v>
      </c>
    </row>
    <row r="281" spans="1:30" x14ac:dyDescent="0.3">
      <c r="A281">
        <v>14852283</v>
      </c>
      <c r="B281" s="3">
        <v>45659</v>
      </c>
      <c r="C281">
        <v>2025</v>
      </c>
      <c r="D281">
        <v>1</v>
      </c>
      <c r="E281" t="s">
        <v>1579</v>
      </c>
      <c r="F281" t="s">
        <v>125</v>
      </c>
      <c r="G281" t="s">
        <v>10</v>
      </c>
      <c r="H281" t="b">
        <v>0</v>
      </c>
      <c r="I281" t="b">
        <v>0</v>
      </c>
      <c r="J281" t="b">
        <v>0</v>
      </c>
      <c r="K281" t="b">
        <v>0</v>
      </c>
      <c r="L281" t="s">
        <v>1805</v>
      </c>
      <c r="M281" t="s">
        <v>421</v>
      </c>
      <c r="N281" t="s">
        <v>63</v>
      </c>
      <c r="O281" t="b">
        <v>0</v>
      </c>
      <c r="P281">
        <v>3</v>
      </c>
      <c r="Q281" t="s">
        <v>226</v>
      </c>
      <c r="R281" t="s">
        <v>227</v>
      </c>
      <c r="S281" t="s">
        <v>5</v>
      </c>
      <c r="T281" t="s">
        <v>80</v>
      </c>
      <c r="U281" t="s">
        <v>228</v>
      </c>
      <c r="V281" t="s">
        <v>5</v>
      </c>
      <c r="W281">
        <v>3</v>
      </c>
      <c r="X281" t="s">
        <v>14</v>
      </c>
      <c r="Y281">
        <v>63</v>
      </c>
      <c r="Z281" t="s">
        <v>7</v>
      </c>
      <c r="AA281" t="s">
        <v>8</v>
      </c>
      <c r="AC281" t="s">
        <v>32</v>
      </c>
      <c r="AD281">
        <v>450</v>
      </c>
    </row>
    <row r="282" spans="1:30" x14ac:dyDescent="0.3">
      <c r="A282">
        <v>14853432</v>
      </c>
      <c r="B282" s="3">
        <v>45672</v>
      </c>
      <c r="C282">
        <v>2025</v>
      </c>
      <c r="D282">
        <v>1</v>
      </c>
      <c r="E282" t="s">
        <v>1579</v>
      </c>
      <c r="F282" t="s">
        <v>0</v>
      </c>
      <c r="G282" t="s">
        <v>1</v>
      </c>
      <c r="H282" t="b">
        <v>0</v>
      </c>
      <c r="I282" t="b">
        <v>1</v>
      </c>
      <c r="J282" t="b">
        <v>0</v>
      </c>
      <c r="K282" t="b">
        <v>0</v>
      </c>
      <c r="L282" t="s">
        <v>1806</v>
      </c>
      <c r="M282" t="s">
        <v>1313</v>
      </c>
      <c r="N282" t="s">
        <v>70</v>
      </c>
      <c r="O282" t="b">
        <v>0</v>
      </c>
      <c r="P282">
        <v>22</v>
      </c>
      <c r="Q282" t="s">
        <v>611</v>
      </c>
      <c r="R282" t="s">
        <v>612</v>
      </c>
      <c r="S282">
        <v>42</v>
      </c>
      <c r="T282" t="s">
        <v>183</v>
      </c>
      <c r="U282" t="s">
        <v>29</v>
      </c>
      <c r="V282" t="s">
        <v>130</v>
      </c>
      <c r="W282">
        <v>41</v>
      </c>
      <c r="X282" t="s">
        <v>6</v>
      </c>
      <c r="Z282" t="s">
        <v>5</v>
      </c>
      <c r="AA282" t="s">
        <v>5</v>
      </c>
      <c r="AC282" t="s">
        <v>9</v>
      </c>
      <c r="AD282">
        <v>437</v>
      </c>
    </row>
    <row r="283" spans="1:30" x14ac:dyDescent="0.3">
      <c r="A283">
        <v>14869977</v>
      </c>
      <c r="B283" s="3">
        <v>45680</v>
      </c>
      <c r="C283">
        <v>2025</v>
      </c>
      <c r="D283">
        <v>1</v>
      </c>
      <c r="E283" t="s">
        <v>1579</v>
      </c>
      <c r="F283" t="s">
        <v>0</v>
      </c>
      <c r="G283" t="s">
        <v>197</v>
      </c>
      <c r="H283" t="b">
        <v>1</v>
      </c>
      <c r="I283" t="b">
        <v>1</v>
      </c>
      <c r="J283" t="b">
        <v>0</v>
      </c>
      <c r="K283" t="b">
        <v>0</v>
      </c>
      <c r="L283" t="s">
        <v>1807</v>
      </c>
      <c r="M283" t="s">
        <v>593</v>
      </c>
      <c r="N283" t="s">
        <v>5</v>
      </c>
      <c r="O283" t="b">
        <v>0</v>
      </c>
      <c r="P283">
        <v>10</v>
      </c>
      <c r="Q283" t="s">
        <v>52</v>
      </c>
      <c r="R283" t="s">
        <v>53</v>
      </c>
      <c r="S283">
        <v>48</v>
      </c>
      <c r="T283" t="s">
        <v>138</v>
      </c>
      <c r="U283" t="s">
        <v>55</v>
      </c>
      <c r="V283" t="s">
        <v>5</v>
      </c>
      <c r="W283">
        <v>17</v>
      </c>
      <c r="X283" t="s">
        <v>6</v>
      </c>
      <c r="Y283">
        <v>72</v>
      </c>
      <c r="Z283" t="s">
        <v>67</v>
      </c>
      <c r="AA283" t="s">
        <v>8</v>
      </c>
      <c r="AC283" t="s">
        <v>284</v>
      </c>
      <c r="AD283">
        <v>429</v>
      </c>
    </row>
    <row r="284" spans="1:30" x14ac:dyDescent="0.3">
      <c r="A284">
        <v>14873124</v>
      </c>
      <c r="B284" s="3">
        <v>45670</v>
      </c>
      <c r="C284">
        <v>2025</v>
      </c>
      <c r="D284">
        <v>1</v>
      </c>
      <c r="E284" t="s">
        <v>1579</v>
      </c>
      <c r="F284" t="s">
        <v>0</v>
      </c>
      <c r="G284" t="s">
        <v>220</v>
      </c>
      <c r="H284" t="b">
        <v>0</v>
      </c>
      <c r="I284" t="b">
        <v>0</v>
      </c>
      <c r="J284" t="b">
        <v>0</v>
      </c>
      <c r="K284" t="b">
        <v>1</v>
      </c>
      <c r="L284" t="s">
        <v>1808</v>
      </c>
      <c r="M284" t="s">
        <v>393</v>
      </c>
      <c r="N284" t="s">
        <v>70</v>
      </c>
      <c r="O284" t="b">
        <v>0</v>
      </c>
      <c r="P284">
        <v>73</v>
      </c>
      <c r="Q284" t="s">
        <v>158</v>
      </c>
      <c r="R284" t="s">
        <v>1336</v>
      </c>
      <c r="S284">
        <v>48</v>
      </c>
      <c r="T284" t="s">
        <v>1555</v>
      </c>
      <c r="U284" t="s">
        <v>1337</v>
      </c>
      <c r="V284" t="s">
        <v>160</v>
      </c>
      <c r="W284">
        <v>5</v>
      </c>
      <c r="X284" t="s">
        <v>40</v>
      </c>
      <c r="Y284">
        <v>32</v>
      </c>
      <c r="Z284" t="s">
        <v>61</v>
      </c>
      <c r="AA284" t="s">
        <v>15</v>
      </c>
      <c r="AB284">
        <v>92</v>
      </c>
      <c r="AC284" t="s">
        <v>101</v>
      </c>
      <c r="AD284">
        <v>439</v>
      </c>
    </row>
    <row r="285" spans="1:30" x14ac:dyDescent="0.3">
      <c r="A285">
        <v>14880551</v>
      </c>
      <c r="B285" s="3">
        <v>45688</v>
      </c>
      <c r="C285">
        <v>2025</v>
      </c>
      <c r="D285">
        <v>1</v>
      </c>
      <c r="E285" t="s">
        <v>1579</v>
      </c>
      <c r="F285" t="s">
        <v>0</v>
      </c>
      <c r="G285" t="s">
        <v>10</v>
      </c>
      <c r="H285" t="b">
        <v>0</v>
      </c>
      <c r="I285" t="b">
        <v>0</v>
      </c>
      <c r="J285" t="b">
        <v>0</v>
      </c>
      <c r="K285" t="b">
        <v>0</v>
      </c>
      <c r="L285" t="s">
        <v>1809</v>
      </c>
      <c r="M285" t="s">
        <v>1017</v>
      </c>
      <c r="N285" t="s">
        <v>57</v>
      </c>
      <c r="O285" t="b">
        <v>1</v>
      </c>
      <c r="P285">
        <v>5</v>
      </c>
      <c r="Q285" t="s">
        <v>323</v>
      </c>
      <c r="R285" t="s">
        <v>324</v>
      </c>
      <c r="S285" t="s">
        <v>5</v>
      </c>
      <c r="T285" t="s">
        <v>257</v>
      </c>
      <c r="U285" t="s">
        <v>325</v>
      </c>
      <c r="V285" t="s">
        <v>326</v>
      </c>
      <c r="W285">
        <v>4</v>
      </c>
      <c r="X285" t="s">
        <v>40</v>
      </c>
      <c r="Z285" t="s">
        <v>5</v>
      </c>
      <c r="AA285" t="s">
        <v>5</v>
      </c>
      <c r="AC285" t="s">
        <v>154</v>
      </c>
      <c r="AD285">
        <v>421</v>
      </c>
    </row>
    <row r="286" spans="1:30" x14ac:dyDescent="0.3">
      <c r="A286">
        <v>14885237</v>
      </c>
      <c r="B286" s="3">
        <v>45667</v>
      </c>
      <c r="C286">
        <v>2025</v>
      </c>
      <c r="D286">
        <v>1</v>
      </c>
      <c r="E286" t="s">
        <v>1579</v>
      </c>
      <c r="F286" t="s">
        <v>0</v>
      </c>
      <c r="G286" t="s">
        <v>10</v>
      </c>
      <c r="H286" t="b">
        <v>0</v>
      </c>
      <c r="I286" t="b">
        <v>0</v>
      </c>
      <c r="J286" t="b">
        <v>0</v>
      </c>
      <c r="K286" t="b">
        <v>0</v>
      </c>
      <c r="L286" t="s">
        <v>1810</v>
      </c>
      <c r="M286" t="s">
        <v>883</v>
      </c>
      <c r="N286" t="s">
        <v>5</v>
      </c>
      <c r="O286" t="b">
        <v>0</v>
      </c>
      <c r="P286">
        <v>2</v>
      </c>
      <c r="Q286" t="s">
        <v>1502</v>
      </c>
      <c r="R286" t="s">
        <v>5</v>
      </c>
      <c r="S286">
        <v>43</v>
      </c>
      <c r="T286" t="s">
        <v>840</v>
      </c>
      <c r="U286" t="s">
        <v>5</v>
      </c>
      <c r="V286" t="s">
        <v>5</v>
      </c>
      <c r="W286">
        <v>1</v>
      </c>
      <c r="X286" t="s">
        <v>31</v>
      </c>
      <c r="Z286" t="s">
        <v>5</v>
      </c>
      <c r="AA286" t="s">
        <v>5</v>
      </c>
      <c r="AC286" t="s">
        <v>9</v>
      </c>
      <c r="AD286">
        <v>442</v>
      </c>
    </row>
    <row r="287" spans="1:30" x14ac:dyDescent="0.3">
      <c r="A287">
        <v>14909711</v>
      </c>
      <c r="B287" s="3">
        <v>45673</v>
      </c>
      <c r="C287">
        <v>2025</v>
      </c>
      <c r="D287">
        <v>1</v>
      </c>
      <c r="E287" t="s">
        <v>1579</v>
      </c>
      <c r="F287" t="s">
        <v>0</v>
      </c>
      <c r="G287" t="s">
        <v>1</v>
      </c>
      <c r="H287" t="b">
        <v>0</v>
      </c>
      <c r="I287" t="b">
        <v>1</v>
      </c>
      <c r="J287" t="b">
        <v>0</v>
      </c>
      <c r="K287" t="b">
        <v>0</v>
      </c>
      <c r="L287" t="s">
        <v>1811</v>
      </c>
      <c r="M287" t="s">
        <v>206</v>
      </c>
      <c r="N287" t="s">
        <v>70</v>
      </c>
      <c r="O287" t="b">
        <v>0</v>
      </c>
      <c r="P287">
        <v>27</v>
      </c>
      <c r="Q287" t="s">
        <v>323</v>
      </c>
      <c r="R287" t="s">
        <v>324</v>
      </c>
      <c r="S287">
        <v>42</v>
      </c>
      <c r="T287" t="s">
        <v>257</v>
      </c>
      <c r="U287" t="s">
        <v>325</v>
      </c>
      <c r="V287" t="s">
        <v>326</v>
      </c>
      <c r="W287">
        <v>13</v>
      </c>
      <c r="X287" t="s">
        <v>6</v>
      </c>
      <c r="Z287" t="s">
        <v>5</v>
      </c>
      <c r="AA287" t="s">
        <v>5</v>
      </c>
      <c r="AC287" t="s">
        <v>154</v>
      </c>
      <c r="AD287">
        <v>436</v>
      </c>
    </row>
    <row r="288" spans="1:30" x14ac:dyDescent="0.3">
      <c r="A288">
        <v>14952257</v>
      </c>
      <c r="B288" s="3">
        <v>45674</v>
      </c>
      <c r="C288">
        <v>2025</v>
      </c>
      <c r="D288">
        <v>1</v>
      </c>
      <c r="E288" t="s">
        <v>1579</v>
      </c>
      <c r="F288" t="s">
        <v>125</v>
      </c>
      <c r="G288" t="s">
        <v>10</v>
      </c>
      <c r="H288" t="b">
        <v>0</v>
      </c>
      <c r="I288" t="b">
        <v>0</v>
      </c>
      <c r="J288" t="b">
        <v>0</v>
      </c>
      <c r="K288" t="b">
        <v>0</v>
      </c>
      <c r="L288" t="s">
        <v>988</v>
      </c>
      <c r="M288" t="s">
        <v>988</v>
      </c>
      <c r="N288" t="s">
        <v>5</v>
      </c>
      <c r="O288" t="b">
        <v>0</v>
      </c>
      <c r="P288">
        <v>1</v>
      </c>
      <c r="Q288" t="s">
        <v>245</v>
      </c>
      <c r="R288" t="s">
        <v>246</v>
      </c>
      <c r="S288">
        <v>48</v>
      </c>
      <c r="T288" t="s">
        <v>426</v>
      </c>
      <c r="U288" t="s">
        <v>210</v>
      </c>
      <c r="V288" t="s">
        <v>248</v>
      </c>
      <c r="W288">
        <v>3</v>
      </c>
      <c r="X288" t="s">
        <v>14</v>
      </c>
      <c r="Y288">
        <v>66</v>
      </c>
      <c r="Z288" t="s">
        <v>67</v>
      </c>
      <c r="AA288" t="s">
        <v>8</v>
      </c>
      <c r="AB288">
        <v>73.900000000000006</v>
      </c>
      <c r="AC288" t="s">
        <v>32</v>
      </c>
      <c r="AD288">
        <v>435</v>
      </c>
    </row>
    <row r="289" spans="1:30" x14ac:dyDescent="0.3">
      <c r="A289">
        <v>14955003</v>
      </c>
      <c r="B289" s="3">
        <v>45677</v>
      </c>
      <c r="C289">
        <v>2025</v>
      </c>
      <c r="D289">
        <v>1</v>
      </c>
      <c r="E289" t="s">
        <v>1579</v>
      </c>
      <c r="F289" t="s">
        <v>0</v>
      </c>
      <c r="G289" t="s">
        <v>151</v>
      </c>
      <c r="H289" t="b">
        <v>0</v>
      </c>
      <c r="I289" t="b">
        <v>1</v>
      </c>
      <c r="J289" t="b">
        <v>0</v>
      </c>
      <c r="K289" t="b">
        <v>1</v>
      </c>
      <c r="L289" t="s">
        <v>1812</v>
      </c>
      <c r="M289" t="s">
        <v>1449</v>
      </c>
      <c r="N289" t="s">
        <v>63</v>
      </c>
      <c r="O289" t="b">
        <v>0</v>
      </c>
      <c r="P289">
        <v>21</v>
      </c>
      <c r="Q289" t="s">
        <v>1258</v>
      </c>
      <c r="R289" t="s">
        <v>1329</v>
      </c>
      <c r="S289">
        <v>65</v>
      </c>
      <c r="T289" t="s">
        <v>80</v>
      </c>
      <c r="U289" t="s">
        <v>1330</v>
      </c>
      <c r="V289" t="s">
        <v>5</v>
      </c>
      <c r="W289">
        <v>76</v>
      </c>
      <c r="X289" t="s">
        <v>6</v>
      </c>
      <c r="Y289">
        <v>60</v>
      </c>
      <c r="Z289" t="s">
        <v>7</v>
      </c>
      <c r="AA289" t="s">
        <v>8</v>
      </c>
      <c r="AB289">
        <v>97</v>
      </c>
      <c r="AC289" t="s">
        <v>56</v>
      </c>
      <c r="AD289">
        <v>432</v>
      </c>
    </row>
    <row r="290" spans="1:30" x14ac:dyDescent="0.3">
      <c r="A290">
        <v>14968664</v>
      </c>
      <c r="B290" s="3">
        <v>45688</v>
      </c>
      <c r="C290">
        <v>2025</v>
      </c>
      <c r="D290">
        <v>1</v>
      </c>
      <c r="E290" t="s">
        <v>1579</v>
      </c>
      <c r="F290" t="s">
        <v>0</v>
      </c>
      <c r="G290" t="s">
        <v>10</v>
      </c>
      <c r="H290" t="b">
        <v>0</v>
      </c>
      <c r="I290" t="b">
        <v>0</v>
      </c>
      <c r="J290" t="b">
        <v>0</v>
      </c>
      <c r="K290" t="b">
        <v>0</v>
      </c>
      <c r="L290" t="s">
        <v>1813</v>
      </c>
      <c r="M290" t="s">
        <v>708</v>
      </c>
      <c r="N290" t="s">
        <v>5</v>
      </c>
      <c r="O290" t="b">
        <v>0</v>
      </c>
      <c r="P290">
        <v>6</v>
      </c>
      <c r="Q290" t="s">
        <v>386</v>
      </c>
      <c r="R290" t="s">
        <v>387</v>
      </c>
      <c r="S290">
        <v>65</v>
      </c>
      <c r="T290" t="s">
        <v>572</v>
      </c>
      <c r="U290" t="s">
        <v>388</v>
      </c>
      <c r="V290" t="s">
        <v>111</v>
      </c>
      <c r="W290">
        <v>7</v>
      </c>
      <c r="X290" t="s">
        <v>6</v>
      </c>
      <c r="Y290">
        <v>14</v>
      </c>
      <c r="Z290" t="s">
        <v>19</v>
      </c>
      <c r="AA290" t="s">
        <v>15</v>
      </c>
      <c r="AB290">
        <v>35</v>
      </c>
      <c r="AC290" t="s">
        <v>9</v>
      </c>
      <c r="AD290">
        <v>421</v>
      </c>
    </row>
    <row r="291" spans="1:30" x14ac:dyDescent="0.3">
      <c r="A291">
        <v>14971114</v>
      </c>
      <c r="B291" s="3">
        <v>45685</v>
      </c>
      <c r="C291">
        <v>2025</v>
      </c>
      <c r="D291">
        <v>1</v>
      </c>
      <c r="E291" t="s">
        <v>1579</v>
      </c>
      <c r="F291" t="s">
        <v>0</v>
      </c>
      <c r="G291" t="s">
        <v>10</v>
      </c>
      <c r="H291" t="b">
        <v>0</v>
      </c>
      <c r="I291" t="b">
        <v>0</v>
      </c>
      <c r="J291" t="b">
        <v>0</v>
      </c>
      <c r="K291" t="b">
        <v>0</v>
      </c>
      <c r="L291" t="s">
        <v>1814</v>
      </c>
      <c r="M291" t="s">
        <v>1814</v>
      </c>
      <c r="N291" t="s">
        <v>5</v>
      </c>
      <c r="O291" t="b">
        <v>0</v>
      </c>
      <c r="P291">
        <v>1</v>
      </c>
      <c r="Q291" t="s">
        <v>818</v>
      </c>
      <c r="R291" t="s">
        <v>818</v>
      </c>
      <c r="S291">
        <v>42</v>
      </c>
      <c r="T291" t="s">
        <v>83</v>
      </c>
      <c r="U291" t="s">
        <v>819</v>
      </c>
      <c r="V291" t="s">
        <v>489</v>
      </c>
      <c r="W291">
        <v>1</v>
      </c>
      <c r="X291" t="s">
        <v>31</v>
      </c>
      <c r="Z291" t="s">
        <v>5</v>
      </c>
      <c r="AA291" t="s">
        <v>5</v>
      </c>
      <c r="AC291" t="s">
        <v>25</v>
      </c>
      <c r="AD291">
        <v>424</v>
      </c>
    </row>
    <row r="292" spans="1:30" x14ac:dyDescent="0.3">
      <c r="A292">
        <v>14974569</v>
      </c>
      <c r="B292" s="3">
        <v>45677</v>
      </c>
      <c r="C292">
        <v>2025</v>
      </c>
      <c r="D292">
        <v>1</v>
      </c>
      <c r="E292" t="s">
        <v>1579</v>
      </c>
      <c r="F292" t="s">
        <v>0</v>
      </c>
      <c r="G292" t="s">
        <v>1</v>
      </c>
      <c r="H292" t="b">
        <v>0</v>
      </c>
      <c r="I292" t="b">
        <v>1</v>
      </c>
      <c r="J292" t="b">
        <v>0</v>
      </c>
      <c r="K292" t="b">
        <v>0</v>
      </c>
      <c r="L292" t="s">
        <v>360</v>
      </c>
      <c r="M292" t="s">
        <v>360</v>
      </c>
      <c r="N292" t="s">
        <v>5</v>
      </c>
      <c r="O292" t="b">
        <v>0</v>
      </c>
      <c r="P292">
        <v>1</v>
      </c>
      <c r="Q292" t="s">
        <v>155</v>
      </c>
      <c r="R292" t="s">
        <v>156</v>
      </c>
      <c r="S292">
        <v>48</v>
      </c>
      <c r="T292" t="s">
        <v>1115</v>
      </c>
      <c r="U292" t="s">
        <v>157</v>
      </c>
      <c r="V292" t="s">
        <v>100</v>
      </c>
      <c r="W292">
        <v>2</v>
      </c>
      <c r="X292" t="s">
        <v>14</v>
      </c>
      <c r="Y292">
        <v>71</v>
      </c>
      <c r="Z292" t="s">
        <v>67</v>
      </c>
      <c r="AA292" t="s">
        <v>15</v>
      </c>
      <c r="AC292" t="s">
        <v>32</v>
      </c>
      <c r="AD292">
        <v>432</v>
      </c>
    </row>
    <row r="293" spans="1:30" x14ac:dyDescent="0.3">
      <c r="A293">
        <v>14975725</v>
      </c>
      <c r="B293" s="3">
        <v>45674</v>
      </c>
      <c r="C293">
        <v>2025</v>
      </c>
      <c r="D293">
        <v>1</v>
      </c>
      <c r="E293" t="s">
        <v>1579</v>
      </c>
      <c r="F293" t="s">
        <v>125</v>
      </c>
      <c r="G293" t="s">
        <v>10</v>
      </c>
      <c r="H293" t="b">
        <v>0</v>
      </c>
      <c r="I293" t="b">
        <v>0</v>
      </c>
      <c r="J293" t="b">
        <v>0</v>
      </c>
      <c r="K293" t="b">
        <v>0</v>
      </c>
      <c r="L293" t="s">
        <v>1425</v>
      </c>
      <c r="M293" t="s">
        <v>126</v>
      </c>
      <c r="N293" t="s">
        <v>5</v>
      </c>
      <c r="O293" t="b">
        <v>0</v>
      </c>
      <c r="P293">
        <v>2</v>
      </c>
      <c r="Q293" t="s">
        <v>581</v>
      </c>
      <c r="R293" t="s">
        <v>607</v>
      </c>
      <c r="S293">
        <v>42</v>
      </c>
      <c r="T293" t="s">
        <v>83</v>
      </c>
      <c r="U293" t="s">
        <v>81</v>
      </c>
      <c r="V293" t="s">
        <v>584</v>
      </c>
      <c r="W293">
        <v>2</v>
      </c>
      <c r="X293" t="s">
        <v>14</v>
      </c>
      <c r="Z293" t="s">
        <v>5</v>
      </c>
      <c r="AA293" t="s">
        <v>8</v>
      </c>
      <c r="AC293" t="s">
        <v>32</v>
      </c>
      <c r="AD293">
        <v>435</v>
      </c>
    </row>
    <row r="294" spans="1:30" x14ac:dyDescent="0.3">
      <c r="A294">
        <v>14994866</v>
      </c>
      <c r="B294" s="3">
        <v>45688</v>
      </c>
      <c r="C294">
        <v>2025</v>
      </c>
      <c r="D294">
        <v>1</v>
      </c>
      <c r="E294" t="s">
        <v>1579</v>
      </c>
      <c r="F294" t="s">
        <v>0</v>
      </c>
      <c r="G294" t="s">
        <v>10</v>
      </c>
      <c r="H294" t="b">
        <v>0</v>
      </c>
      <c r="I294" t="b">
        <v>0</v>
      </c>
      <c r="J294" t="b">
        <v>0</v>
      </c>
      <c r="K294" t="b">
        <v>0</v>
      </c>
      <c r="L294" t="s">
        <v>1815</v>
      </c>
      <c r="M294" t="s">
        <v>1163</v>
      </c>
      <c r="N294" t="s">
        <v>5</v>
      </c>
      <c r="O294" t="b">
        <v>0</v>
      </c>
      <c r="P294">
        <v>10</v>
      </c>
      <c r="Q294" t="s">
        <v>208</v>
      </c>
      <c r="R294" t="s">
        <v>286</v>
      </c>
      <c r="S294" t="s">
        <v>5</v>
      </c>
      <c r="T294" t="s">
        <v>80</v>
      </c>
      <c r="U294" t="s">
        <v>210</v>
      </c>
      <c r="V294" t="s">
        <v>5</v>
      </c>
      <c r="W294">
        <v>2</v>
      </c>
      <c r="X294" t="s">
        <v>14</v>
      </c>
      <c r="Y294">
        <v>65</v>
      </c>
      <c r="Z294" t="s">
        <v>7</v>
      </c>
      <c r="AA294" t="s">
        <v>8</v>
      </c>
      <c r="AC294" t="s">
        <v>32</v>
      </c>
      <c r="AD294">
        <v>421</v>
      </c>
    </row>
    <row r="295" spans="1:30" x14ac:dyDescent="0.3">
      <c r="A295">
        <v>14995624</v>
      </c>
      <c r="B295" s="3">
        <v>45687</v>
      </c>
      <c r="C295">
        <v>2025</v>
      </c>
      <c r="D295">
        <v>1</v>
      </c>
      <c r="E295" t="s">
        <v>1579</v>
      </c>
      <c r="F295" t="s">
        <v>0</v>
      </c>
      <c r="G295" t="s">
        <v>197</v>
      </c>
      <c r="H295" t="b">
        <v>1</v>
      </c>
      <c r="I295" t="b">
        <v>1</v>
      </c>
      <c r="J295" t="b">
        <v>0</v>
      </c>
      <c r="K295" t="b">
        <v>0</v>
      </c>
      <c r="L295" t="s">
        <v>1816</v>
      </c>
      <c r="M295" t="s">
        <v>797</v>
      </c>
      <c r="N295" t="s">
        <v>5</v>
      </c>
      <c r="O295" t="b">
        <v>0</v>
      </c>
      <c r="P295">
        <v>11</v>
      </c>
      <c r="Q295" t="s">
        <v>958</v>
      </c>
      <c r="R295" t="s">
        <v>959</v>
      </c>
      <c r="S295">
        <v>42</v>
      </c>
      <c r="T295" t="s">
        <v>366</v>
      </c>
      <c r="U295" t="s">
        <v>153</v>
      </c>
      <c r="V295" t="s">
        <v>5</v>
      </c>
      <c r="W295">
        <v>11</v>
      </c>
      <c r="X295" t="s">
        <v>6</v>
      </c>
      <c r="Y295">
        <v>63</v>
      </c>
      <c r="Z295" t="s">
        <v>7</v>
      </c>
      <c r="AA295" t="s">
        <v>15</v>
      </c>
      <c r="AB295">
        <v>84</v>
      </c>
      <c r="AC295" t="s">
        <v>25</v>
      </c>
      <c r="AD295">
        <v>422</v>
      </c>
    </row>
    <row r="296" spans="1:30" x14ac:dyDescent="0.3">
      <c r="A296">
        <v>14999498</v>
      </c>
      <c r="B296" s="3">
        <v>45660</v>
      </c>
      <c r="C296">
        <v>2025</v>
      </c>
      <c r="D296">
        <v>1</v>
      </c>
      <c r="E296" t="s">
        <v>1579</v>
      </c>
      <c r="F296" t="s">
        <v>0</v>
      </c>
      <c r="G296" t="s">
        <v>10</v>
      </c>
      <c r="H296" t="b">
        <v>0</v>
      </c>
      <c r="I296" t="b">
        <v>0</v>
      </c>
      <c r="J296" t="b">
        <v>0</v>
      </c>
      <c r="K296" t="b">
        <v>0</v>
      </c>
      <c r="L296" t="s">
        <v>1406</v>
      </c>
      <c r="M296" t="s">
        <v>732</v>
      </c>
      <c r="N296" t="s">
        <v>5</v>
      </c>
      <c r="O296" t="b">
        <v>0</v>
      </c>
      <c r="P296">
        <v>2</v>
      </c>
      <c r="Q296" t="s">
        <v>1215</v>
      </c>
      <c r="R296" t="s">
        <v>1215</v>
      </c>
      <c r="S296" t="s">
        <v>5</v>
      </c>
      <c r="T296" t="s">
        <v>83</v>
      </c>
      <c r="U296" t="s">
        <v>1216</v>
      </c>
      <c r="V296" t="s">
        <v>1217</v>
      </c>
      <c r="W296">
        <v>17</v>
      </c>
      <c r="X296" t="s">
        <v>6</v>
      </c>
      <c r="Y296">
        <v>75</v>
      </c>
      <c r="Z296" t="s">
        <v>67</v>
      </c>
      <c r="AA296" t="s">
        <v>8</v>
      </c>
      <c r="AC296" t="s">
        <v>56</v>
      </c>
      <c r="AD296">
        <v>449</v>
      </c>
    </row>
    <row r="297" spans="1:30" x14ac:dyDescent="0.3">
      <c r="A297">
        <v>15017627</v>
      </c>
      <c r="B297" s="3">
        <v>45659</v>
      </c>
      <c r="C297">
        <v>2025</v>
      </c>
      <c r="D297">
        <v>1</v>
      </c>
      <c r="E297" t="s">
        <v>1579</v>
      </c>
      <c r="F297" t="s">
        <v>0</v>
      </c>
      <c r="G297" t="s">
        <v>1</v>
      </c>
      <c r="H297" t="b">
        <v>0</v>
      </c>
      <c r="I297" t="b">
        <v>1</v>
      </c>
      <c r="J297" t="b">
        <v>0</v>
      </c>
      <c r="K297" t="b">
        <v>0</v>
      </c>
      <c r="L297" t="s">
        <v>1817</v>
      </c>
      <c r="M297" t="s">
        <v>353</v>
      </c>
      <c r="N297" t="s">
        <v>57</v>
      </c>
      <c r="O297" t="b">
        <v>1</v>
      </c>
      <c r="P297">
        <v>21</v>
      </c>
      <c r="Q297" t="s">
        <v>1512</v>
      </c>
      <c r="R297" t="s">
        <v>5</v>
      </c>
      <c r="S297">
        <v>65</v>
      </c>
      <c r="T297" t="s">
        <v>83</v>
      </c>
      <c r="U297" t="s">
        <v>5</v>
      </c>
      <c r="V297" t="s">
        <v>5</v>
      </c>
      <c r="W297">
        <v>40</v>
      </c>
      <c r="X297" t="s">
        <v>6</v>
      </c>
      <c r="Y297">
        <v>36</v>
      </c>
      <c r="Z297" t="s">
        <v>61</v>
      </c>
      <c r="AA297" t="s">
        <v>8</v>
      </c>
      <c r="AC297" t="s">
        <v>254</v>
      </c>
      <c r="AD297">
        <v>450</v>
      </c>
    </row>
    <row r="298" spans="1:30" x14ac:dyDescent="0.3">
      <c r="A298">
        <v>15020885</v>
      </c>
      <c r="B298" s="3">
        <v>45665</v>
      </c>
      <c r="C298">
        <v>2025</v>
      </c>
      <c r="D298">
        <v>1</v>
      </c>
      <c r="E298" t="s">
        <v>1579</v>
      </c>
      <c r="F298" t="s">
        <v>125</v>
      </c>
      <c r="G298" t="s">
        <v>10</v>
      </c>
      <c r="H298" t="b">
        <v>0</v>
      </c>
      <c r="I298" t="b">
        <v>0</v>
      </c>
      <c r="J298" t="b">
        <v>0</v>
      </c>
      <c r="K298" t="b">
        <v>0</v>
      </c>
      <c r="L298" t="s">
        <v>332</v>
      </c>
      <c r="M298" t="s">
        <v>332</v>
      </c>
      <c r="N298" t="s">
        <v>12</v>
      </c>
      <c r="O298" t="b">
        <v>1</v>
      </c>
      <c r="P298">
        <v>1</v>
      </c>
      <c r="Q298" t="s">
        <v>333</v>
      </c>
      <c r="R298" t="s">
        <v>334</v>
      </c>
      <c r="S298">
        <v>48</v>
      </c>
      <c r="T298" t="s">
        <v>335</v>
      </c>
      <c r="U298" t="s">
        <v>210</v>
      </c>
      <c r="V298" t="s">
        <v>5</v>
      </c>
      <c r="W298">
        <v>4</v>
      </c>
      <c r="X298" t="s">
        <v>40</v>
      </c>
      <c r="Y298">
        <v>86</v>
      </c>
      <c r="Z298" t="s">
        <v>196</v>
      </c>
      <c r="AA298" t="s">
        <v>8</v>
      </c>
      <c r="AC298" t="s">
        <v>32</v>
      </c>
      <c r="AD298">
        <v>444</v>
      </c>
    </row>
    <row r="299" spans="1:30" x14ac:dyDescent="0.3">
      <c r="A299">
        <v>15041520</v>
      </c>
      <c r="B299" s="3">
        <v>45670</v>
      </c>
      <c r="C299">
        <v>2025</v>
      </c>
      <c r="D299">
        <v>1</v>
      </c>
      <c r="E299" t="s">
        <v>1579</v>
      </c>
      <c r="F299" t="s">
        <v>0</v>
      </c>
      <c r="G299" t="s">
        <v>10</v>
      </c>
      <c r="H299" t="b">
        <v>0</v>
      </c>
      <c r="I299" t="b">
        <v>0</v>
      </c>
      <c r="J299" t="b">
        <v>0</v>
      </c>
      <c r="K299" t="b">
        <v>0</v>
      </c>
      <c r="L299" t="s">
        <v>1818</v>
      </c>
      <c r="M299" t="s">
        <v>720</v>
      </c>
      <c r="N299" t="s">
        <v>70</v>
      </c>
      <c r="O299" t="b">
        <v>0</v>
      </c>
      <c r="P299">
        <v>23</v>
      </c>
      <c r="Q299" t="s">
        <v>367</v>
      </c>
      <c r="R299" t="s">
        <v>368</v>
      </c>
      <c r="S299">
        <v>42</v>
      </c>
      <c r="T299" t="s">
        <v>60</v>
      </c>
      <c r="U299" t="s">
        <v>81</v>
      </c>
      <c r="V299" t="s">
        <v>82</v>
      </c>
      <c r="W299">
        <v>14</v>
      </c>
      <c r="X299" t="s">
        <v>6</v>
      </c>
      <c r="Y299">
        <v>40</v>
      </c>
      <c r="Z299" t="s">
        <v>61</v>
      </c>
      <c r="AA299" t="s">
        <v>8</v>
      </c>
      <c r="AB299">
        <v>89</v>
      </c>
      <c r="AC299" t="s">
        <v>9</v>
      </c>
      <c r="AD299">
        <v>439</v>
      </c>
    </row>
    <row r="300" spans="1:30" x14ac:dyDescent="0.3">
      <c r="A300">
        <v>15051424</v>
      </c>
      <c r="B300" s="3">
        <v>45684</v>
      </c>
      <c r="C300">
        <v>2025</v>
      </c>
      <c r="D300">
        <v>1</v>
      </c>
      <c r="E300" t="s">
        <v>1579</v>
      </c>
      <c r="F300" t="s">
        <v>0</v>
      </c>
      <c r="G300" t="s">
        <v>10</v>
      </c>
      <c r="H300" t="b">
        <v>0</v>
      </c>
      <c r="I300" t="b">
        <v>0</v>
      </c>
      <c r="J300" t="b">
        <v>0</v>
      </c>
      <c r="K300" t="b">
        <v>0</v>
      </c>
      <c r="L300" t="s">
        <v>1819</v>
      </c>
      <c r="M300" t="s">
        <v>1740</v>
      </c>
      <c r="N300" t="s">
        <v>5</v>
      </c>
      <c r="O300" t="b">
        <v>0</v>
      </c>
      <c r="P300">
        <v>2</v>
      </c>
      <c r="Q300" t="s">
        <v>1820</v>
      </c>
      <c r="R300" t="s">
        <v>5</v>
      </c>
      <c r="S300">
        <v>64</v>
      </c>
      <c r="T300" t="s">
        <v>1228</v>
      </c>
      <c r="U300" t="s">
        <v>5</v>
      </c>
      <c r="V300" t="s">
        <v>5</v>
      </c>
      <c r="W300">
        <v>2</v>
      </c>
      <c r="X300" t="s">
        <v>14</v>
      </c>
      <c r="Z300" t="s">
        <v>5</v>
      </c>
      <c r="AA300" t="s">
        <v>5</v>
      </c>
      <c r="AC300" t="s">
        <v>1110</v>
      </c>
      <c r="AD300">
        <v>425</v>
      </c>
    </row>
    <row r="301" spans="1:30" x14ac:dyDescent="0.3">
      <c r="A301">
        <v>15077602</v>
      </c>
      <c r="B301" s="3">
        <v>45659</v>
      </c>
      <c r="C301">
        <v>2025</v>
      </c>
      <c r="D301">
        <v>1</v>
      </c>
      <c r="E301" t="s">
        <v>1579</v>
      </c>
      <c r="F301" t="s">
        <v>0</v>
      </c>
      <c r="G301" t="s">
        <v>10</v>
      </c>
      <c r="H301" t="b">
        <v>0</v>
      </c>
      <c r="I301" t="b">
        <v>0</v>
      </c>
      <c r="J301" t="b">
        <v>0</v>
      </c>
      <c r="K301" t="b">
        <v>0</v>
      </c>
      <c r="L301" t="s">
        <v>1821</v>
      </c>
      <c r="M301" t="s">
        <v>1023</v>
      </c>
      <c r="N301" t="s">
        <v>17</v>
      </c>
      <c r="O301" t="b">
        <v>0</v>
      </c>
      <c r="P301">
        <v>2</v>
      </c>
      <c r="Q301" t="s">
        <v>169</v>
      </c>
      <c r="R301" t="s">
        <v>170</v>
      </c>
      <c r="S301">
        <v>42</v>
      </c>
      <c r="T301" t="s">
        <v>1301</v>
      </c>
      <c r="U301" t="s">
        <v>106</v>
      </c>
      <c r="V301" t="s">
        <v>172</v>
      </c>
      <c r="W301">
        <v>1</v>
      </c>
      <c r="X301" t="s">
        <v>31</v>
      </c>
      <c r="Z301" t="s">
        <v>5</v>
      </c>
      <c r="AA301" t="s">
        <v>5</v>
      </c>
      <c r="AC301" t="s">
        <v>1069</v>
      </c>
      <c r="AD301">
        <v>450</v>
      </c>
    </row>
    <row r="302" spans="1:30" x14ac:dyDescent="0.3">
      <c r="A302">
        <v>15081194</v>
      </c>
      <c r="B302" s="3">
        <v>45681</v>
      </c>
      <c r="C302">
        <v>2025</v>
      </c>
      <c r="D302">
        <v>1</v>
      </c>
      <c r="E302" t="s">
        <v>1579</v>
      </c>
      <c r="F302" t="s">
        <v>125</v>
      </c>
      <c r="G302" t="s">
        <v>10</v>
      </c>
      <c r="H302" t="b">
        <v>0</v>
      </c>
      <c r="I302" t="b">
        <v>0</v>
      </c>
      <c r="J302" t="b">
        <v>0</v>
      </c>
      <c r="K302" t="b">
        <v>0</v>
      </c>
      <c r="L302" t="s">
        <v>123</v>
      </c>
      <c r="M302" t="s">
        <v>123</v>
      </c>
      <c r="N302" t="s">
        <v>12</v>
      </c>
      <c r="O302" t="b">
        <v>1</v>
      </c>
      <c r="P302">
        <v>1</v>
      </c>
      <c r="Q302" t="s">
        <v>1307</v>
      </c>
      <c r="R302" t="s">
        <v>1308</v>
      </c>
      <c r="S302">
        <v>42</v>
      </c>
      <c r="T302" t="s">
        <v>213</v>
      </c>
      <c r="U302" t="s">
        <v>574</v>
      </c>
      <c r="V302" t="s">
        <v>5</v>
      </c>
      <c r="W302">
        <v>23</v>
      </c>
      <c r="X302" t="s">
        <v>6</v>
      </c>
      <c r="Y302">
        <v>30</v>
      </c>
      <c r="Z302" t="s">
        <v>61</v>
      </c>
      <c r="AA302" t="s">
        <v>8</v>
      </c>
      <c r="AB302">
        <v>46.6</v>
      </c>
      <c r="AC302" t="s">
        <v>56</v>
      </c>
      <c r="AD302">
        <v>428</v>
      </c>
    </row>
    <row r="303" spans="1:30" x14ac:dyDescent="0.3">
      <c r="A303">
        <v>15097088</v>
      </c>
      <c r="B303" s="3">
        <v>45687</v>
      </c>
      <c r="C303">
        <v>2025</v>
      </c>
      <c r="D303">
        <v>1</v>
      </c>
      <c r="E303" t="s">
        <v>1579</v>
      </c>
      <c r="F303" t="s">
        <v>0</v>
      </c>
      <c r="G303" t="s">
        <v>10</v>
      </c>
      <c r="H303" t="b">
        <v>0</v>
      </c>
      <c r="I303" t="b">
        <v>0</v>
      </c>
      <c r="J303" t="b">
        <v>0</v>
      </c>
      <c r="K303" t="b">
        <v>0</v>
      </c>
      <c r="L303" t="s">
        <v>1822</v>
      </c>
      <c r="M303" t="s">
        <v>1740</v>
      </c>
      <c r="N303" t="s">
        <v>17</v>
      </c>
      <c r="O303" t="b">
        <v>0</v>
      </c>
      <c r="P303">
        <v>3</v>
      </c>
      <c r="Q303" t="s">
        <v>1820</v>
      </c>
      <c r="R303" t="s">
        <v>5</v>
      </c>
      <c r="S303">
        <v>64</v>
      </c>
      <c r="T303" t="s">
        <v>1228</v>
      </c>
      <c r="U303" t="s">
        <v>5</v>
      </c>
      <c r="V303" t="s">
        <v>5</v>
      </c>
      <c r="W303">
        <v>1</v>
      </c>
      <c r="X303" t="s">
        <v>31</v>
      </c>
      <c r="Z303" t="s">
        <v>5</v>
      </c>
      <c r="AA303" t="s">
        <v>5</v>
      </c>
      <c r="AC303" t="s">
        <v>1110</v>
      </c>
      <c r="AD303">
        <v>422</v>
      </c>
    </row>
    <row r="304" spans="1:30" x14ac:dyDescent="0.3">
      <c r="A304">
        <v>15101085</v>
      </c>
      <c r="B304" s="3">
        <v>45671</v>
      </c>
      <c r="C304">
        <v>2025</v>
      </c>
      <c r="D304">
        <v>1</v>
      </c>
      <c r="E304" t="s">
        <v>1579</v>
      </c>
      <c r="F304" t="s">
        <v>0</v>
      </c>
      <c r="G304" t="s">
        <v>1</v>
      </c>
      <c r="H304" t="b">
        <v>0</v>
      </c>
      <c r="I304" t="b">
        <v>1</v>
      </c>
      <c r="J304" t="b">
        <v>0</v>
      </c>
      <c r="K304" t="b">
        <v>0</v>
      </c>
      <c r="L304" t="s">
        <v>1823</v>
      </c>
      <c r="M304" t="s">
        <v>192</v>
      </c>
      <c r="N304" t="s">
        <v>5</v>
      </c>
      <c r="O304" t="b">
        <v>0</v>
      </c>
      <c r="P304">
        <v>2</v>
      </c>
      <c r="Q304" t="s">
        <v>226</v>
      </c>
      <c r="R304" t="s">
        <v>227</v>
      </c>
      <c r="S304" t="s">
        <v>5</v>
      </c>
      <c r="T304" t="s">
        <v>5</v>
      </c>
      <c r="U304" t="s">
        <v>228</v>
      </c>
      <c r="V304" t="s">
        <v>5</v>
      </c>
      <c r="W304">
        <v>9</v>
      </c>
      <c r="X304" t="s">
        <v>6</v>
      </c>
      <c r="Y304">
        <v>63</v>
      </c>
      <c r="Z304" t="s">
        <v>7</v>
      </c>
      <c r="AA304" t="s">
        <v>8</v>
      </c>
      <c r="AC304" t="s">
        <v>32</v>
      </c>
      <c r="AD304">
        <v>438</v>
      </c>
    </row>
    <row r="305" spans="1:30" x14ac:dyDescent="0.3">
      <c r="A305">
        <v>15105901</v>
      </c>
      <c r="B305" s="3">
        <v>45660</v>
      </c>
      <c r="C305">
        <v>2025</v>
      </c>
      <c r="D305">
        <v>1</v>
      </c>
      <c r="E305" t="s">
        <v>1579</v>
      </c>
      <c r="F305" t="s">
        <v>0</v>
      </c>
      <c r="G305" t="s">
        <v>10</v>
      </c>
      <c r="H305" t="b">
        <v>0</v>
      </c>
      <c r="I305" t="b">
        <v>0</v>
      </c>
      <c r="J305" t="b">
        <v>0</v>
      </c>
      <c r="K305" t="b">
        <v>0</v>
      </c>
      <c r="L305" t="s">
        <v>1824</v>
      </c>
      <c r="M305" t="s">
        <v>1095</v>
      </c>
      <c r="N305" t="s">
        <v>5</v>
      </c>
      <c r="O305" t="b">
        <v>0</v>
      </c>
      <c r="P305">
        <v>7</v>
      </c>
      <c r="Q305" t="s">
        <v>569</v>
      </c>
      <c r="R305" t="s">
        <v>810</v>
      </c>
      <c r="S305">
        <v>65</v>
      </c>
      <c r="T305" t="s">
        <v>247</v>
      </c>
      <c r="U305" t="s">
        <v>811</v>
      </c>
      <c r="V305" t="s">
        <v>571</v>
      </c>
      <c r="W305">
        <v>10</v>
      </c>
      <c r="X305" t="s">
        <v>6</v>
      </c>
      <c r="Y305">
        <v>48</v>
      </c>
      <c r="Z305" t="s">
        <v>7</v>
      </c>
      <c r="AA305" t="s">
        <v>8</v>
      </c>
      <c r="AC305" t="s">
        <v>284</v>
      </c>
      <c r="AD305">
        <v>449</v>
      </c>
    </row>
    <row r="306" spans="1:30" x14ac:dyDescent="0.3">
      <c r="A306">
        <v>15112923</v>
      </c>
      <c r="B306" s="3">
        <v>45669</v>
      </c>
      <c r="C306">
        <v>2025</v>
      </c>
      <c r="D306">
        <v>1</v>
      </c>
      <c r="E306" t="s">
        <v>1579</v>
      </c>
      <c r="F306" t="s">
        <v>125</v>
      </c>
      <c r="G306" t="s">
        <v>10</v>
      </c>
      <c r="H306" t="b">
        <v>0</v>
      </c>
      <c r="I306" t="b">
        <v>0</v>
      </c>
      <c r="J306" t="b">
        <v>0</v>
      </c>
      <c r="K306" t="b">
        <v>0</v>
      </c>
      <c r="L306" t="s">
        <v>1825</v>
      </c>
      <c r="M306" t="s">
        <v>579</v>
      </c>
      <c r="N306" t="s">
        <v>5</v>
      </c>
      <c r="O306" t="b">
        <v>0</v>
      </c>
      <c r="P306">
        <v>2</v>
      </c>
      <c r="Q306" t="s">
        <v>127</v>
      </c>
      <c r="R306" t="s">
        <v>128</v>
      </c>
      <c r="S306">
        <v>65</v>
      </c>
      <c r="T306" t="s">
        <v>80</v>
      </c>
      <c r="U306" t="s">
        <v>129</v>
      </c>
      <c r="V306" t="s">
        <v>130</v>
      </c>
      <c r="W306">
        <v>1</v>
      </c>
      <c r="X306" t="s">
        <v>31</v>
      </c>
      <c r="Z306" t="s">
        <v>5</v>
      </c>
      <c r="AA306" t="s">
        <v>15</v>
      </c>
      <c r="AC306" t="s">
        <v>32</v>
      </c>
      <c r="AD306">
        <v>440</v>
      </c>
    </row>
    <row r="307" spans="1:30" x14ac:dyDescent="0.3">
      <c r="A307">
        <v>15114378</v>
      </c>
      <c r="B307" s="3">
        <v>45688</v>
      </c>
      <c r="C307">
        <v>2025</v>
      </c>
      <c r="D307">
        <v>1</v>
      </c>
      <c r="E307" t="s">
        <v>1579</v>
      </c>
      <c r="F307" t="s">
        <v>0</v>
      </c>
      <c r="G307" t="s">
        <v>1</v>
      </c>
      <c r="H307" t="b">
        <v>0</v>
      </c>
      <c r="I307" t="b">
        <v>1</v>
      </c>
      <c r="J307" t="b">
        <v>0</v>
      </c>
      <c r="K307" t="b">
        <v>0</v>
      </c>
      <c r="L307" t="s">
        <v>1826</v>
      </c>
      <c r="M307" t="s">
        <v>431</v>
      </c>
      <c r="N307" t="s">
        <v>70</v>
      </c>
      <c r="O307" t="b">
        <v>0</v>
      </c>
      <c r="P307">
        <v>40</v>
      </c>
      <c r="Q307" t="s">
        <v>367</v>
      </c>
      <c r="R307" t="s">
        <v>368</v>
      </c>
      <c r="S307">
        <v>40</v>
      </c>
      <c r="T307" t="s">
        <v>60</v>
      </c>
      <c r="U307" t="s">
        <v>81</v>
      </c>
      <c r="V307" t="s">
        <v>82</v>
      </c>
      <c r="W307">
        <v>14</v>
      </c>
      <c r="X307" t="s">
        <v>6</v>
      </c>
      <c r="Y307">
        <v>46</v>
      </c>
      <c r="Z307" t="s">
        <v>7</v>
      </c>
      <c r="AA307" t="s">
        <v>8</v>
      </c>
      <c r="AC307" t="s">
        <v>101</v>
      </c>
      <c r="AD307">
        <v>421</v>
      </c>
    </row>
    <row r="308" spans="1:30" x14ac:dyDescent="0.3">
      <c r="A308">
        <v>15125635</v>
      </c>
      <c r="B308" s="3">
        <v>45684</v>
      </c>
      <c r="C308">
        <v>2025</v>
      </c>
      <c r="D308">
        <v>1</v>
      </c>
      <c r="E308" t="s">
        <v>1579</v>
      </c>
      <c r="F308" t="s">
        <v>0</v>
      </c>
      <c r="G308" t="s">
        <v>10</v>
      </c>
      <c r="H308" t="b">
        <v>0</v>
      </c>
      <c r="I308" t="b">
        <v>0</v>
      </c>
      <c r="J308" t="b">
        <v>0</v>
      </c>
      <c r="K308" t="b">
        <v>0</v>
      </c>
      <c r="L308" t="s">
        <v>1827</v>
      </c>
      <c r="M308" t="s">
        <v>1740</v>
      </c>
      <c r="N308" t="s">
        <v>5</v>
      </c>
      <c r="O308" t="b">
        <v>0</v>
      </c>
      <c r="P308">
        <v>2</v>
      </c>
      <c r="Q308" t="s">
        <v>1820</v>
      </c>
      <c r="R308" t="s">
        <v>5</v>
      </c>
      <c r="S308">
        <v>64</v>
      </c>
      <c r="T308" t="s">
        <v>5</v>
      </c>
      <c r="U308" t="s">
        <v>5</v>
      </c>
      <c r="V308" t="s">
        <v>5</v>
      </c>
      <c r="W308">
        <v>1</v>
      </c>
      <c r="X308" t="s">
        <v>31</v>
      </c>
      <c r="Z308" t="s">
        <v>5</v>
      </c>
      <c r="AA308" t="s">
        <v>5</v>
      </c>
      <c r="AC308" t="s">
        <v>1110</v>
      </c>
      <c r="AD308">
        <v>425</v>
      </c>
    </row>
    <row r="309" spans="1:30" x14ac:dyDescent="0.3">
      <c r="A309">
        <v>15125767</v>
      </c>
      <c r="B309" s="3">
        <v>45684</v>
      </c>
      <c r="C309">
        <v>2025</v>
      </c>
      <c r="D309">
        <v>1</v>
      </c>
      <c r="E309" t="s">
        <v>1579</v>
      </c>
      <c r="F309" t="s">
        <v>0</v>
      </c>
      <c r="G309" t="s">
        <v>10</v>
      </c>
      <c r="H309" t="b">
        <v>0</v>
      </c>
      <c r="I309" t="b">
        <v>0</v>
      </c>
      <c r="J309" t="b">
        <v>0</v>
      </c>
      <c r="K309" t="b">
        <v>0</v>
      </c>
      <c r="L309" t="s">
        <v>1828</v>
      </c>
      <c r="M309" t="s">
        <v>1740</v>
      </c>
      <c r="N309" t="s">
        <v>5</v>
      </c>
      <c r="O309" t="b">
        <v>0</v>
      </c>
      <c r="P309">
        <v>2</v>
      </c>
      <c r="Q309" t="s">
        <v>1820</v>
      </c>
      <c r="R309" t="s">
        <v>5</v>
      </c>
      <c r="S309">
        <v>64</v>
      </c>
      <c r="T309" t="s">
        <v>1829</v>
      </c>
      <c r="U309" t="s">
        <v>5</v>
      </c>
      <c r="V309" t="s">
        <v>5</v>
      </c>
      <c r="W309">
        <v>2</v>
      </c>
      <c r="X309" t="s">
        <v>14</v>
      </c>
      <c r="Z309" t="s">
        <v>5</v>
      </c>
      <c r="AA309" t="s">
        <v>5</v>
      </c>
      <c r="AC309" t="s">
        <v>1110</v>
      </c>
      <c r="AD309">
        <v>425</v>
      </c>
    </row>
    <row r="310" spans="1:30" x14ac:dyDescent="0.3">
      <c r="A310">
        <v>15125813</v>
      </c>
      <c r="B310" s="3">
        <v>45672</v>
      </c>
      <c r="C310">
        <v>2025</v>
      </c>
      <c r="D310">
        <v>1</v>
      </c>
      <c r="E310" t="s">
        <v>1579</v>
      </c>
      <c r="F310" t="s">
        <v>0</v>
      </c>
      <c r="G310" t="s">
        <v>689</v>
      </c>
      <c r="H310" t="b">
        <v>1</v>
      </c>
      <c r="I310" t="b">
        <v>0</v>
      </c>
      <c r="J310" t="b">
        <v>0</v>
      </c>
      <c r="K310" t="b">
        <v>1</v>
      </c>
      <c r="L310" t="s">
        <v>1830</v>
      </c>
      <c r="M310" t="s">
        <v>1157</v>
      </c>
      <c r="N310" t="s">
        <v>5</v>
      </c>
      <c r="O310" t="b">
        <v>0</v>
      </c>
      <c r="P310">
        <v>10</v>
      </c>
      <c r="Q310" t="s">
        <v>528</v>
      </c>
      <c r="R310" t="s">
        <v>529</v>
      </c>
      <c r="S310" t="s">
        <v>5</v>
      </c>
      <c r="T310" t="s">
        <v>449</v>
      </c>
      <c r="U310" t="s">
        <v>531</v>
      </c>
      <c r="V310" t="s">
        <v>392</v>
      </c>
      <c r="W310">
        <v>49</v>
      </c>
      <c r="X310" t="s">
        <v>6</v>
      </c>
      <c r="Z310" t="s">
        <v>5</v>
      </c>
      <c r="AA310" t="s">
        <v>8</v>
      </c>
      <c r="AC310" t="s">
        <v>101</v>
      </c>
      <c r="AD310">
        <v>437</v>
      </c>
    </row>
    <row r="311" spans="1:30" x14ac:dyDescent="0.3">
      <c r="A311">
        <v>15127486</v>
      </c>
      <c r="B311" s="3">
        <v>45663</v>
      </c>
      <c r="C311">
        <v>2025</v>
      </c>
      <c r="D311">
        <v>1</v>
      </c>
      <c r="E311" t="s">
        <v>1579</v>
      </c>
      <c r="F311" t="s">
        <v>0</v>
      </c>
      <c r="G311" t="s">
        <v>10</v>
      </c>
      <c r="H311" t="b">
        <v>0</v>
      </c>
      <c r="I311" t="b">
        <v>0</v>
      </c>
      <c r="J311" t="b">
        <v>0</v>
      </c>
      <c r="K311" t="b">
        <v>0</v>
      </c>
      <c r="L311" t="s">
        <v>1831</v>
      </c>
      <c r="M311" t="s">
        <v>454</v>
      </c>
      <c r="N311" t="s">
        <v>57</v>
      </c>
      <c r="O311" t="b">
        <v>1</v>
      </c>
      <c r="P311">
        <v>6</v>
      </c>
      <c r="Q311" t="s">
        <v>588</v>
      </c>
      <c r="R311" t="s">
        <v>589</v>
      </c>
      <c r="S311" t="s">
        <v>5</v>
      </c>
      <c r="T311" t="s">
        <v>664</v>
      </c>
      <c r="U311" t="s">
        <v>591</v>
      </c>
      <c r="V311" t="s">
        <v>592</v>
      </c>
      <c r="W311">
        <v>2</v>
      </c>
      <c r="X311" t="s">
        <v>14</v>
      </c>
      <c r="Z311" t="s">
        <v>5</v>
      </c>
      <c r="AA311" t="s">
        <v>8</v>
      </c>
      <c r="AC311" t="s">
        <v>32</v>
      </c>
      <c r="AD311">
        <v>446</v>
      </c>
    </row>
    <row r="312" spans="1:30" x14ac:dyDescent="0.3">
      <c r="A312">
        <v>15129122</v>
      </c>
      <c r="B312" s="3">
        <v>45687</v>
      </c>
      <c r="C312">
        <v>2025</v>
      </c>
      <c r="D312">
        <v>1</v>
      </c>
      <c r="E312" t="s">
        <v>1579</v>
      </c>
      <c r="F312" t="s">
        <v>0</v>
      </c>
      <c r="G312" t="s">
        <v>1</v>
      </c>
      <c r="H312" t="b">
        <v>0</v>
      </c>
      <c r="I312" t="b">
        <v>1</v>
      </c>
      <c r="J312" t="b">
        <v>0</v>
      </c>
      <c r="K312" t="b">
        <v>0</v>
      </c>
      <c r="L312" t="s">
        <v>1832</v>
      </c>
      <c r="M312" t="s">
        <v>736</v>
      </c>
      <c r="N312" t="s">
        <v>118</v>
      </c>
      <c r="O312" t="b">
        <v>0</v>
      </c>
      <c r="P312">
        <v>7</v>
      </c>
      <c r="Q312" t="s">
        <v>208</v>
      </c>
      <c r="R312" t="s">
        <v>209</v>
      </c>
      <c r="S312">
        <v>48</v>
      </c>
      <c r="T312" t="s">
        <v>80</v>
      </c>
      <c r="U312" t="s">
        <v>210</v>
      </c>
      <c r="V312" t="s">
        <v>5</v>
      </c>
      <c r="W312">
        <v>7</v>
      </c>
      <c r="X312" t="s">
        <v>6</v>
      </c>
      <c r="Y312">
        <v>61</v>
      </c>
      <c r="Z312" t="s">
        <v>7</v>
      </c>
      <c r="AA312" t="s">
        <v>15</v>
      </c>
      <c r="AB312">
        <v>59</v>
      </c>
      <c r="AC312" t="s">
        <v>32</v>
      </c>
      <c r="AD312">
        <v>422</v>
      </c>
    </row>
    <row r="313" spans="1:30" x14ac:dyDescent="0.3">
      <c r="A313">
        <v>15139044</v>
      </c>
      <c r="B313" s="3">
        <v>45664</v>
      </c>
      <c r="C313">
        <v>2025</v>
      </c>
      <c r="D313">
        <v>1</v>
      </c>
      <c r="E313" t="s">
        <v>1579</v>
      </c>
      <c r="F313" t="s">
        <v>0</v>
      </c>
      <c r="G313" t="s">
        <v>10</v>
      </c>
      <c r="H313" t="b">
        <v>0</v>
      </c>
      <c r="I313" t="b">
        <v>0</v>
      </c>
      <c r="J313" t="b">
        <v>0</v>
      </c>
      <c r="K313" t="b">
        <v>0</v>
      </c>
      <c r="L313" t="s">
        <v>1833</v>
      </c>
      <c r="M313" t="s">
        <v>1834</v>
      </c>
      <c r="N313" t="s">
        <v>5</v>
      </c>
      <c r="O313" t="b">
        <v>0</v>
      </c>
      <c r="P313">
        <v>7</v>
      </c>
      <c r="Q313" t="s">
        <v>835</v>
      </c>
      <c r="R313" t="s">
        <v>836</v>
      </c>
      <c r="S313">
        <v>65</v>
      </c>
      <c r="T313" t="s">
        <v>427</v>
      </c>
      <c r="U313" t="s">
        <v>837</v>
      </c>
      <c r="V313" t="s">
        <v>540</v>
      </c>
      <c r="W313">
        <v>20</v>
      </c>
      <c r="X313" t="s">
        <v>6</v>
      </c>
      <c r="Y313">
        <v>48</v>
      </c>
      <c r="Z313" t="s">
        <v>7</v>
      </c>
      <c r="AA313" t="s">
        <v>8</v>
      </c>
      <c r="AC313" t="s">
        <v>284</v>
      </c>
      <c r="AD313">
        <v>445</v>
      </c>
    </row>
    <row r="314" spans="1:30" x14ac:dyDescent="0.3">
      <c r="A314">
        <v>15143089</v>
      </c>
      <c r="B314" s="3">
        <v>45665</v>
      </c>
      <c r="C314">
        <v>2025</v>
      </c>
      <c r="D314">
        <v>1</v>
      </c>
      <c r="E314" t="s">
        <v>1579</v>
      </c>
      <c r="F314" t="s">
        <v>0</v>
      </c>
      <c r="G314" t="s">
        <v>10</v>
      </c>
      <c r="H314" t="b">
        <v>0</v>
      </c>
      <c r="I314" t="b">
        <v>0</v>
      </c>
      <c r="J314" t="b">
        <v>0</v>
      </c>
      <c r="K314" t="b">
        <v>0</v>
      </c>
      <c r="L314" t="s">
        <v>1835</v>
      </c>
      <c r="M314" t="s">
        <v>1475</v>
      </c>
      <c r="N314" t="s">
        <v>94</v>
      </c>
      <c r="O314" t="b">
        <v>1</v>
      </c>
      <c r="P314">
        <v>8</v>
      </c>
      <c r="Q314" t="s">
        <v>1193</v>
      </c>
      <c r="R314" t="s">
        <v>1194</v>
      </c>
      <c r="S314">
        <v>48</v>
      </c>
      <c r="T314" t="s">
        <v>465</v>
      </c>
      <c r="U314" t="s">
        <v>1195</v>
      </c>
      <c r="V314" t="s">
        <v>1196</v>
      </c>
      <c r="W314">
        <v>1</v>
      </c>
      <c r="X314" t="s">
        <v>31</v>
      </c>
      <c r="Y314">
        <v>15</v>
      </c>
      <c r="Z314" t="s">
        <v>19</v>
      </c>
      <c r="AA314" t="s">
        <v>8</v>
      </c>
      <c r="AC314" t="s">
        <v>254</v>
      </c>
      <c r="AD314">
        <v>444</v>
      </c>
    </row>
    <row r="315" spans="1:30" x14ac:dyDescent="0.3">
      <c r="A315">
        <v>15143622</v>
      </c>
      <c r="B315" s="3">
        <v>45678</v>
      </c>
      <c r="C315">
        <v>2025</v>
      </c>
      <c r="D315">
        <v>1</v>
      </c>
      <c r="E315" t="s">
        <v>1579</v>
      </c>
      <c r="F315" t="s">
        <v>0</v>
      </c>
      <c r="G315" t="s">
        <v>10</v>
      </c>
      <c r="H315" t="b">
        <v>0</v>
      </c>
      <c r="I315" t="b">
        <v>0</v>
      </c>
      <c r="J315" t="b">
        <v>0</v>
      </c>
      <c r="K315" t="b">
        <v>0</v>
      </c>
      <c r="L315" t="s">
        <v>1343</v>
      </c>
      <c r="M315" t="s">
        <v>1343</v>
      </c>
      <c r="N315" t="s">
        <v>5</v>
      </c>
      <c r="O315" t="b">
        <v>0</v>
      </c>
      <c r="P315">
        <v>1</v>
      </c>
      <c r="Q315" t="s">
        <v>681</v>
      </c>
      <c r="R315" t="s">
        <v>5</v>
      </c>
      <c r="S315" t="s">
        <v>5</v>
      </c>
      <c r="T315" t="s">
        <v>5</v>
      </c>
      <c r="U315" t="s">
        <v>5</v>
      </c>
      <c r="V315" t="s">
        <v>5</v>
      </c>
      <c r="W315">
        <v>2</v>
      </c>
      <c r="X315" t="s">
        <v>14</v>
      </c>
      <c r="Z315" t="s">
        <v>5</v>
      </c>
      <c r="AA315" t="s">
        <v>5</v>
      </c>
      <c r="AC315" t="s">
        <v>9</v>
      </c>
      <c r="AD315">
        <v>431</v>
      </c>
    </row>
    <row r="316" spans="1:30" x14ac:dyDescent="0.3">
      <c r="A316">
        <v>15148243</v>
      </c>
      <c r="B316" s="3">
        <v>45679</v>
      </c>
      <c r="C316">
        <v>2025</v>
      </c>
      <c r="D316">
        <v>1</v>
      </c>
      <c r="E316" t="s">
        <v>1579</v>
      </c>
      <c r="F316" t="s">
        <v>0</v>
      </c>
      <c r="G316" t="s">
        <v>1</v>
      </c>
      <c r="H316" t="b">
        <v>0</v>
      </c>
      <c r="I316" t="b">
        <v>1</v>
      </c>
      <c r="J316" t="b">
        <v>0</v>
      </c>
      <c r="K316" t="b">
        <v>0</v>
      </c>
      <c r="L316" t="s">
        <v>300</v>
      </c>
      <c r="M316" t="s">
        <v>300</v>
      </c>
      <c r="N316" t="s">
        <v>5</v>
      </c>
      <c r="O316" t="b">
        <v>0</v>
      </c>
      <c r="P316">
        <v>1</v>
      </c>
      <c r="Q316" t="s">
        <v>872</v>
      </c>
      <c r="R316" t="s">
        <v>872</v>
      </c>
      <c r="S316" t="s">
        <v>5</v>
      </c>
      <c r="T316" t="s">
        <v>83</v>
      </c>
      <c r="U316" t="s">
        <v>873</v>
      </c>
      <c r="V316" t="s">
        <v>874</v>
      </c>
      <c r="W316">
        <v>1</v>
      </c>
      <c r="X316" t="s">
        <v>31</v>
      </c>
      <c r="Z316" t="s">
        <v>5</v>
      </c>
      <c r="AA316" t="s">
        <v>15</v>
      </c>
      <c r="AC316" t="s">
        <v>32</v>
      </c>
      <c r="AD316">
        <v>430</v>
      </c>
    </row>
    <row r="317" spans="1:30" x14ac:dyDescent="0.3">
      <c r="A317">
        <v>15158256</v>
      </c>
      <c r="B317" s="3">
        <v>45680</v>
      </c>
      <c r="C317">
        <v>2025</v>
      </c>
      <c r="D317">
        <v>1</v>
      </c>
      <c r="E317" t="s">
        <v>1579</v>
      </c>
      <c r="F317" t="s">
        <v>0</v>
      </c>
      <c r="G317" t="s">
        <v>10</v>
      </c>
      <c r="H317" t="b">
        <v>0</v>
      </c>
      <c r="I317" t="b">
        <v>0</v>
      </c>
      <c r="J317" t="b">
        <v>0</v>
      </c>
      <c r="K317" t="b">
        <v>0</v>
      </c>
      <c r="L317" t="s">
        <v>1836</v>
      </c>
      <c r="M317" t="s">
        <v>332</v>
      </c>
      <c r="N317" t="s">
        <v>70</v>
      </c>
      <c r="O317" t="b">
        <v>0</v>
      </c>
      <c r="P317">
        <v>29</v>
      </c>
      <c r="Q317" t="s">
        <v>367</v>
      </c>
      <c r="R317" t="s">
        <v>368</v>
      </c>
      <c r="S317">
        <v>42</v>
      </c>
      <c r="T317" t="s">
        <v>60</v>
      </c>
      <c r="U317" t="s">
        <v>81</v>
      </c>
      <c r="V317" t="s">
        <v>82</v>
      </c>
      <c r="W317">
        <v>3</v>
      </c>
      <c r="X317" t="s">
        <v>14</v>
      </c>
      <c r="Y317">
        <v>37</v>
      </c>
      <c r="Z317" t="s">
        <v>61</v>
      </c>
      <c r="AA317" t="s">
        <v>8</v>
      </c>
      <c r="AC317" t="s">
        <v>9</v>
      </c>
      <c r="AD317">
        <v>429</v>
      </c>
    </row>
    <row r="318" spans="1:30" x14ac:dyDescent="0.3">
      <c r="A318">
        <v>15201214</v>
      </c>
      <c r="B318" s="3">
        <v>45685</v>
      </c>
      <c r="C318">
        <v>2025</v>
      </c>
      <c r="D318">
        <v>1</v>
      </c>
      <c r="E318" t="s">
        <v>1579</v>
      </c>
      <c r="F318" t="s">
        <v>125</v>
      </c>
      <c r="G318" t="s">
        <v>10</v>
      </c>
      <c r="H318" t="b">
        <v>0</v>
      </c>
      <c r="I318" t="b">
        <v>0</v>
      </c>
      <c r="J318" t="b">
        <v>0</v>
      </c>
      <c r="K318" t="b">
        <v>0</v>
      </c>
      <c r="L318" t="s">
        <v>1837</v>
      </c>
      <c r="M318" t="s">
        <v>1838</v>
      </c>
      <c r="N318" t="s">
        <v>5</v>
      </c>
      <c r="O318" t="b">
        <v>0</v>
      </c>
      <c r="P318">
        <v>22</v>
      </c>
      <c r="Q318" t="s">
        <v>162</v>
      </c>
      <c r="R318" t="s">
        <v>163</v>
      </c>
      <c r="S318">
        <v>48</v>
      </c>
      <c r="T318" t="s">
        <v>164</v>
      </c>
      <c r="U318" t="s">
        <v>88</v>
      </c>
      <c r="V318" t="s">
        <v>89</v>
      </c>
      <c r="W318">
        <v>16</v>
      </c>
      <c r="X318" t="s">
        <v>6</v>
      </c>
      <c r="Y318">
        <v>53</v>
      </c>
      <c r="Z318" t="s">
        <v>7</v>
      </c>
      <c r="AA318" t="s">
        <v>8</v>
      </c>
      <c r="AB318">
        <v>51.3</v>
      </c>
      <c r="AC318" t="s">
        <v>32</v>
      </c>
      <c r="AD318">
        <v>424</v>
      </c>
    </row>
    <row r="319" spans="1:30" x14ac:dyDescent="0.3">
      <c r="A319">
        <v>15204817</v>
      </c>
      <c r="B319" s="3">
        <v>45680</v>
      </c>
      <c r="C319">
        <v>2025</v>
      </c>
      <c r="D319">
        <v>1</v>
      </c>
      <c r="E319" t="s">
        <v>1579</v>
      </c>
      <c r="F319" t="s">
        <v>0</v>
      </c>
      <c r="G319" t="s">
        <v>197</v>
      </c>
      <c r="H319" t="b">
        <v>1</v>
      </c>
      <c r="I319" t="b">
        <v>1</v>
      </c>
      <c r="J319" t="b">
        <v>0</v>
      </c>
      <c r="K319" t="b">
        <v>0</v>
      </c>
      <c r="L319" t="s">
        <v>1839</v>
      </c>
      <c r="M319" t="s">
        <v>1057</v>
      </c>
      <c r="N319" t="s">
        <v>5</v>
      </c>
      <c r="O319" t="b">
        <v>0</v>
      </c>
      <c r="P319">
        <v>3</v>
      </c>
      <c r="Q319" t="s">
        <v>588</v>
      </c>
      <c r="R319" t="s">
        <v>589</v>
      </c>
      <c r="S319" t="s">
        <v>5</v>
      </c>
      <c r="T319" t="s">
        <v>1427</v>
      </c>
      <c r="U319" t="s">
        <v>591</v>
      </c>
      <c r="V319" t="s">
        <v>592</v>
      </c>
      <c r="W319">
        <v>11</v>
      </c>
      <c r="X319" t="s">
        <v>6</v>
      </c>
      <c r="Y319">
        <v>7</v>
      </c>
      <c r="Z319" t="s">
        <v>46</v>
      </c>
      <c r="AA319" t="s">
        <v>8</v>
      </c>
      <c r="AC319" t="s">
        <v>9</v>
      </c>
      <c r="AD319">
        <v>429</v>
      </c>
    </row>
    <row r="320" spans="1:30" x14ac:dyDescent="0.3">
      <c r="A320">
        <v>15206953</v>
      </c>
      <c r="B320" s="3">
        <v>45663</v>
      </c>
      <c r="C320">
        <v>2025</v>
      </c>
      <c r="D320">
        <v>1</v>
      </c>
      <c r="E320" t="s">
        <v>1579</v>
      </c>
      <c r="F320" t="s">
        <v>0</v>
      </c>
      <c r="G320" t="s">
        <v>50</v>
      </c>
      <c r="H320" t="b">
        <v>1</v>
      </c>
      <c r="I320" t="b">
        <v>0</v>
      </c>
      <c r="J320" t="b">
        <v>0</v>
      </c>
      <c r="K320" t="b">
        <v>0</v>
      </c>
      <c r="L320" t="s">
        <v>1840</v>
      </c>
      <c r="M320" t="s">
        <v>173</v>
      </c>
      <c r="N320" t="s">
        <v>5</v>
      </c>
      <c r="O320" t="b">
        <v>0</v>
      </c>
      <c r="P320">
        <v>2</v>
      </c>
      <c r="Q320" t="s">
        <v>1483</v>
      </c>
      <c r="R320" t="s">
        <v>1484</v>
      </c>
      <c r="S320">
        <v>64</v>
      </c>
      <c r="T320" t="s">
        <v>5</v>
      </c>
      <c r="U320" t="s">
        <v>1485</v>
      </c>
      <c r="V320" t="s">
        <v>1355</v>
      </c>
      <c r="W320">
        <v>1</v>
      </c>
      <c r="X320" t="s">
        <v>31</v>
      </c>
      <c r="Z320" t="s">
        <v>5</v>
      </c>
      <c r="AA320" t="s">
        <v>5</v>
      </c>
      <c r="AC320" t="s">
        <v>32</v>
      </c>
      <c r="AD320">
        <v>446</v>
      </c>
    </row>
    <row r="321" spans="1:30" x14ac:dyDescent="0.3">
      <c r="A321">
        <v>15218777</v>
      </c>
      <c r="B321" s="3">
        <v>45666</v>
      </c>
      <c r="C321">
        <v>2025</v>
      </c>
      <c r="D321">
        <v>1</v>
      </c>
      <c r="E321" t="s">
        <v>1579</v>
      </c>
      <c r="F321" t="s">
        <v>0</v>
      </c>
      <c r="G321" t="s">
        <v>1</v>
      </c>
      <c r="H321" t="b">
        <v>0</v>
      </c>
      <c r="I321" t="b">
        <v>1</v>
      </c>
      <c r="J321" t="b">
        <v>0</v>
      </c>
      <c r="K321" t="b">
        <v>0</v>
      </c>
      <c r="L321" t="s">
        <v>1841</v>
      </c>
      <c r="M321" t="s">
        <v>217</v>
      </c>
      <c r="N321" t="s">
        <v>70</v>
      </c>
      <c r="O321" t="b">
        <v>0</v>
      </c>
      <c r="P321">
        <v>28</v>
      </c>
      <c r="Q321" t="s">
        <v>367</v>
      </c>
      <c r="R321" t="s">
        <v>368</v>
      </c>
      <c r="S321">
        <v>42</v>
      </c>
      <c r="T321" t="s">
        <v>758</v>
      </c>
      <c r="U321" t="s">
        <v>81</v>
      </c>
      <c r="V321" t="s">
        <v>82</v>
      </c>
      <c r="W321">
        <v>16</v>
      </c>
      <c r="X321" t="s">
        <v>6</v>
      </c>
      <c r="Y321">
        <v>46</v>
      </c>
      <c r="Z321" t="s">
        <v>7</v>
      </c>
      <c r="AA321" t="s">
        <v>8</v>
      </c>
      <c r="AC321" t="s">
        <v>101</v>
      </c>
      <c r="AD321">
        <v>443</v>
      </c>
    </row>
    <row r="322" spans="1:30" x14ac:dyDescent="0.3">
      <c r="A322">
        <v>15220033</v>
      </c>
      <c r="B322" s="3">
        <v>45686</v>
      </c>
      <c r="C322">
        <v>2025</v>
      </c>
      <c r="D322">
        <v>1</v>
      </c>
      <c r="E322" t="s">
        <v>1579</v>
      </c>
      <c r="F322" t="s">
        <v>125</v>
      </c>
      <c r="G322" t="s">
        <v>10</v>
      </c>
      <c r="H322" t="b">
        <v>0</v>
      </c>
      <c r="I322" t="b">
        <v>0</v>
      </c>
      <c r="J322" t="b">
        <v>0</v>
      </c>
      <c r="K322" t="b">
        <v>0</v>
      </c>
      <c r="L322" t="s">
        <v>1842</v>
      </c>
      <c r="M322" t="s">
        <v>421</v>
      </c>
      <c r="N322" t="s">
        <v>5</v>
      </c>
      <c r="O322" t="b">
        <v>0</v>
      </c>
      <c r="P322">
        <v>2</v>
      </c>
      <c r="Q322" t="s">
        <v>226</v>
      </c>
      <c r="R322" t="s">
        <v>227</v>
      </c>
      <c r="S322" t="s">
        <v>5</v>
      </c>
      <c r="T322" t="s">
        <v>5</v>
      </c>
      <c r="U322" t="s">
        <v>228</v>
      </c>
      <c r="V322" t="s">
        <v>5</v>
      </c>
      <c r="W322">
        <v>1</v>
      </c>
      <c r="X322" t="s">
        <v>31</v>
      </c>
      <c r="Y322">
        <v>32</v>
      </c>
      <c r="Z322" t="s">
        <v>61</v>
      </c>
      <c r="AA322" t="s">
        <v>8</v>
      </c>
      <c r="AC322" t="s">
        <v>32</v>
      </c>
      <c r="AD322">
        <v>423</v>
      </c>
    </row>
    <row r="323" spans="1:30" x14ac:dyDescent="0.3">
      <c r="A323">
        <v>15225214</v>
      </c>
      <c r="B323" s="3">
        <v>45667</v>
      </c>
      <c r="C323">
        <v>2025</v>
      </c>
      <c r="D323">
        <v>1</v>
      </c>
      <c r="E323" t="s">
        <v>1579</v>
      </c>
      <c r="F323" t="s">
        <v>0</v>
      </c>
      <c r="G323" t="s">
        <v>10</v>
      </c>
      <c r="H323" t="b">
        <v>0</v>
      </c>
      <c r="I323" t="b">
        <v>0</v>
      </c>
      <c r="J323" t="b">
        <v>0</v>
      </c>
      <c r="K323" t="b">
        <v>0</v>
      </c>
      <c r="L323" t="s">
        <v>1843</v>
      </c>
      <c r="M323" t="s">
        <v>420</v>
      </c>
      <c r="N323" t="s">
        <v>70</v>
      </c>
      <c r="O323" t="b">
        <v>0</v>
      </c>
      <c r="P323">
        <v>26</v>
      </c>
      <c r="Q323" t="s">
        <v>611</v>
      </c>
      <c r="R323" t="s">
        <v>612</v>
      </c>
      <c r="S323">
        <v>42</v>
      </c>
      <c r="T323" t="s">
        <v>183</v>
      </c>
      <c r="U323" t="s">
        <v>29</v>
      </c>
      <c r="V323" t="s">
        <v>130</v>
      </c>
      <c r="W323">
        <v>41</v>
      </c>
      <c r="X323" t="s">
        <v>6</v>
      </c>
      <c r="Z323" t="s">
        <v>5</v>
      </c>
      <c r="AA323" t="s">
        <v>5</v>
      </c>
      <c r="AC323" t="s">
        <v>9</v>
      </c>
      <c r="AD323">
        <v>442</v>
      </c>
    </row>
    <row r="324" spans="1:30" x14ac:dyDescent="0.3">
      <c r="A324">
        <v>15225220</v>
      </c>
      <c r="B324" s="3">
        <v>45659</v>
      </c>
      <c r="C324">
        <v>2025</v>
      </c>
      <c r="D324">
        <v>1</v>
      </c>
      <c r="E324" t="s">
        <v>1579</v>
      </c>
      <c r="F324" t="s">
        <v>0</v>
      </c>
      <c r="G324" t="s">
        <v>10</v>
      </c>
      <c r="H324" t="b">
        <v>0</v>
      </c>
      <c r="I324" t="b">
        <v>0</v>
      </c>
      <c r="J324" t="b">
        <v>0</v>
      </c>
      <c r="K324" t="b">
        <v>0</v>
      </c>
      <c r="L324" t="s">
        <v>1844</v>
      </c>
      <c r="M324" t="s">
        <v>692</v>
      </c>
      <c r="N324" t="s">
        <v>70</v>
      </c>
      <c r="O324" t="b">
        <v>0</v>
      </c>
      <c r="P324">
        <v>16</v>
      </c>
      <c r="Q324" t="s">
        <v>135</v>
      </c>
      <c r="R324" t="s">
        <v>136</v>
      </c>
      <c r="S324">
        <v>58</v>
      </c>
      <c r="T324" t="s">
        <v>299</v>
      </c>
      <c r="U324" t="s">
        <v>81</v>
      </c>
      <c r="V324" t="s">
        <v>137</v>
      </c>
      <c r="W324">
        <v>19</v>
      </c>
      <c r="X324" t="s">
        <v>6</v>
      </c>
      <c r="Y324">
        <v>62</v>
      </c>
      <c r="Z324" t="s">
        <v>7</v>
      </c>
      <c r="AA324" t="s">
        <v>8</v>
      </c>
      <c r="AC324" t="s">
        <v>9</v>
      </c>
      <c r="AD324">
        <v>450</v>
      </c>
    </row>
    <row r="325" spans="1:30" x14ac:dyDescent="0.3">
      <c r="A325">
        <v>15227815</v>
      </c>
      <c r="B325" s="3">
        <v>45686</v>
      </c>
      <c r="C325">
        <v>2025</v>
      </c>
      <c r="D325">
        <v>1</v>
      </c>
      <c r="E325" t="s">
        <v>1579</v>
      </c>
      <c r="F325" t="s">
        <v>0</v>
      </c>
      <c r="G325" t="s">
        <v>10</v>
      </c>
      <c r="H325" t="b">
        <v>0</v>
      </c>
      <c r="I325" t="b">
        <v>0</v>
      </c>
      <c r="J325" t="b">
        <v>0</v>
      </c>
      <c r="K325" t="b">
        <v>0</v>
      </c>
      <c r="L325" t="s">
        <v>1845</v>
      </c>
      <c r="M325" t="s">
        <v>1397</v>
      </c>
      <c r="N325" t="s">
        <v>5</v>
      </c>
      <c r="O325" t="b">
        <v>0</v>
      </c>
      <c r="P325">
        <v>2</v>
      </c>
      <c r="Q325" t="s">
        <v>226</v>
      </c>
      <c r="R325" t="s">
        <v>227</v>
      </c>
      <c r="S325">
        <v>64</v>
      </c>
      <c r="T325" t="s">
        <v>5</v>
      </c>
      <c r="U325" t="s">
        <v>228</v>
      </c>
      <c r="V325" t="s">
        <v>5</v>
      </c>
      <c r="W325">
        <v>1</v>
      </c>
      <c r="X325" t="s">
        <v>31</v>
      </c>
      <c r="Z325" t="s">
        <v>5</v>
      </c>
      <c r="AA325" t="s">
        <v>5</v>
      </c>
      <c r="AC325" t="s">
        <v>32</v>
      </c>
      <c r="AD325">
        <v>423</v>
      </c>
    </row>
    <row r="326" spans="1:30" x14ac:dyDescent="0.3">
      <c r="A326">
        <v>15235741</v>
      </c>
      <c r="B326" s="3">
        <v>45684</v>
      </c>
      <c r="C326">
        <v>2025</v>
      </c>
      <c r="D326">
        <v>1</v>
      </c>
      <c r="E326" t="s">
        <v>1579</v>
      </c>
      <c r="F326" t="s">
        <v>0</v>
      </c>
      <c r="G326" t="s">
        <v>1</v>
      </c>
      <c r="H326" t="b">
        <v>0</v>
      </c>
      <c r="I326" t="b">
        <v>1</v>
      </c>
      <c r="J326" t="b">
        <v>0</v>
      </c>
      <c r="K326" t="b">
        <v>0</v>
      </c>
      <c r="L326" t="s">
        <v>1846</v>
      </c>
      <c r="M326" t="s">
        <v>255</v>
      </c>
      <c r="N326" t="s">
        <v>2</v>
      </c>
      <c r="O326" t="b">
        <v>1</v>
      </c>
      <c r="P326">
        <v>11</v>
      </c>
      <c r="Q326" t="s">
        <v>683</v>
      </c>
      <c r="R326" t="s">
        <v>684</v>
      </c>
      <c r="S326" t="s">
        <v>5</v>
      </c>
      <c r="T326" t="s">
        <v>685</v>
      </c>
      <c r="U326" t="s">
        <v>271</v>
      </c>
      <c r="V326" t="s">
        <v>686</v>
      </c>
      <c r="W326">
        <v>3</v>
      </c>
      <c r="X326" t="s">
        <v>14</v>
      </c>
      <c r="Y326">
        <v>17</v>
      </c>
      <c r="Z326" t="s">
        <v>19</v>
      </c>
      <c r="AA326" t="s">
        <v>15</v>
      </c>
      <c r="AC326" t="s">
        <v>32</v>
      </c>
      <c r="AD326">
        <v>425</v>
      </c>
    </row>
    <row r="327" spans="1:30" x14ac:dyDescent="0.3">
      <c r="A327">
        <v>15240452</v>
      </c>
      <c r="B327" s="3">
        <v>45664</v>
      </c>
      <c r="C327">
        <v>2025</v>
      </c>
      <c r="D327">
        <v>1</v>
      </c>
      <c r="E327" t="s">
        <v>1579</v>
      </c>
      <c r="F327" t="s">
        <v>0</v>
      </c>
      <c r="G327" t="s">
        <v>1</v>
      </c>
      <c r="H327" t="b">
        <v>0</v>
      </c>
      <c r="I327" t="b">
        <v>1</v>
      </c>
      <c r="J327" t="b">
        <v>0</v>
      </c>
      <c r="K327" t="b">
        <v>0</v>
      </c>
      <c r="L327" t="s">
        <v>1847</v>
      </c>
      <c r="M327" t="s">
        <v>1088</v>
      </c>
      <c r="N327" t="s">
        <v>17</v>
      </c>
      <c r="O327" t="b">
        <v>0</v>
      </c>
      <c r="P327">
        <v>24</v>
      </c>
      <c r="Q327" t="s">
        <v>450</v>
      </c>
      <c r="R327" t="s">
        <v>451</v>
      </c>
      <c r="S327">
        <v>65</v>
      </c>
      <c r="T327" t="s">
        <v>83</v>
      </c>
      <c r="U327" t="s">
        <v>453</v>
      </c>
      <c r="V327" t="s">
        <v>211</v>
      </c>
      <c r="W327">
        <v>25</v>
      </c>
      <c r="X327" t="s">
        <v>6</v>
      </c>
      <c r="Y327">
        <v>36</v>
      </c>
      <c r="Z327" t="s">
        <v>61</v>
      </c>
      <c r="AA327" t="s">
        <v>8</v>
      </c>
      <c r="AC327" t="s">
        <v>254</v>
      </c>
      <c r="AD327">
        <v>445</v>
      </c>
    </row>
    <row r="328" spans="1:30" x14ac:dyDescent="0.3">
      <c r="A328">
        <v>15246289</v>
      </c>
      <c r="B328" s="3">
        <v>45687</v>
      </c>
      <c r="C328">
        <v>2025</v>
      </c>
      <c r="D328">
        <v>1</v>
      </c>
      <c r="E328" t="s">
        <v>1579</v>
      </c>
      <c r="F328" t="s">
        <v>0</v>
      </c>
      <c r="G328" t="s">
        <v>562</v>
      </c>
      <c r="H328" t="b">
        <v>0</v>
      </c>
      <c r="I328" t="b">
        <v>0</v>
      </c>
      <c r="J328" t="b">
        <v>0</v>
      </c>
      <c r="K328" t="b">
        <v>0</v>
      </c>
      <c r="L328" t="s">
        <v>1486</v>
      </c>
      <c r="M328" t="s">
        <v>1487</v>
      </c>
      <c r="N328" t="s">
        <v>57</v>
      </c>
      <c r="O328" t="b">
        <v>1</v>
      </c>
      <c r="P328">
        <v>2</v>
      </c>
      <c r="Q328" t="s">
        <v>1407</v>
      </c>
      <c r="R328" t="s">
        <v>1408</v>
      </c>
      <c r="S328">
        <v>64</v>
      </c>
      <c r="T328" t="s">
        <v>105</v>
      </c>
      <c r="U328" t="s">
        <v>1409</v>
      </c>
      <c r="V328" t="s">
        <v>753</v>
      </c>
      <c r="W328">
        <v>11</v>
      </c>
      <c r="X328" t="s">
        <v>6</v>
      </c>
      <c r="Y328">
        <v>2.7397260273972599E-3</v>
      </c>
      <c r="Z328" t="s">
        <v>219</v>
      </c>
      <c r="AA328" t="s">
        <v>5</v>
      </c>
      <c r="AC328" t="s">
        <v>519</v>
      </c>
      <c r="AD328">
        <v>422</v>
      </c>
    </row>
    <row r="329" spans="1:30" x14ac:dyDescent="0.3">
      <c r="A329">
        <v>15249703</v>
      </c>
      <c r="B329" s="3">
        <v>45670</v>
      </c>
      <c r="C329">
        <v>2025</v>
      </c>
      <c r="D329">
        <v>1</v>
      </c>
      <c r="E329" t="s">
        <v>1579</v>
      </c>
      <c r="F329" t="s">
        <v>0</v>
      </c>
      <c r="G329" t="s">
        <v>10</v>
      </c>
      <c r="H329" t="b">
        <v>0</v>
      </c>
      <c r="I329" t="b">
        <v>0</v>
      </c>
      <c r="J329" t="b">
        <v>0</v>
      </c>
      <c r="K329" t="b">
        <v>0</v>
      </c>
      <c r="L329" t="s">
        <v>1848</v>
      </c>
      <c r="M329" t="s">
        <v>1183</v>
      </c>
      <c r="N329" t="s">
        <v>118</v>
      </c>
      <c r="O329" t="b">
        <v>0</v>
      </c>
      <c r="P329">
        <v>5</v>
      </c>
      <c r="Q329" t="s">
        <v>1137</v>
      </c>
      <c r="R329" t="s">
        <v>1138</v>
      </c>
      <c r="S329">
        <v>48</v>
      </c>
      <c r="T329" t="s">
        <v>134</v>
      </c>
      <c r="U329" t="s">
        <v>1139</v>
      </c>
      <c r="V329" t="s">
        <v>5</v>
      </c>
      <c r="W329">
        <v>71</v>
      </c>
      <c r="X329" t="s">
        <v>6</v>
      </c>
      <c r="Z329" t="s">
        <v>5</v>
      </c>
      <c r="AA329" t="s">
        <v>8</v>
      </c>
      <c r="AB329">
        <v>77</v>
      </c>
      <c r="AC329" t="s">
        <v>25</v>
      </c>
      <c r="AD329">
        <v>439</v>
      </c>
    </row>
    <row r="330" spans="1:30" x14ac:dyDescent="0.3">
      <c r="A330">
        <v>15250714</v>
      </c>
      <c r="B330" s="3">
        <v>45659</v>
      </c>
      <c r="C330">
        <v>2025</v>
      </c>
      <c r="D330">
        <v>1</v>
      </c>
      <c r="E330" t="s">
        <v>1579</v>
      </c>
      <c r="F330" t="s">
        <v>0</v>
      </c>
      <c r="G330" t="s">
        <v>10</v>
      </c>
      <c r="H330" t="b">
        <v>0</v>
      </c>
      <c r="I330" t="b">
        <v>0</v>
      </c>
      <c r="J330" t="b">
        <v>0</v>
      </c>
      <c r="K330" t="b">
        <v>0</v>
      </c>
      <c r="L330" t="s">
        <v>1849</v>
      </c>
      <c r="M330" t="s">
        <v>838</v>
      </c>
      <c r="N330" t="s">
        <v>5</v>
      </c>
      <c r="O330" t="b">
        <v>0</v>
      </c>
      <c r="P330">
        <v>7</v>
      </c>
      <c r="Q330" t="s">
        <v>614</v>
      </c>
      <c r="R330" t="s">
        <v>615</v>
      </c>
      <c r="S330">
        <v>65</v>
      </c>
      <c r="T330" t="s">
        <v>247</v>
      </c>
      <c r="U330" t="s">
        <v>616</v>
      </c>
      <c r="V330" t="s">
        <v>115</v>
      </c>
      <c r="W330">
        <v>12</v>
      </c>
      <c r="X330" t="s">
        <v>6</v>
      </c>
      <c r="Y330">
        <v>48</v>
      </c>
      <c r="Z330" t="s">
        <v>7</v>
      </c>
      <c r="AA330" t="s">
        <v>8</v>
      </c>
      <c r="AC330" t="s">
        <v>284</v>
      </c>
      <c r="AD330">
        <v>450</v>
      </c>
    </row>
    <row r="331" spans="1:30" x14ac:dyDescent="0.3">
      <c r="A331">
        <v>15251524</v>
      </c>
      <c r="B331" s="3">
        <v>45685</v>
      </c>
      <c r="C331">
        <v>2025</v>
      </c>
      <c r="D331">
        <v>1</v>
      </c>
      <c r="E331" t="s">
        <v>1579</v>
      </c>
      <c r="F331" t="s">
        <v>0</v>
      </c>
      <c r="G331" t="s">
        <v>562</v>
      </c>
      <c r="H331" t="b">
        <v>0</v>
      </c>
      <c r="I331" t="b">
        <v>0</v>
      </c>
      <c r="J331" t="b">
        <v>0</v>
      </c>
      <c r="K331" t="b">
        <v>0</v>
      </c>
      <c r="L331" t="s">
        <v>1850</v>
      </c>
      <c r="M331" t="s">
        <v>274</v>
      </c>
      <c r="N331" t="s">
        <v>5</v>
      </c>
      <c r="O331" t="b">
        <v>0</v>
      </c>
      <c r="P331">
        <v>3</v>
      </c>
      <c r="Q331" t="s">
        <v>226</v>
      </c>
      <c r="R331" t="s">
        <v>227</v>
      </c>
      <c r="S331">
        <v>64</v>
      </c>
      <c r="T331" t="s">
        <v>5</v>
      </c>
      <c r="U331" t="s">
        <v>228</v>
      </c>
      <c r="V331" t="s">
        <v>5</v>
      </c>
      <c r="W331">
        <v>1</v>
      </c>
      <c r="X331" t="s">
        <v>31</v>
      </c>
      <c r="Z331" t="s">
        <v>5</v>
      </c>
      <c r="AA331" t="s">
        <v>5</v>
      </c>
      <c r="AC331" t="s">
        <v>32</v>
      </c>
      <c r="AD331">
        <v>424</v>
      </c>
    </row>
    <row r="332" spans="1:30" x14ac:dyDescent="0.3">
      <c r="A332">
        <v>15259181</v>
      </c>
      <c r="B332" s="3">
        <v>45686</v>
      </c>
      <c r="C332">
        <v>2025</v>
      </c>
      <c r="D332">
        <v>1</v>
      </c>
      <c r="E332" t="s">
        <v>1579</v>
      </c>
      <c r="F332" t="s">
        <v>0</v>
      </c>
      <c r="G332" t="s">
        <v>10</v>
      </c>
      <c r="H332" t="b">
        <v>0</v>
      </c>
      <c r="I332" t="b">
        <v>0</v>
      </c>
      <c r="J332" t="b">
        <v>0</v>
      </c>
      <c r="K332" t="b">
        <v>0</v>
      </c>
      <c r="L332" t="s">
        <v>1851</v>
      </c>
      <c r="M332" t="s">
        <v>1460</v>
      </c>
      <c r="N332" t="s">
        <v>21</v>
      </c>
      <c r="O332" t="b">
        <v>0</v>
      </c>
      <c r="P332">
        <v>3</v>
      </c>
      <c r="Q332" t="s">
        <v>90</v>
      </c>
      <c r="R332" t="s">
        <v>91</v>
      </c>
      <c r="S332">
        <v>65</v>
      </c>
      <c r="T332" t="s">
        <v>1064</v>
      </c>
      <c r="U332" t="s">
        <v>92</v>
      </c>
      <c r="V332" t="s">
        <v>93</v>
      </c>
      <c r="W332">
        <v>2</v>
      </c>
      <c r="X332" t="s">
        <v>14</v>
      </c>
      <c r="Y332">
        <v>15</v>
      </c>
      <c r="Z332" t="s">
        <v>19</v>
      </c>
      <c r="AA332" t="s">
        <v>15</v>
      </c>
      <c r="AC332" t="s">
        <v>56</v>
      </c>
      <c r="AD332">
        <v>423</v>
      </c>
    </row>
    <row r="333" spans="1:30" x14ac:dyDescent="0.3">
      <c r="A333">
        <v>15269722</v>
      </c>
      <c r="B333" s="3">
        <v>45680</v>
      </c>
      <c r="C333">
        <v>2025</v>
      </c>
      <c r="D333">
        <v>1</v>
      </c>
      <c r="E333" t="s">
        <v>1579</v>
      </c>
      <c r="F333" t="s">
        <v>0</v>
      </c>
      <c r="G333" t="s">
        <v>1</v>
      </c>
      <c r="H333" t="b">
        <v>0</v>
      </c>
      <c r="I333" t="b">
        <v>1</v>
      </c>
      <c r="J333" t="b">
        <v>0</v>
      </c>
      <c r="K333" t="b">
        <v>0</v>
      </c>
      <c r="L333" t="s">
        <v>1852</v>
      </c>
      <c r="M333" t="s">
        <v>939</v>
      </c>
      <c r="N333" t="s">
        <v>2</v>
      </c>
      <c r="O333" t="b">
        <v>1</v>
      </c>
      <c r="P333">
        <v>15</v>
      </c>
      <c r="Q333" t="s">
        <v>611</v>
      </c>
      <c r="R333" t="s">
        <v>612</v>
      </c>
      <c r="S333">
        <v>42</v>
      </c>
      <c r="T333" t="s">
        <v>237</v>
      </c>
      <c r="U333" t="s">
        <v>29</v>
      </c>
      <c r="V333" t="s">
        <v>130</v>
      </c>
      <c r="W333">
        <v>56</v>
      </c>
      <c r="X333" t="s">
        <v>6</v>
      </c>
      <c r="Z333" t="s">
        <v>5</v>
      </c>
      <c r="AA333" t="s">
        <v>5</v>
      </c>
      <c r="AC333" t="s">
        <v>9</v>
      </c>
      <c r="AD333">
        <v>429</v>
      </c>
    </row>
    <row r="334" spans="1:30" x14ac:dyDescent="0.3">
      <c r="A334">
        <v>15272182</v>
      </c>
      <c r="B334" s="3">
        <v>45665</v>
      </c>
      <c r="C334">
        <v>2025</v>
      </c>
      <c r="D334">
        <v>1</v>
      </c>
      <c r="E334" t="s">
        <v>1579</v>
      </c>
      <c r="F334" t="s">
        <v>0</v>
      </c>
      <c r="G334" t="s">
        <v>10</v>
      </c>
      <c r="H334" t="b">
        <v>0</v>
      </c>
      <c r="I334" t="b">
        <v>0</v>
      </c>
      <c r="J334" t="b">
        <v>0</v>
      </c>
      <c r="K334" t="b">
        <v>0</v>
      </c>
      <c r="L334" t="s">
        <v>1085</v>
      </c>
      <c r="M334" t="s">
        <v>180</v>
      </c>
      <c r="N334" t="s">
        <v>5</v>
      </c>
      <c r="O334" t="b">
        <v>0</v>
      </c>
      <c r="P334">
        <v>2</v>
      </c>
      <c r="Q334" t="s">
        <v>289</v>
      </c>
      <c r="R334" t="s">
        <v>290</v>
      </c>
      <c r="S334" t="s">
        <v>5</v>
      </c>
      <c r="T334" t="s">
        <v>183</v>
      </c>
      <c r="U334" t="s">
        <v>271</v>
      </c>
      <c r="V334" t="s">
        <v>292</v>
      </c>
      <c r="W334">
        <v>4</v>
      </c>
      <c r="X334" t="s">
        <v>40</v>
      </c>
      <c r="Z334" t="s">
        <v>5</v>
      </c>
      <c r="AA334" t="s">
        <v>8</v>
      </c>
      <c r="AC334" t="s">
        <v>32</v>
      </c>
      <c r="AD334">
        <v>444</v>
      </c>
    </row>
    <row r="335" spans="1:30" x14ac:dyDescent="0.3">
      <c r="A335">
        <v>15287372</v>
      </c>
      <c r="B335" s="3">
        <v>45683</v>
      </c>
      <c r="C335">
        <v>2025</v>
      </c>
      <c r="D335">
        <v>1</v>
      </c>
      <c r="E335" t="s">
        <v>1579</v>
      </c>
      <c r="F335" t="s">
        <v>0</v>
      </c>
      <c r="G335" t="s">
        <v>10</v>
      </c>
      <c r="H335" t="b">
        <v>0</v>
      </c>
      <c r="I335" t="b">
        <v>0</v>
      </c>
      <c r="J335" t="b">
        <v>0</v>
      </c>
      <c r="K335" t="b">
        <v>0</v>
      </c>
      <c r="L335" t="s">
        <v>1853</v>
      </c>
      <c r="M335" t="s">
        <v>996</v>
      </c>
      <c r="N335" t="s">
        <v>21</v>
      </c>
      <c r="O335" t="b">
        <v>0</v>
      </c>
      <c r="P335">
        <v>19</v>
      </c>
      <c r="Q335" t="s">
        <v>227</v>
      </c>
      <c r="R335" t="s">
        <v>256</v>
      </c>
      <c r="S335" t="s">
        <v>5</v>
      </c>
      <c r="T335" t="s">
        <v>83</v>
      </c>
      <c r="U335" t="s">
        <v>258</v>
      </c>
      <c r="V335" t="s">
        <v>259</v>
      </c>
      <c r="W335">
        <v>45</v>
      </c>
      <c r="X335" t="s">
        <v>6</v>
      </c>
      <c r="Y335">
        <v>68</v>
      </c>
      <c r="Z335" t="s">
        <v>67</v>
      </c>
      <c r="AA335" t="s">
        <v>8</v>
      </c>
      <c r="AB335">
        <v>81</v>
      </c>
      <c r="AC335" t="s">
        <v>5</v>
      </c>
      <c r="AD335">
        <v>426</v>
      </c>
    </row>
    <row r="336" spans="1:30" x14ac:dyDescent="0.3">
      <c r="A336">
        <v>15287881</v>
      </c>
      <c r="B336" s="3">
        <v>45665</v>
      </c>
      <c r="C336">
        <v>2025</v>
      </c>
      <c r="D336">
        <v>1</v>
      </c>
      <c r="E336" t="s">
        <v>1579</v>
      </c>
      <c r="F336" t="s">
        <v>125</v>
      </c>
      <c r="G336" t="s">
        <v>10</v>
      </c>
      <c r="H336" t="b">
        <v>0</v>
      </c>
      <c r="I336" t="b">
        <v>0</v>
      </c>
      <c r="J336" t="b">
        <v>0</v>
      </c>
      <c r="K336" t="b">
        <v>0</v>
      </c>
      <c r="L336" t="s">
        <v>1854</v>
      </c>
      <c r="M336" t="s">
        <v>718</v>
      </c>
      <c r="N336" t="s">
        <v>21</v>
      </c>
      <c r="O336" t="b">
        <v>0</v>
      </c>
      <c r="P336">
        <v>3</v>
      </c>
      <c r="Q336" t="s">
        <v>333</v>
      </c>
      <c r="R336" t="s">
        <v>334</v>
      </c>
      <c r="S336">
        <v>48</v>
      </c>
      <c r="T336" t="s">
        <v>335</v>
      </c>
      <c r="U336" t="s">
        <v>210</v>
      </c>
      <c r="V336" t="s">
        <v>5</v>
      </c>
      <c r="W336">
        <v>9</v>
      </c>
      <c r="X336" t="s">
        <v>6</v>
      </c>
      <c r="Y336">
        <v>49</v>
      </c>
      <c r="Z336" t="s">
        <v>7</v>
      </c>
      <c r="AA336" t="s">
        <v>8</v>
      </c>
      <c r="AB336">
        <v>104.3</v>
      </c>
      <c r="AC336" t="s">
        <v>32</v>
      </c>
      <c r="AD336">
        <v>444</v>
      </c>
    </row>
    <row r="337" spans="1:30" x14ac:dyDescent="0.3">
      <c r="A337">
        <v>15290694</v>
      </c>
      <c r="B337" s="3">
        <v>45687</v>
      </c>
      <c r="C337">
        <v>2025</v>
      </c>
      <c r="D337">
        <v>1</v>
      </c>
      <c r="E337" t="s">
        <v>1579</v>
      </c>
      <c r="F337" t="s">
        <v>0</v>
      </c>
      <c r="G337" t="s">
        <v>10</v>
      </c>
      <c r="H337" t="b">
        <v>0</v>
      </c>
      <c r="I337" t="b">
        <v>0</v>
      </c>
      <c r="J337" t="b">
        <v>0</v>
      </c>
      <c r="K337" t="b">
        <v>0</v>
      </c>
      <c r="L337" t="s">
        <v>1828</v>
      </c>
      <c r="M337" t="s">
        <v>1740</v>
      </c>
      <c r="N337" t="s">
        <v>5</v>
      </c>
      <c r="O337" t="b">
        <v>0</v>
      </c>
      <c r="P337">
        <v>2</v>
      </c>
      <c r="Q337" t="s">
        <v>1820</v>
      </c>
      <c r="R337" t="s">
        <v>5</v>
      </c>
      <c r="S337">
        <v>64</v>
      </c>
      <c r="T337" t="s">
        <v>5</v>
      </c>
      <c r="U337" t="s">
        <v>5</v>
      </c>
      <c r="V337" t="s">
        <v>5</v>
      </c>
      <c r="W337">
        <v>1</v>
      </c>
      <c r="X337" t="s">
        <v>31</v>
      </c>
      <c r="Z337" t="s">
        <v>5</v>
      </c>
      <c r="AA337" t="s">
        <v>5</v>
      </c>
      <c r="AC337" t="s">
        <v>359</v>
      </c>
      <c r="AD337">
        <v>422</v>
      </c>
    </row>
    <row r="338" spans="1:30" x14ac:dyDescent="0.3">
      <c r="A338">
        <v>15297829</v>
      </c>
      <c r="B338" s="3">
        <v>45687</v>
      </c>
      <c r="C338">
        <v>2025</v>
      </c>
      <c r="D338">
        <v>1</v>
      </c>
      <c r="E338" t="s">
        <v>1579</v>
      </c>
      <c r="F338" t="s">
        <v>0</v>
      </c>
      <c r="G338" t="s">
        <v>10</v>
      </c>
      <c r="H338" t="b">
        <v>0</v>
      </c>
      <c r="I338" t="b">
        <v>0</v>
      </c>
      <c r="J338" t="b">
        <v>0</v>
      </c>
      <c r="K338" t="b">
        <v>0</v>
      </c>
      <c r="L338" t="s">
        <v>1828</v>
      </c>
      <c r="M338" t="s">
        <v>1740</v>
      </c>
      <c r="N338" t="s">
        <v>57</v>
      </c>
      <c r="O338" t="b">
        <v>1</v>
      </c>
      <c r="P338">
        <v>2</v>
      </c>
      <c r="Q338" t="s">
        <v>1820</v>
      </c>
      <c r="R338" t="s">
        <v>5</v>
      </c>
      <c r="S338">
        <v>64</v>
      </c>
      <c r="T338" t="s">
        <v>1228</v>
      </c>
      <c r="U338" t="s">
        <v>5</v>
      </c>
      <c r="V338" t="s">
        <v>5</v>
      </c>
      <c r="W338">
        <v>1</v>
      </c>
      <c r="X338" t="s">
        <v>31</v>
      </c>
      <c r="Z338" t="s">
        <v>5</v>
      </c>
      <c r="AA338" t="s">
        <v>5</v>
      </c>
      <c r="AC338" t="s">
        <v>359</v>
      </c>
      <c r="AD338">
        <v>422</v>
      </c>
    </row>
    <row r="339" spans="1:30" x14ac:dyDescent="0.3">
      <c r="A339">
        <v>15313340</v>
      </c>
      <c r="B339" s="3">
        <v>45666</v>
      </c>
      <c r="C339">
        <v>2025</v>
      </c>
      <c r="D339">
        <v>1</v>
      </c>
      <c r="E339" t="s">
        <v>1579</v>
      </c>
      <c r="F339" t="s">
        <v>0</v>
      </c>
      <c r="G339" t="s">
        <v>10</v>
      </c>
      <c r="H339" t="b">
        <v>0</v>
      </c>
      <c r="I339" t="b">
        <v>0</v>
      </c>
      <c r="J339" t="b">
        <v>0</v>
      </c>
      <c r="K339" t="b">
        <v>0</v>
      </c>
      <c r="L339" t="s">
        <v>650</v>
      </c>
      <c r="M339" t="s">
        <v>650</v>
      </c>
      <c r="N339" t="s">
        <v>5</v>
      </c>
      <c r="O339" t="b">
        <v>0</v>
      </c>
      <c r="P339">
        <v>1</v>
      </c>
      <c r="Q339" t="s">
        <v>146</v>
      </c>
      <c r="R339" t="s">
        <v>147</v>
      </c>
      <c r="S339">
        <v>48</v>
      </c>
      <c r="T339" t="s">
        <v>5</v>
      </c>
      <c r="U339" t="s">
        <v>148</v>
      </c>
      <c r="V339" t="s">
        <v>149</v>
      </c>
      <c r="W339">
        <v>1</v>
      </c>
      <c r="X339" t="s">
        <v>31</v>
      </c>
      <c r="Z339" t="s">
        <v>5</v>
      </c>
      <c r="AA339" t="s">
        <v>5</v>
      </c>
      <c r="AC339" t="s">
        <v>1008</v>
      </c>
      <c r="AD339">
        <v>443</v>
      </c>
    </row>
    <row r="340" spans="1:30" x14ac:dyDescent="0.3">
      <c r="A340">
        <v>15314232</v>
      </c>
      <c r="B340" s="3">
        <v>45671</v>
      </c>
      <c r="C340">
        <v>2025</v>
      </c>
      <c r="D340">
        <v>1</v>
      </c>
      <c r="E340" t="s">
        <v>1579</v>
      </c>
      <c r="F340" t="s">
        <v>125</v>
      </c>
      <c r="G340" t="s">
        <v>10</v>
      </c>
      <c r="H340" t="b">
        <v>0</v>
      </c>
      <c r="I340" t="b">
        <v>0</v>
      </c>
      <c r="J340" t="b">
        <v>0</v>
      </c>
      <c r="K340" t="b">
        <v>0</v>
      </c>
      <c r="L340" t="s">
        <v>1855</v>
      </c>
      <c r="M340" t="s">
        <v>159</v>
      </c>
      <c r="N340" t="s">
        <v>5</v>
      </c>
      <c r="O340" t="b">
        <v>0</v>
      </c>
      <c r="P340">
        <v>3</v>
      </c>
      <c r="Q340" t="s">
        <v>226</v>
      </c>
      <c r="R340" t="s">
        <v>227</v>
      </c>
      <c r="S340" t="s">
        <v>5</v>
      </c>
      <c r="T340" t="s">
        <v>80</v>
      </c>
      <c r="U340" t="s">
        <v>228</v>
      </c>
      <c r="V340" t="s">
        <v>5</v>
      </c>
      <c r="W340">
        <v>1</v>
      </c>
      <c r="X340" t="s">
        <v>31</v>
      </c>
      <c r="Y340">
        <v>70</v>
      </c>
      <c r="Z340" t="s">
        <v>67</v>
      </c>
      <c r="AA340" t="s">
        <v>8</v>
      </c>
      <c r="AC340" t="s">
        <v>32</v>
      </c>
      <c r="AD340">
        <v>438</v>
      </c>
    </row>
    <row r="341" spans="1:30" x14ac:dyDescent="0.3">
      <c r="A341">
        <v>15321909</v>
      </c>
      <c r="B341" s="3">
        <v>45674</v>
      </c>
      <c r="C341">
        <v>2025</v>
      </c>
      <c r="D341">
        <v>1</v>
      </c>
      <c r="E341" t="s">
        <v>1579</v>
      </c>
      <c r="F341" t="s">
        <v>0</v>
      </c>
      <c r="G341" t="s">
        <v>1</v>
      </c>
      <c r="H341" t="b">
        <v>0</v>
      </c>
      <c r="I341" t="b">
        <v>1</v>
      </c>
      <c r="J341" t="b">
        <v>0</v>
      </c>
      <c r="K341" t="b">
        <v>0</v>
      </c>
      <c r="L341" t="s">
        <v>1856</v>
      </c>
      <c r="M341" t="s">
        <v>1246</v>
      </c>
      <c r="N341" t="s">
        <v>5</v>
      </c>
      <c r="O341" t="b">
        <v>0</v>
      </c>
      <c r="P341">
        <v>2</v>
      </c>
      <c r="Q341" t="s">
        <v>1096</v>
      </c>
      <c r="R341" t="s">
        <v>5</v>
      </c>
      <c r="S341">
        <v>64</v>
      </c>
      <c r="T341" t="s">
        <v>80</v>
      </c>
      <c r="U341" t="s">
        <v>5</v>
      </c>
      <c r="V341" t="s">
        <v>5</v>
      </c>
      <c r="W341">
        <v>7</v>
      </c>
      <c r="X341" t="s">
        <v>6</v>
      </c>
      <c r="Z341" t="s">
        <v>5</v>
      </c>
      <c r="AA341" t="s">
        <v>5</v>
      </c>
      <c r="AC341" t="s">
        <v>20</v>
      </c>
      <c r="AD341">
        <v>435</v>
      </c>
    </row>
    <row r="342" spans="1:30" x14ac:dyDescent="0.3">
      <c r="A342">
        <v>15342725</v>
      </c>
      <c r="B342" s="3">
        <v>45687</v>
      </c>
      <c r="C342">
        <v>2025</v>
      </c>
      <c r="D342">
        <v>1</v>
      </c>
      <c r="E342" t="s">
        <v>1579</v>
      </c>
      <c r="F342" t="s">
        <v>0</v>
      </c>
      <c r="G342" t="s">
        <v>10</v>
      </c>
      <c r="H342" t="b">
        <v>0</v>
      </c>
      <c r="I342" t="b">
        <v>0</v>
      </c>
      <c r="J342" t="b">
        <v>0</v>
      </c>
      <c r="K342" t="b">
        <v>0</v>
      </c>
      <c r="L342" t="s">
        <v>1857</v>
      </c>
      <c r="M342" t="s">
        <v>378</v>
      </c>
      <c r="N342" t="s">
        <v>174</v>
      </c>
      <c r="O342" t="b">
        <v>0</v>
      </c>
      <c r="P342">
        <v>6</v>
      </c>
      <c r="Q342" t="s">
        <v>418</v>
      </c>
      <c r="R342" t="s">
        <v>419</v>
      </c>
      <c r="S342">
        <v>50</v>
      </c>
      <c r="T342" t="s">
        <v>150</v>
      </c>
      <c r="U342" t="s">
        <v>177</v>
      </c>
      <c r="V342" t="s">
        <v>5</v>
      </c>
      <c r="W342">
        <v>3</v>
      </c>
      <c r="X342" t="s">
        <v>14</v>
      </c>
      <c r="Z342" t="s">
        <v>5</v>
      </c>
      <c r="AA342" t="s">
        <v>15</v>
      </c>
      <c r="AC342" t="s">
        <v>32</v>
      </c>
      <c r="AD342">
        <v>422</v>
      </c>
    </row>
    <row r="343" spans="1:30" x14ac:dyDescent="0.3">
      <c r="A343">
        <v>15344364</v>
      </c>
      <c r="B343" s="3">
        <v>45664</v>
      </c>
      <c r="C343">
        <v>2025</v>
      </c>
      <c r="D343">
        <v>1</v>
      </c>
      <c r="E343" t="s">
        <v>1579</v>
      </c>
      <c r="F343" t="s">
        <v>0</v>
      </c>
      <c r="G343" t="s">
        <v>50</v>
      </c>
      <c r="H343" t="b">
        <v>1</v>
      </c>
      <c r="I343" t="b">
        <v>0</v>
      </c>
      <c r="J343" t="b">
        <v>0</v>
      </c>
      <c r="K343" t="b">
        <v>0</v>
      </c>
      <c r="L343" t="s">
        <v>1305</v>
      </c>
      <c r="M343" t="s">
        <v>1305</v>
      </c>
      <c r="N343" t="s">
        <v>5</v>
      </c>
      <c r="O343" t="b">
        <v>0</v>
      </c>
      <c r="P343">
        <v>1</v>
      </c>
      <c r="Q343" t="s">
        <v>681</v>
      </c>
      <c r="R343" t="s">
        <v>5</v>
      </c>
      <c r="S343">
        <v>42</v>
      </c>
      <c r="T343" t="s">
        <v>5</v>
      </c>
      <c r="U343" t="s">
        <v>5</v>
      </c>
      <c r="V343" t="s">
        <v>5</v>
      </c>
      <c r="W343">
        <v>1</v>
      </c>
      <c r="X343" t="s">
        <v>31</v>
      </c>
      <c r="Z343" t="s">
        <v>5</v>
      </c>
      <c r="AA343" t="s">
        <v>5</v>
      </c>
      <c r="AC343" t="s">
        <v>716</v>
      </c>
      <c r="AD343">
        <v>445</v>
      </c>
    </row>
    <row r="344" spans="1:30" x14ac:dyDescent="0.3">
      <c r="A344">
        <v>15344551</v>
      </c>
      <c r="B344" s="3">
        <v>45681</v>
      </c>
      <c r="C344">
        <v>2025</v>
      </c>
      <c r="D344">
        <v>1</v>
      </c>
      <c r="E344" t="s">
        <v>1579</v>
      </c>
      <c r="F344" t="s">
        <v>125</v>
      </c>
      <c r="G344" t="s">
        <v>10</v>
      </c>
      <c r="H344" t="b">
        <v>0</v>
      </c>
      <c r="I344" t="b">
        <v>0</v>
      </c>
      <c r="J344" t="b">
        <v>0</v>
      </c>
      <c r="K344" t="b">
        <v>0</v>
      </c>
      <c r="L344" t="s">
        <v>159</v>
      </c>
      <c r="M344" t="s">
        <v>159</v>
      </c>
      <c r="N344" t="s">
        <v>5</v>
      </c>
      <c r="O344" t="b">
        <v>0</v>
      </c>
      <c r="P344">
        <v>1</v>
      </c>
      <c r="Q344" t="s">
        <v>491</v>
      </c>
      <c r="R344" t="s">
        <v>492</v>
      </c>
      <c r="S344">
        <v>48</v>
      </c>
      <c r="T344" t="s">
        <v>150</v>
      </c>
      <c r="U344" t="s">
        <v>277</v>
      </c>
      <c r="V344" t="s">
        <v>493</v>
      </c>
      <c r="W344">
        <v>1</v>
      </c>
      <c r="X344" t="s">
        <v>31</v>
      </c>
      <c r="Y344">
        <v>59</v>
      </c>
      <c r="Z344" t="s">
        <v>7</v>
      </c>
      <c r="AA344" t="s">
        <v>8</v>
      </c>
      <c r="AC344" t="s">
        <v>32</v>
      </c>
      <c r="AD344">
        <v>428</v>
      </c>
    </row>
    <row r="345" spans="1:30" x14ac:dyDescent="0.3">
      <c r="A345">
        <v>15354386</v>
      </c>
      <c r="B345" s="3">
        <v>45664</v>
      </c>
      <c r="C345">
        <v>2025</v>
      </c>
      <c r="D345">
        <v>1</v>
      </c>
      <c r="E345" t="s">
        <v>1579</v>
      </c>
      <c r="F345" t="s">
        <v>0</v>
      </c>
      <c r="G345" t="s">
        <v>10</v>
      </c>
      <c r="H345" t="b">
        <v>0</v>
      </c>
      <c r="I345" t="b">
        <v>0</v>
      </c>
      <c r="J345" t="b">
        <v>0</v>
      </c>
      <c r="K345" t="b">
        <v>0</v>
      </c>
      <c r="L345" t="s">
        <v>1858</v>
      </c>
      <c r="M345" t="s">
        <v>236</v>
      </c>
      <c r="N345" t="s">
        <v>140</v>
      </c>
      <c r="O345" t="b">
        <v>0</v>
      </c>
      <c r="P345">
        <v>7</v>
      </c>
      <c r="Q345" t="s">
        <v>611</v>
      </c>
      <c r="R345" t="s">
        <v>612</v>
      </c>
      <c r="S345">
        <v>42</v>
      </c>
      <c r="T345" t="s">
        <v>291</v>
      </c>
      <c r="U345" t="s">
        <v>29</v>
      </c>
      <c r="V345" t="s">
        <v>130</v>
      </c>
      <c r="W345">
        <v>23</v>
      </c>
      <c r="X345" t="s">
        <v>6</v>
      </c>
      <c r="Z345" t="s">
        <v>5</v>
      </c>
      <c r="AA345" t="s">
        <v>5</v>
      </c>
      <c r="AC345" t="s">
        <v>9</v>
      </c>
      <c r="AD345">
        <v>445</v>
      </c>
    </row>
    <row r="346" spans="1:30" x14ac:dyDescent="0.3">
      <c r="A346">
        <v>15368262</v>
      </c>
      <c r="B346" s="3">
        <v>45659</v>
      </c>
      <c r="C346">
        <v>2025</v>
      </c>
      <c r="D346">
        <v>1</v>
      </c>
      <c r="E346" t="s">
        <v>1579</v>
      </c>
      <c r="F346" t="s">
        <v>0</v>
      </c>
      <c r="G346" t="s">
        <v>10</v>
      </c>
      <c r="H346" t="b">
        <v>0</v>
      </c>
      <c r="I346" t="b">
        <v>0</v>
      </c>
      <c r="J346" t="b">
        <v>0</v>
      </c>
      <c r="K346" t="b">
        <v>0</v>
      </c>
      <c r="L346" t="s">
        <v>117</v>
      </c>
      <c r="M346" t="s">
        <v>117</v>
      </c>
      <c r="N346" t="s">
        <v>5</v>
      </c>
      <c r="O346" t="b">
        <v>0</v>
      </c>
      <c r="P346">
        <v>1</v>
      </c>
      <c r="Q346" t="s">
        <v>169</v>
      </c>
      <c r="R346" t="s">
        <v>170</v>
      </c>
      <c r="S346">
        <v>42</v>
      </c>
      <c r="T346" t="s">
        <v>921</v>
      </c>
      <c r="U346" t="s">
        <v>106</v>
      </c>
      <c r="V346" t="s">
        <v>172</v>
      </c>
      <c r="W346">
        <v>1</v>
      </c>
      <c r="X346" t="s">
        <v>31</v>
      </c>
      <c r="Z346" t="s">
        <v>5</v>
      </c>
      <c r="AA346" t="s">
        <v>5</v>
      </c>
      <c r="AC346" t="s">
        <v>25</v>
      </c>
      <c r="AD346">
        <v>450</v>
      </c>
    </row>
    <row r="347" spans="1:30" x14ac:dyDescent="0.3">
      <c r="A347">
        <v>15386753</v>
      </c>
      <c r="B347" s="3">
        <v>45666</v>
      </c>
      <c r="C347">
        <v>2025</v>
      </c>
      <c r="D347">
        <v>1</v>
      </c>
      <c r="E347" t="s">
        <v>1579</v>
      </c>
      <c r="F347" t="s">
        <v>0</v>
      </c>
      <c r="G347" t="s">
        <v>10</v>
      </c>
      <c r="H347" t="b">
        <v>0</v>
      </c>
      <c r="I347" t="b">
        <v>0</v>
      </c>
      <c r="J347" t="b">
        <v>0</v>
      </c>
      <c r="K347" t="b">
        <v>0</v>
      </c>
      <c r="L347" t="s">
        <v>1148</v>
      </c>
      <c r="M347" t="s">
        <v>1148</v>
      </c>
      <c r="N347" t="s">
        <v>5</v>
      </c>
      <c r="O347" t="b">
        <v>0</v>
      </c>
      <c r="P347">
        <v>1</v>
      </c>
      <c r="Q347" t="s">
        <v>1089</v>
      </c>
      <c r="R347" t="s">
        <v>1090</v>
      </c>
      <c r="S347" t="s">
        <v>5</v>
      </c>
      <c r="T347" t="s">
        <v>296</v>
      </c>
      <c r="U347" t="s">
        <v>1092</v>
      </c>
      <c r="V347" t="s">
        <v>1093</v>
      </c>
      <c r="W347">
        <v>3</v>
      </c>
      <c r="X347" t="s">
        <v>14</v>
      </c>
      <c r="Y347">
        <v>62</v>
      </c>
      <c r="Z347" t="s">
        <v>7</v>
      </c>
      <c r="AA347" t="s">
        <v>8</v>
      </c>
      <c r="AC347" t="s">
        <v>1021</v>
      </c>
      <c r="AD347">
        <v>443</v>
      </c>
    </row>
    <row r="348" spans="1:30" x14ac:dyDescent="0.3">
      <c r="A348">
        <v>15392348</v>
      </c>
      <c r="B348" s="3">
        <v>45660</v>
      </c>
      <c r="C348">
        <v>2025</v>
      </c>
      <c r="D348">
        <v>1</v>
      </c>
      <c r="E348" t="s">
        <v>1579</v>
      </c>
      <c r="F348" t="s">
        <v>0</v>
      </c>
      <c r="G348" t="s">
        <v>1</v>
      </c>
      <c r="H348" t="b">
        <v>0</v>
      </c>
      <c r="I348" t="b">
        <v>1</v>
      </c>
      <c r="J348" t="b">
        <v>0</v>
      </c>
      <c r="K348" t="b">
        <v>0</v>
      </c>
      <c r="L348" t="s">
        <v>1859</v>
      </c>
      <c r="M348" t="s">
        <v>806</v>
      </c>
      <c r="N348" t="s">
        <v>57</v>
      </c>
      <c r="O348" t="b">
        <v>1</v>
      </c>
      <c r="P348">
        <v>3</v>
      </c>
      <c r="Q348" t="s">
        <v>208</v>
      </c>
      <c r="R348" t="s">
        <v>209</v>
      </c>
      <c r="S348">
        <v>48</v>
      </c>
      <c r="T348" t="s">
        <v>80</v>
      </c>
      <c r="U348" t="s">
        <v>210</v>
      </c>
      <c r="V348" t="s">
        <v>5</v>
      </c>
      <c r="W348">
        <v>2</v>
      </c>
      <c r="X348" t="s">
        <v>14</v>
      </c>
      <c r="Y348">
        <v>55</v>
      </c>
      <c r="Z348" t="s">
        <v>7</v>
      </c>
      <c r="AA348" t="s">
        <v>8</v>
      </c>
      <c r="AB348">
        <v>90.703000000000003</v>
      </c>
      <c r="AC348" t="s">
        <v>32</v>
      </c>
      <c r="AD348">
        <v>449</v>
      </c>
    </row>
    <row r="349" spans="1:30" x14ac:dyDescent="0.3">
      <c r="A349">
        <v>15412664</v>
      </c>
      <c r="B349" s="3">
        <v>45671</v>
      </c>
      <c r="C349">
        <v>2025</v>
      </c>
      <c r="D349">
        <v>1</v>
      </c>
      <c r="E349" t="s">
        <v>1579</v>
      </c>
      <c r="F349" t="s">
        <v>0</v>
      </c>
      <c r="G349" t="s">
        <v>1</v>
      </c>
      <c r="H349" t="b">
        <v>0</v>
      </c>
      <c r="I349" t="b">
        <v>1</v>
      </c>
      <c r="J349" t="b">
        <v>0</v>
      </c>
      <c r="K349" t="b">
        <v>0</v>
      </c>
      <c r="L349" t="s">
        <v>1860</v>
      </c>
      <c r="M349" t="s">
        <v>185</v>
      </c>
      <c r="N349" t="s">
        <v>118</v>
      </c>
      <c r="O349" t="b">
        <v>0</v>
      </c>
      <c r="P349">
        <v>32</v>
      </c>
      <c r="Q349" t="s">
        <v>343</v>
      </c>
      <c r="R349" t="s">
        <v>344</v>
      </c>
      <c r="S349">
        <v>58</v>
      </c>
      <c r="T349" t="s">
        <v>345</v>
      </c>
      <c r="U349" t="s">
        <v>4</v>
      </c>
      <c r="V349" t="s">
        <v>5</v>
      </c>
      <c r="W349">
        <v>16</v>
      </c>
      <c r="X349" t="s">
        <v>6</v>
      </c>
      <c r="Y349">
        <v>9</v>
      </c>
      <c r="Z349" t="s">
        <v>46</v>
      </c>
      <c r="AA349" t="s">
        <v>8</v>
      </c>
      <c r="AB349">
        <v>50</v>
      </c>
      <c r="AC349" t="s">
        <v>101</v>
      </c>
      <c r="AD349">
        <v>438</v>
      </c>
    </row>
    <row r="350" spans="1:30" x14ac:dyDescent="0.3">
      <c r="A350">
        <v>15414000</v>
      </c>
      <c r="B350" s="3">
        <v>45684</v>
      </c>
      <c r="C350">
        <v>2025</v>
      </c>
      <c r="D350">
        <v>1</v>
      </c>
      <c r="E350" t="s">
        <v>1579</v>
      </c>
      <c r="F350" t="s">
        <v>0</v>
      </c>
      <c r="G350" t="s">
        <v>1</v>
      </c>
      <c r="H350" t="b">
        <v>0</v>
      </c>
      <c r="I350" t="b">
        <v>1</v>
      </c>
      <c r="J350" t="b">
        <v>0</v>
      </c>
      <c r="K350" t="b">
        <v>0</v>
      </c>
      <c r="L350" t="s">
        <v>1861</v>
      </c>
      <c r="M350" t="s">
        <v>1236</v>
      </c>
      <c r="N350" t="s">
        <v>2</v>
      </c>
      <c r="O350" t="b">
        <v>1</v>
      </c>
      <c r="P350">
        <v>13</v>
      </c>
      <c r="Q350" t="s">
        <v>343</v>
      </c>
      <c r="R350" t="s">
        <v>344</v>
      </c>
      <c r="S350">
        <v>58</v>
      </c>
      <c r="T350" t="s">
        <v>1356</v>
      </c>
      <c r="U350" t="s">
        <v>4</v>
      </c>
      <c r="V350" t="s">
        <v>5</v>
      </c>
      <c r="W350">
        <v>50</v>
      </c>
      <c r="X350" t="s">
        <v>6</v>
      </c>
      <c r="Y350">
        <v>30</v>
      </c>
      <c r="Z350" t="s">
        <v>61</v>
      </c>
      <c r="AA350" t="s">
        <v>8</v>
      </c>
      <c r="AB350">
        <v>97.6</v>
      </c>
      <c r="AC350" t="s">
        <v>20</v>
      </c>
      <c r="AD350">
        <v>425</v>
      </c>
    </row>
    <row r="351" spans="1:30" x14ac:dyDescent="0.3">
      <c r="A351">
        <v>15422200</v>
      </c>
      <c r="B351" s="3">
        <v>45677</v>
      </c>
      <c r="C351">
        <v>2025</v>
      </c>
      <c r="D351">
        <v>1</v>
      </c>
      <c r="E351" t="s">
        <v>1579</v>
      </c>
      <c r="F351" t="s">
        <v>125</v>
      </c>
      <c r="G351" t="s">
        <v>10</v>
      </c>
      <c r="H351" t="b">
        <v>0</v>
      </c>
      <c r="I351" t="b">
        <v>0</v>
      </c>
      <c r="J351" t="b">
        <v>0</v>
      </c>
      <c r="K351" t="b">
        <v>0</v>
      </c>
      <c r="L351" t="s">
        <v>1862</v>
      </c>
      <c r="M351" t="s">
        <v>295</v>
      </c>
      <c r="N351" t="s">
        <v>5</v>
      </c>
      <c r="O351" t="b">
        <v>0</v>
      </c>
      <c r="P351">
        <v>2</v>
      </c>
      <c r="Q351" t="s">
        <v>175</v>
      </c>
      <c r="R351" t="s">
        <v>176</v>
      </c>
      <c r="S351">
        <v>50</v>
      </c>
      <c r="T351" t="s">
        <v>150</v>
      </c>
      <c r="U351" t="s">
        <v>177</v>
      </c>
      <c r="V351" t="s">
        <v>178</v>
      </c>
      <c r="W351">
        <v>4</v>
      </c>
      <c r="X351" t="s">
        <v>40</v>
      </c>
      <c r="Z351" t="s">
        <v>5</v>
      </c>
      <c r="AA351" t="s">
        <v>8</v>
      </c>
      <c r="AC351" t="s">
        <v>32</v>
      </c>
      <c r="AD351">
        <v>432</v>
      </c>
    </row>
    <row r="352" spans="1:30" x14ac:dyDescent="0.3">
      <c r="A352">
        <v>15429083</v>
      </c>
      <c r="B352" s="3">
        <v>45666</v>
      </c>
      <c r="C352">
        <v>2025</v>
      </c>
      <c r="D352">
        <v>1</v>
      </c>
      <c r="E352" t="s">
        <v>1579</v>
      </c>
      <c r="F352" t="s">
        <v>0</v>
      </c>
      <c r="G352" t="s">
        <v>10</v>
      </c>
      <c r="H352" t="b">
        <v>0</v>
      </c>
      <c r="I352" t="b">
        <v>0</v>
      </c>
      <c r="J352" t="b">
        <v>0</v>
      </c>
      <c r="K352" t="b">
        <v>0</v>
      </c>
      <c r="L352" t="s">
        <v>1863</v>
      </c>
      <c r="M352" t="s">
        <v>315</v>
      </c>
      <c r="N352" t="s">
        <v>5</v>
      </c>
      <c r="O352" t="b">
        <v>0</v>
      </c>
      <c r="P352">
        <v>2</v>
      </c>
      <c r="Q352" t="s">
        <v>333</v>
      </c>
      <c r="R352" t="s">
        <v>334</v>
      </c>
      <c r="S352" t="s">
        <v>5</v>
      </c>
      <c r="T352" t="s">
        <v>335</v>
      </c>
      <c r="U352" t="s">
        <v>210</v>
      </c>
      <c r="V352" t="s">
        <v>5</v>
      </c>
      <c r="W352">
        <v>3</v>
      </c>
      <c r="X352" t="s">
        <v>14</v>
      </c>
      <c r="Y352">
        <v>76</v>
      </c>
      <c r="Z352" t="s">
        <v>67</v>
      </c>
      <c r="AA352" t="s">
        <v>8</v>
      </c>
      <c r="AC352" t="s">
        <v>32</v>
      </c>
      <c r="AD352">
        <v>443</v>
      </c>
    </row>
    <row r="353" spans="1:30" x14ac:dyDescent="0.3">
      <c r="A353">
        <v>15433337</v>
      </c>
      <c r="B353" s="3">
        <v>45678</v>
      </c>
      <c r="C353">
        <v>2025</v>
      </c>
      <c r="D353">
        <v>1</v>
      </c>
      <c r="E353" t="s">
        <v>1579</v>
      </c>
      <c r="F353" t="s">
        <v>0</v>
      </c>
      <c r="G353" t="s">
        <v>1006</v>
      </c>
      <c r="H353" t="b">
        <v>1</v>
      </c>
      <c r="I353" t="b">
        <v>0</v>
      </c>
      <c r="J353" t="b">
        <v>1</v>
      </c>
      <c r="K353" t="b">
        <v>0</v>
      </c>
      <c r="L353" t="s">
        <v>1467</v>
      </c>
      <c r="M353" t="s">
        <v>50</v>
      </c>
      <c r="N353" t="s">
        <v>5</v>
      </c>
      <c r="O353" t="b">
        <v>0</v>
      </c>
      <c r="P353">
        <v>2</v>
      </c>
      <c r="Q353" t="s">
        <v>1493</v>
      </c>
      <c r="R353" t="s">
        <v>1494</v>
      </c>
      <c r="S353">
        <v>42</v>
      </c>
      <c r="T353" t="s">
        <v>5</v>
      </c>
      <c r="U353" t="s">
        <v>106</v>
      </c>
      <c r="V353" t="s">
        <v>5</v>
      </c>
      <c r="W353">
        <v>1</v>
      </c>
      <c r="X353" t="s">
        <v>31</v>
      </c>
      <c r="Z353" t="s">
        <v>5</v>
      </c>
      <c r="AA353" t="s">
        <v>15</v>
      </c>
      <c r="AC353" t="s">
        <v>32</v>
      </c>
      <c r="AD353">
        <v>431</v>
      </c>
    </row>
    <row r="354" spans="1:30" x14ac:dyDescent="0.3">
      <c r="A354">
        <v>15438826</v>
      </c>
      <c r="B354" s="3">
        <v>45679</v>
      </c>
      <c r="C354">
        <v>2025</v>
      </c>
      <c r="D354">
        <v>1</v>
      </c>
      <c r="E354" t="s">
        <v>1579</v>
      </c>
      <c r="F354" t="s">
        <v>0</v>
      </c>
      <c r="G354" t="s">
        <v>10</v>
      </c>
      <c r="H354" t="b">
        <v>0</v>
      </c>
      <c r="I354" t="b">
        <v>0</v>
      </c>
      <c r="J354" t="b">
        <v>0</v>
      </c>
      <c r="K354" t="b">
        <v>0</v>
      </c>
      <c r="L354" t="s">
        <v>1864</v>
      </c>
      <c r="M354" t="s">
        <v>278</v>
      </c>
      <c r="N354" t="s">
        <v>174</v>
      </c>
      <c r="O354" t="b">
        <v>0</v>
      </c>
      <c r="P354">
        <v>3</v>
      </c>
      <c r="Q354" t="s">
        <v>78</v>
      </c>
      <c r="R354" t="s">
        <v>79</v>
      </c>
      <c r="S354">
        <v>42</v>
      </c>
      <c r="T354" t="s">
        <v>862</v>
      </c>
      <c r="U354" t="s">
        <v>81</v>
      </c>
      <c r="V354" t="s">
        <v>82</v>
      </c>
      <c r="W354">
        <v>1</v>
      </c>
      <c r="X354" t="s">
        <v>31</v>
      </c>
      <c r="Y354">
        <v>35</v>
      </c>
      <c r="Z354" t="s">
        <v>61</v>
      </c>
      <c r="AA354" t="s">
        <v>8</v>
      </c>
      <c r="AC354" t="s">
        <v>233</v>
      </c>
      <c r="AD354">
        <v>430</v>
      </c>
    </row>
    <row r="355" spans="1:30" x14ac:dyDescent="0.3">
      <c r="A355">
        <v>15438839</v>
      </c>
      <c r="B355" s="3">
        <v>45666</v>
      </c>
      <c r="C355">
        <v>2025</v>
      </c>
      <c r="D355">
        <v>1</v>
      </c>
      <c r="E355" t="s">
        <v>1579</v>
      </c>
      <c r="F355" t="s">
        <v>125</v>
      </c>
      <c r="G355" t="s">
        <v>10</v>
      </c>
      <c r="H355" t="b">
        <v>0</v>
      </c>
      <c r="I355" t="b">
        <v>0</v>
      </c>
      <c r="J355" t="b">
        <v>0</v>
      </c>
      <c r="K355" t="b">
        <v>0</v>
      </c>
      <c r="L355" t="s">
        <v>192</v>
      </c>
      <c r="M355" t="s">
        <v>192</v>
      </c>
      <c r="N355" t="s">
        <v>5</v>
      </c>
      <c r="O355" t="b">
        <v>0</v>
      </c>
      <c r="P355">
        <v>1</v>
      </c>
      <c r="Q355" t="s">
        <v>127</v>
      </c>
      <c r="R355" t="s">
        <v>128</v>
      </c>
      <c r="S355">
        <v>65</v>
      </c>
      <c r="T355" t="s">
        <v>83</v>
      </c>
      <c r="U355" t="s">
        <v>129</v>
      </c>
      <c r="V355" t="s">
        <v>130</v>
      </c>
      <c r="W355">
        <v>4</v>
      </c>
      <c r="X355" t="s">
        <v>40</v>
      </c>
      <c r="Y355">
        <v>45</v>
      </c>
      <c r="Z355" t="s">
        <v>7</v>
      </c>
      <c r="AA355" t="s">
        <v>15</v>
      </c>
      <c r="AC355" t="s">
        <v>32</v>
      </c>
      <c r="AD355">
        <v>443</v>
      </c>
    </row>
    <row r="356" spans="1:30" x14ac:dyDescent="0.3">
      <c r="A356">
        <v>15449708</v>
      </c>
      <c r="B356" s="3">
        <v>45667</v>
      </c>
      <c r="C356">
        <v>2025</v>
      </c>
      <c r="D356">
        <v>1</v>
      </c>
      <c r="E356" t="s">
        <v>1579</v>
      </c>
      <c r="F356" t="s">
        <v>0</v>
      </c>
      <c r="G356" t="s">
        <v>151</v>
      </c>
      <c r="H356" t="b">
        <v>0</v>
      </c>
      <c r="I356" t="b">
        <v>1</v>
      </c>
      <c r="J356" t="b">
        <v>0</v>
      </c>
      <c r="K356" t="b">
        <v>1</v>
      </c>
      <c r="L356" t="s">
        <v>1865</v>
      </c>
      <c r="M356" t="s">
        <v>1449</v>
      </c>
      <c r="N356" t="s">
        <v>63</v>
      </c>
      <c r="O356" t="b">
        <v>0</v>
      </c>
      <c r="P356">
        <v>15</v>
      </c>
      <c r="Q356" t="s">
        <v>1504</v>
      </c>
      <c r="R356" t="s">
        <v>1505</v>
      </c>
      <c r="S356">
        <v>65</v>
      </c>
      <c r="T356" t="s">
        <v>5</v>
      </c>
      <c r="U356" t="s">
        <v>1506</v>
      </c>
      <c r="V356" t="s">
        <v>1507</v>
      </c>
      <c r="W356">
        <v>25</v>
      </c>
      <c r="X356" t="s">
        <v>6</v>
      </c>
      <c r="Y356">
        <v>60</v>
      </c>
      <c r="Z356" t="s">
        <v>7</v>
      </c>
      <c r="AA356" t="s">
        <v>8</v>
      </c>
      <c r="AB356">
        <v>97</v>
      </c>
      <c r="AC356" t="s">
        <v>56</v>
      </c>
      <c r="AD356">
        <v>442</v>
      </c>
    </row>
    <row r="357" spans="1:30" x14ac:dyDescent="0.3">
      <c r="A357">
        <v>15451919</v>
      </c>
      <c r="B357" s="3">
        <v>45680</v>
      </c>
      <c r="C357">
        <v>2025</v>
      </c>
      <c r="D357">
        <v>1</v>
      </c>
      <c r="E357" t="s">
        <v>1579</v>
      </c>
      <c r="F357" t="s">
        <v>0</v>
      </c>
      <c r="G357" t="s">
        <v>10</v>
      </c>
      <c r="H357" t="b">
        <v>0</v>
      </c>
      <c r="I357" t="b">
        <v>0</v>
      </c>
      <c r="J357" t="b">
        <v>0</v>
      </c>
      <c r="K357" t="b">
        <v>0</v>
      </c>
      <c r="L357" t="s">
        <v>1866</v>
      </c>
      <c r="M357" t="s">
        <v>832</v>
      </c>
      <c r="N357" t="s">
        <v>118</v>
      </c>
      <c r="O357" t="b">
        <v>0</v>
      </c>
      <c r="P357">
        <v>18</v>
      </c>
      <c r="Q357" t="s">
        <v>289</v>
      </c>
      <c r="R357" t="s">
        <v>290</v>
      </c>
      <c r="S357" t="s">
        <v>5</v>
      </c>
      <c r="T357" t="s">
        <v>291</v>
      </c>
      <c r="U357" t="s">
        <v>271</v>
      </c>
      <c r="V357" t="s">
        <v>292</v>
      </c>
      <c r="W357">
        <v>22</v>
      </c>
      <c r="X357" t="s">
        <v>6</v>
      </c>
      <c r="Y357">
        <v>69</v>
      </c>
      <c r="Z357" t="s">
        <v>67</v>
      </c>
      <c r="AA357" t="s">
        <v>8</v>
      </c>
      <c r="AC357" t="s">
        <v>9</v>
      </c>
      <c r="AD357">
        <v>429</v>
      </c>
    </row>
    <row r="358" spans="1:30" x14ac:dyDescent="0.3">
      <c r="A358">
        <v>15452901</v>
      </c>
      <c r="B358" s="3">
        <v>45665</v>
      </c>
      <c r="C358">
        <v>2025</v>
      </c>
      <c r="D358">
        <v>1</v>
      </c>
      <c r="E358" t="s">
        <v>1579</v>
      </c>
      <c r="F358" t="s">
        <v>0</v>
      </c>
      <c r="G358" t="s">
        <v>197</v>
      </c>
      <c r="H358" t="b">
        <v>1</v>
      </c>
      <c r="I358" t="b">
        <v>1</v>
      </c>
      <c r="J358" t="b">
        <v>0</v>
      </c>
      <c r="K358" t="b">
        <v>0</v>
      </c>
      <c r="L358" t="s">
        <v>1867</v>
      </c>
      <c r="M358" t="s">
        <v>883</v>
      </c>
      <c r="N358" t="s">
        <v>940</v>
      </c>
      <c r="O358" t="b">
        <v>1</v>
      </c>
      <c r="P358">
        <v>7</v>
      </c>
      <c r="Q358" t="s">
        <v>444</v>
      </c>
      <c r="R358" t="s">
        <v>445</v>
      </c>
      <c r="S358">
        <v>42</v>
      </c>
      <c r="T358" t="s">
        <v>619</v>
      </c>
      <c r="U358" t="s">
        <v>447</v>
      </c>
      <c r="V358" t="s">
        <v>172</v>
      </c>
      <c r="W358">
        <v>17</v>
      </c>
      <c r="X358" t="s">
        <v>6</v>
      </c>
      <c r="Y358">
        <v>76</v>
      </c>
      <c r="Z358" t="s">
        <v>67</v>
      </c>
      <c r="AA358" t="s">
        <v>15</v>
      </c>
      <c r="AC358" t="s">
        <v>101</v>
      </c>
      <c r="AD358">
        <v>444</v>
      </c>
    </row>
    <row r="359" spans="1:30" x14ac:dyDescent="0.3">
      <c r="A359">
        <v>15457211</v>
      </c>
      <c r="B359" s="3">
        <v>45681</v>
      </c>
      <c r="C359">
        <v>2025</v>
      </c>
      <c r="D359">
        <v>1</v>
      </c>
      <c r="E359" t="s">
        <v>1579</v>
      </c>
      <c r="F359" t="s">
        <v>0</v>
      </c>
      <c r="G359" t="s">
        <v>960</v>
      </c>
      <c r="H359" t="b">
        <v>1</v>
      </c>
      <c r="I359" t="b">
        <v>1</v>
      </c>
      <c r="J359" t="b">
        <v>1</v>
      </c>
      <c r="K359" t="b">
        <v>1</v>
      </c>
      <c r="L359" t="s">
        <v>1868</v>
      </c>
      <c r="M359" t="s">
        <v>352</v>
      </c>
      <c r="N359" t="s">
        <v>63</v>
      </c>
      <c r="O359" t="b">
        <v>0</v>
      </c>
      <c r="P359">
        <v>5</v>
      </c>
      <c r="Q359" t="s">
        <v>169</v>
      </c>
      <c r="R359" t="s">
        <v>170</v>
      </c>
      <c r="S359">
        <v>41</v>
      </c>
      <c r="T359" t="s">
        <v>1136</v>
      </c>
      <c r="U359" t="s">
        <v>106</v>
      </c>
      <c r="V359" t="s">
        <v>172</v>
      </c>
      <c r="W359">
        <v>9</v>
      </c>
      <c r="X359" t="s">
        <v>6</v>
      </c>
      <c r="Z359" t="s">
        <v>5</v>
      </c>
      <c r="AA359" t="s">
        <v>8</v>
      </c>
      <c r="AB359">
        <v>59</v>
      </c>
      <c r="AC359" t="s">
        <v>20</v>
      </c>
      <c r="AD359">
        <v>428</v>
      </c>
    </row>
    <row r="360" spans="1:30" x14ac:dyDescent="0.3">
      <c r="A360">
        <v>15461621</v>
      </c>
      <c r="B360" s="3">
        <v>45671</v>
      </c>
      <c r="C360">
        <v>2025</v>
      </c>
      <c r="D360">
        <v>1</v>
      </c>
      <c r="E360" t="s">
        <v>1579</v>
      </c>
      <c r="F360" t="s">
        <v>0</v>
      </c>
      <c r="G360" t="s">
        <v>10</v>
      </c>
      <c r="H360" t="b">
        <v>0</v>
      </c>
      <c r="I360" t="b">
        <v>0</v>
      </c>
      <c r="J360" t="b">
        <v>0</v>
      </c>
      <c r="K360" t="b">
        <v>0</v>
      </c>
      <c r="L360" t="s">
        <v>1869</v>
      </c>
      <c r="M360" t="s">
        <v>841</v>
      </c>
      <c r="N360" t="s">
        <v>2</v>
      </c>
      <c r="O360" t="b">
        <v>1</v>
      </c>
      <c r="P360">
        <v>12</v>
      </c>
      <c r="Q360" t="s">
        <v>588</v>
      </c>
      <c r="R360" t="s">
        <v>589</v>
      </c>
      <c r="S360" t="s">
        <v>5</v>
      </c>
      <c r="T360" t="s">
        <v>590</v>
      </c>
      <c r="U360" t="s">
        <v>591</v>
      </c>
      <c r="V360" t="s">
        <v>592</v>
      </c>
      <c r="W360">
        <v>13</v>
      </c>
      <c r="X360" t="s">
        <v>6</v>
      </c>
      <c r="Y360">
        <v>57</v>
      </c>
      <c r="Z360" t="s">
        <v>7</v>
      </c>
      <c r="AA360" t="s">
        <v>8</v>
      </c>
      <c r="AB360">
        <v>56</v>
      </c>
      <c r="AC360" t="s">
        <v>32</v>
      </c>
      <c r="AD360">
        <v>438</v>
      </c>
    </row>
    <row r="361" spans="1:30" x14ac:dyDescent="0.3">
      <c r="A361">
        <v>15470018</v>
      </c>
      <c r="B361" s="3">
        <v>45660</v>
      </c>
      <c r="C361">
        <v>2025</v>
      </c>
      <c r="D361">
        <v>1</v>
      </c>
      <c r="E361" t="s">
        <v>1579</v>
      </c>
      <c r="F361" t="s">
        <v>0</v>
      </c>
      <c r="G361" t="s">
        <v>1</v>
      </c>
      <c r="H361" t="b">
        <v>0</v>
      </c>
      <c r="I361" t="b">
        <v>1</v>
      </c>
      <c r="J361" t="b">
        <v>0</v>
      </c>
      <c r="K361" t="b">
        <v>0</v>
      </c>
      <c r="L361" t="s">
        <v>1870</v>
      </c>
      <c r="M361" t="s">
        <v>353</v>
      </c>
      <c r="N361" t="s">
        <v>5</v>
      </c>
      <c r="O361" t="b">
        <v>0</v>
      </c>
      <c r="P361">
        <v>18</v>
      </c>
      <c r="Q361" t="s">
        <v>521</v>
      </c>
      <c r="R361" t="s">
        <v>522</v>
      </c>
      <c r="S361">
        <v>65</v>
      </c>
      <c r="T361" t="s">
        <v>414</v>
      </c>
      <c r="U361" t="s">
        <v>523</v>
      </c>
      <c r="V361" t="s">
        <v>5</v>
      </c>
      <c r="W361">
        <v>29</v>
      </c>
      <c r="X361" t="s">
        <v>6</v>
      </c>
      <c r="Y361">
        <v>36</v>
      </c>
      <c r="Z361" t="s">
        <v>61</v>
      </c>
      <c r="AA361" t="s">
        <v>8</v>
      </c>
      <c r="AC361" t="s">
        <v>254</v>
      </c>
      <c r="AD361">
        <v>449</v>
      </c>
    </row>
    <row r="362" spans="1:30" x14ac:dyDescent="0.3">
      <c r="A362">
        <v>15479526</v>
      </c>
      <c r="B362" s="3">
        <v>45684</v>
      </c>
      <c r="C362">
        <v>2025</v>
      </c>
      <c r="D362">
        <v>1</v>
      </c>
      <c r="E362" t="s">
        <v>1579</v>
      </c>
      <c r="F362" t="s">
        <v>0</v>
      </c>
      <c r="G362" t="s">
        <v>50</v>
      </c>
      <c r="H362" t="b">
        <v>1</v>
      </c>
      <c r="I362" t="b">
        <v>0</v>
      </c>
      <c r="J362" t="b">
        <v>0</v>
      </c>
      <c r="K362" t="b">
        <v>0</v>
      </c>
      <c r="L362" t="s">
        <v>273</v>
      </c>
      <c r="M362" t="s">
        <v>274</v>
      </c>
      <c r="N362" t="s">
        <v>5</v>
      </c>
      <c r="O362" t="b">
        <v>0</v>
      </c>
      <c r="P362">
        <v>2</v>
      </c>
      <c r="Q362" t="s">
        <v>287</v>
      </c>
      <c r="R362" t="s">
        <v>830</v>
      </c>
      <c r="S362">
        <v>64</v>
      </c>
      <c r="T362" t="s">
        <v>5</v>
      </c>
      <c r="U362" t="s">
        <v>831</v>
      </c>
      <c r="V362" t="s">
        <v>5</v>
      </c>
      <c r="W362">
        <v>9</v>
      </c>
      <c r="X362" t="s">
        <v>6</v>
      </c>
      <c r="Z362" t="s">
        <v>5</v>
      </c>
      <c r="AA362" t="s">
        <v>5</v>
      </c>
      <c r="AC362" t="s">
        <v>9</v>
      </c>
      <c r="AD362">
        <v>425</v>
      </c>
    </row>
    <row r="363" spans="1:30" x14ac:dyDescent="0.3">
      <c r="A363">
        <v>15488576</v>
      </c>
      <c r="B363" s="3">
        <v>45670</v>
      </c>
      <c r="C363">
        <v>2025</v>
      </c>
      <c r="D363">
        <v>1</v>
      </c>
      <c r="E363" t="s">
        <v>1579</v>
      </c>
      <c r="F363" t="s">
        <v>0</v>
      </c>
      <c r="G363" t="s">
        <v>1</v>
      </c>
      <c r="H363" t="b">
        <v>0</v>
      </c>
      <c r="I363" t="b">
        <v>1</v>
      </c>
      <c r="J363" t="b">
        <v>0</v>
      </c>
      <c r="K363" t="b">
        <v>0</v>
      </c>
      <c r="L363" t="s">
        <v>1871</v>
      </c>
      <c r="M363" t="s">
        <v>1279</v>
      </c>
      <c r="N363" t="s">
        <v>140</v>
      </c>
      <c r="O363" t="b">
        <v>0</v>
      </c>
      <c r="P363">
        <v>20</v>
      </c>
      <c r="Q363" t="s">
        <v>208</v>
      </c>
      <c r="R363" t="s">
        <v>209</v>
      </c>
      <c r="S363">
        <v>48</v>
      </c>
      <c r="T363" t="s">
        <v>183</v>
      </c>
      <c r="U363" t="s">
        <v>210</v>
      </c>
      <c r="V363" t="s">
        <v>5</v>
      </c>
      <c r="W363">
        <v>10</v>
      </c>
      <c r="X363" t="s">
        <v>6</v>
      </c>
      <c r="Y363">
        <v>78</v>
      </c>
      <c r="Z363" t="s">
        <v>67</v>
      </c>
      <c r="AA363" t="s">
        <v>8</v>
      </c>
      <c r="AB363">
        <v>63</v>
      </c>
      <c r="AC363" t="s">
        <v>32</v>
      </c>
      <c r="AD363">
        <v>439</v>
      </c>
    </row>
    <row r="364" spans="1:30" x14ac:dyDescent="0.3">
      <c r="A364">
        <v>15508303</v>
      </c>
      <c r="B364" s="3">
        <v>45687</v>
      </c>
      <c r="C364">
        <v>2025</v>
      </c>
      <c r="D364">
        <v>1</v>
      </c>
      <c r="E364" t="s">
        <v>1579</v>
      </c>
      <c r="F364" t="s">
        <v>0</v>
      </c>
      <c r="G364" t="s">
        <v>1</v>
      </c>
      <c r="H364" t="b">
        <v>0</v>
      </c>
      <c r="I364" t="b">
        <v>1</v>
      </c>
      <c r="J364" t="b">
        <v>0</v>
      </c>
      <c r="K364" t="b">
        <v>0</v>
      </c>
      <c r="L364" t="s">
        <v>1872</v>
      </c>
      <c r="M364" t="s">
        <v>1272</v>
      </c>
      <c r="N364" t="s">
        <v>12</v>
      </c>
      <c r="O364" t="b">
        <v>1</v>
      </c>
      <c r="P364">
        <v>6</v>
      </c>
      <c r="Q364" t="s">
        <v>553</v>
      </c>
      <c r="R364" t="s">
        <v>554</v>
      </c>
      <c r="S364">
        <v>41</v>
      </c>
      <c r="T364" t="s">
        <v>605</v>
      </c>
      <c r="U364" t="s">
        <v>277</v>
      </c>
      <c r="V364" t="s">
        <v>555</v>
      </c>
      <c r="W364">
        <v>16</v>
      </c>
      <c r="X364" t="s">
        <v>6</v>
      </c>
      <c r="Y364">
        <v>34</v>
      </c>
      <c r="Z364" t="s">
        <v>61</v>
      </c>
      <c r="AA364" t="s">
        <v>8</v>
      </c>
      <c r="AB364">
        <v>59</v>
      </c>
      <c r="AC364" t="s">
        <v>199</v>
      </c>
      <c r="AD364">
        <v>422</v>
      </c>
    </row>
    <row r="365" spans="1:30" x14ac:dyDescent="0.3">
      <c r="A365">
        <v>15518826</v>
      </c>
      <c r="B365" s="3">
        <v>45660</v>
      </c>
      <c r="C365">
        <v>2025</v>
      </c>
      <c r="D365">
        <v>1</v>
      </c>
      <c r="E365" t="s">
        <v>1579</v>
      </c>
      <c r="F365" t="s">
        <v>0</v>
      </c>
      <c r="G365" t="s">
        <v>10</v>
      </c>
      <c r="H365" t="b">
        <v>0</v>
      </c>
      <c r="I365" t="b">
        <v>0</v>
      </c>
      <c r="J365" t="b">
        <v>0</v>
      </c>
      <c r="K365" t="b">
        <v>0</v>
      </c>
      <c r="L365" t="s">
        <v>1873</v>
      </c>
      <c r="M365" t="s">
        <v>725</v>
      </c>
      <c r="N365" t="s">
        <v>70</v>
      </c>
      <c r="O365" t="b">
        <v>0</v>
      </c>
      <c r="P365">
        <v>18</v>
      </c>
      <c r="Q365" t="s">
        <v>141</v>
      </c>
      <c r="R365" t="s">
        <v>142</v>
      </c>
      <c r="S365">
        <v>48</v>
      </c>
      <c r="T365" t="s">
        <v>143</v>
      </c>
      <c r="U365" t="s">
        <v>144</v>
      </c>
      <c r="V365" t="s">
        <v>5</v>
      </c>
      <c r="W365">
        <v>20</v>
      </c>
      <c r="X365" t="s">
        <v>6</v>
      </c>
      <c r="Y365">
        <v>28</v>
      </c>
      <c r="Z365" t="s">
        <v>61</v>
      </c>
      <c r="AA365" t="s">
        <v>8</v>
      </c>
      <c r="AC365" t="s">
        <v>32</v>
      </c>
      <c r="AD365">
        <v>449</v>
      </c>
    </row>
    <row r="366" spans="1:30" x14ac:dyDescent="0.3">
      <c r="A366">
        <v>15525885</v>
      </c>
      <c r="B366" s="3">
        <v>45681</v>
      </c>
      <c r="C366">
        <v>2025</v>
      </c>
      <c r="D366">
        <v>1</v>
      </c>
      <c r="E366" t="s">
        <v>1579</v>
      </c>
      <c r="F366" t="s">
        <v>0</v>
      </c>
      <c r="G366" t="s">
        <v>1</v>
      </c>
      <c r="H366" t="b">
        <v>0</v>
      </c>
      <c r="I366" t="b">
        <v>1</v>
      </c>
      <c r="J366" t="b">
        <v>0</v>
      </c>
      <c r="K366" t="b">
        <v>0</v>
      </c>
      <c r="L366" t="s">
        <v>1874</v>
      </c>
      <c r="M366" t="s">
        <v>532</v>
      </c>
      <c r="N366" t="s">
        <v>140</v>
      </c>
      <c r="O366" t="b">
        <v>0</v>
      </c>
      <c r="P366">
        <v>7</v>
      </c>
      <c r="Q366" t="s">
        <v>141</v>
      </c>
      <c r="R366" t="s">
        <v>142</v>
      </c>
      <c r="S366">
        <v>48</v>
      </c>
      <c r="T366" t="s">
        <v>143</v>
      </c>
      <c r="U366" t="s">
        <v>144</v>
      </c>
      <c r="V366" t="s">
        <v>5</v>
      </c>
      <c r="W366">
        <v>28</v>
      </c>
      <c r="X366" t="s">
        <v>6</v>
      </c>
      <c r="Z366" t="s">
        <v>5</v>
      </c>
      <c r="AA366" t="s">
        <v>8</v>
      </c>
      <c r="AC366" t="s">
        <v>32</v>
      </c>
      <c r="AD366">
        <v>428</v>
      </c>
    </row>
    <row r="367" spans="1:30" x14ac:dyDescent="0.3">
      <c r="A367">
        <v>15539747</v>
      </c>
      <c r="B367" s="3">
        <v>45664</v>
      </c>
      <c r="C367">
        <v>2025</v>
      </c>
      <c r="D367">
        <v>1</v>
      </c>
      <c r="E367" t="s">
        <v>1579</v>
      </c>
      <c r="F367" t="s">
        <v>125</v>
      </c>
      <c r="G367" t="s">
        <v>10</v>
      </c>
      <c r="H367" t="b">
        <v>0</v>
      </c>
      <c r="I367" t="b">
        <v>0</v>
      </c>
      <c r="J367" t="b">
        <v>0</v>
      </c>
      <c r="K367" t="b">
        <v>0</v>
      </c>
      <c r="L367" t="s">
        <v>1875</v>
      </c>
      <c r="M367" t="s">
        <v>517</v>
      </c>
      <c r="N367" t="s">
        <v>17</v>
      </c>
      <c r="O367" t="b">
        <v>0</v>
      </c>
      <c r="P367">
        <v>6</v>
      </c>
      <c r="Q367" t="s">
        <v>367</v>
      </c>
      <c r="R367" t="s">
        <v>368</v>
      </c>
      <c r="S367">
        <v>42</v>
      </c>
      <c r="T367" t="s">
        <v>60</v>
      </c>
      <c r="U367" t="s">
        <v>81</v>
      </c>
      <c r="V367" t="s">
        <v>82</v>
      </c>
      <c r="W367">
        <v>2</v>
      </c>
      <c r="X367" t="s">
        <v>14</v>
      </c>
      <c r="Y367">
        <v>28</v>
      </c>
      <c r="Z367" t="s">
        <v>61</v>
      </c>
      <c r="AA367" t="s">
        <v>8</v>
      </c>
      <c r="AC367" t="s">
        <v>9</v>
      </c>
      <c r="AD367">
        <v>445</v>
      </c>
    </row>
    <row r="368" spans="1:30" x14ac:dyDescent="0.3">
      <c r="A368">
        <v>15543143</v>
      </c>
      <c r="B368" s="3">
        <v>45688</v>
      </c>
      <c r="C368">
        <v>2025</v>
      </c>
      <c r="D368">
        <v>1</v>
      </c>
      <c r="E368" t="s">
        <v>1579</v>
      </c>
      <c r="F368" t="s">
        <v>125</v>
      </c>
      <c r="G368" t="s">
        <v>10</v>
      </c>
      <c r="H368" t="b">
        <v>0</v>
      </c>
      <c r="I368" t="b">
        <v>0</v>
      </c>
      <c r="J368" t="b">
        <v>0</v>
      </c>
      <c r="K368" t="b">
        <v>0</v>
      </c>
      <c r="L368" t="s">
        <v>1876</v>
      </c>
      <c r="M368" t="s">
        <v>704</v>
      </c>
      <c r="N368" t="s">
        <v>94</v>
      </c>
      <c r="O368" t="b">
        <v>1</v>
      </c>
      <c r="P368">
        <v>4</v>
      </c>
      <c r="Q368" t="s">
        <v>693</v>
      </c>
      <c r="R368" t="s">
        <v>5</v>
      </c>
      <c r="S368" t="s">
        <v>5</v>
      </c>
      <c r="T368" t="s">
        <v>83</v>
      </c>
      <c r="U368" t="s">
        <v>5</v>
      </c>
      <c r="V368" t="s">
        <v>5</v>
      </c>
      <c r="W368">
        <v>6</v>
      </c>
      <c r="X368" t="s">
        <v>6</v>
      </c>
      <c r="Y368">
        <v>34</v>
      </c>
      <c r="Z368" t="s">
        <v>61</v>
      </c>
      <c r="AA368" t="s">
        <v>8</v>
      </c>
      <c r="AC368" t="s">
        <v>32</v>
      </c>
      <c r="AD368">
        <v>421</v>
      </c>
    </row>
    <row r="369" spans="1:30" x14ac:dyDescent="0.3">
      <c r="A369">
        <v>15548175</v>
      </c>
      <c r="B369" s="3">
        <v>45685</v>
      </c>
      <c r="C369">
        <v>2025</v>
      </c>
      <c r="D369">
        <v>1</v>
      </c>
      <c r="E369" t="s">
        <v>1579</v>
      </c>
      <c r="F369" t="s">
        <v>0</v>
      </c>
      <c r="G369" t="s">
        <v>10</v>
      </c>
      <c r="H369" t="b">
        <v>0</v>
      </c>
      <c r="I369" t="b">
        <v>0</v>
      </c>
      <c r="J369" t="b">
        <v>0</v>
      </c>
      <c r="K369" t="b">
        <v>0</v>
      </c>
      <c r="L369" t="s">
        <v>1877</v>
      </c>
      <c r="M369" t="s">
        <v>792</v>
      </c>
      <c r="N369" t="s">
        <v>70</v>
      </c>
      <c r="O369" t="b">
        <v>0</v>
      </c>
      <c r="P369">
        <v>10</v>
      </c>
      <c r="Q369" t="s">
        <v>289</v>
      </c>
      <c r="R369" t="s">
        <v>290</v>
      </c>
      <c r="S369" t="s">
        <v>5</v>
      </c>
      <c r="T369" t="s">
        <v>291</v>
      </c>
      <c r="U369" t="s">
        <v>271</v>
      </c>
      <c r="V369" t="s">
        <v>292</v>
      </c>
      <c r="W369">
        <v>24</v>
      </c>
      <c r="X369" t="s">
        <v>6</v>
      </c>
      <c r="Y369">
        <v>72</v>
      </c>
      <c r="Z369" t="s">
        <v>67</v>
      </c>
      <c r="AA369" t="s">
        <v>15</v>
      </c>
      <c r="AC369" t="s">
        <v>9</v>
      </c>
      <c r="AD369">
        <v>424</v>
      </c>
    </row>
    <row r="370" spans="1:30" x14ac:dyDescent="0.3">
      <c r="A370">
        <v>15549465</v>
      </c>
      <c r="B370" s="3">
        <v>45660</v>
      </c>
      <c r="C370">
        <v>2025</v>
      </c>
      <c r="D370">
        <v>1</v>
      </c>
      <c r="E370" t="s">
        <v>1579</v>
      </c>
      <c r="F370" t="s">
        <v>125</v>
      </c>
      <c r="G370" t="s">
        <v>10</v>
      </c>
      <c r="H370" t="b">
        <v>0</v>
      </c>
      <c r="I370" t="b">
        <v>0</v>
      </c>
      <c r="J370" t="b">
        <v>0</v>
      </c>
      <c r="K370" t="b">
        <v>0</v>
      </c>
      <c r="L370" t="s">
        <v>192</v>
      </c>
      <c r="M370" t="s">
        <v>192</v>
      </c>
      <c r="N370" t="s">
        <v>5</v>
      </c>
      <c r="O370" t="b">
        <v>0</v>
      </c>
      <c r="P370">
        <v>1</v>
      </c>
      <c r="Q370" t="s">
        <v>226</v>
      </c>
      <c r="R370" t="s">
        <v>227</v>
      </c>
      <c r="S370" t="s">
        <v>5</v>
      </c>
      <c r="T370" t="s">
        <v>5</v>
      </c>
      <c r="U370" t="s">
        <v>228</v>
      </c>
      <c r="V370" t="s">
        <v>5</v>
      </c>
      <c r="W370">
        <v>7</v>
      </c>
      <c r="X370" t="s">
        <v>6</v>
      </c>
      <c r="Y370">
        <v>68</v>
      </c>
      <c r="Z370" t="s">
        <v>67</v>
      </c>
      <c r="AA370" t="s">
        <v>8</v>
      </c>
      <c r="AC370" t="s">
        <v>32</v>
      </c>
      <c r="AD370">
        <v>449</v>
      </c>
    </row>
    <row r="371" spans="1:30" x14ac:dyDescent="0.3">
      <c r="A371">
        <v>15551245</v>
      </c>
      <c r="B371" s="3">
        <v>45671</v>
      </c>
      <c r="C371">
        <v>2025</v>
      </c>
      <c r="D371">
        <v>1</v>
      </c>
      <c r="E371" t="s">
        <v>1579</v>
      </c>
      <c r="F371" t="s">
        <v>0</v>
      </c>
      <c r="G371" t="s">
        <v>1</v>
      </c>
      <c r="H371" t="b">
        <v>0</v>
      </c>
      <c r="I371" t="b">
        <v>1</v>
      </c>
      <c r="J371" t="b">
        <v>0</v>
      </c>
      <c r="K371" t="b">
        <v>0</v>
      </c>
      <c r="L371" t="s">
        <v>1878</v>
      </c>
      <c r="M371" t="s">
        <v>1159</v>
      </c>
      <c r="N371" t="s">
        <v>63</v>
      </c>
      <c r="O371" t="b">
        <v>0</v>
      </c>
      <c r="P371">
        <v>12</v>
      </c>
      <c r="Q371" t="s">
        <v>651</v>
      </c>
      <c r="R371" t="s">
        <v>652</v>
      </c>
      <c r="S371">
        <v>65</v>
      </c>
      <c r="T371" t="s">
        <v>71</v>
      </c>
      <c r="U371" t="s">
        <v>653</v>
      </c>
      <c r="V371" t="s">
        <v>5</v>
      </c>
      <c r="W371">
        <v>6</v>
      </c>
      <c r="X371" t="s">
        <v>6</v>
      </c>
      <c r="Y371">
        <v>67</v>
      </c>
      <c r="Z371" t="s">
        <v>67</v>
      </c>
      <c r="AA371" t="s">
        <v>8</v>
      </c>
      <c r="AB371">
        <v>49</v>
      </c>
      <c r="AC371" t="s">
        <v>154</v>
      </c>
      <c r="AD371">
        <v>438</v>
      </c>
    </row>
    <row r="372" spans="1:30" x14ac:dyDescent="0.3">
      <c r="A372">
        <v>15551355</v>
      </c>
      <c r="B372" s="3">
        <v>45680</v>
      </c>
      <c r="C372">
        <v>2025</v>
      </c>
      <c r="D372">
        <v>1</v>
      </c>
      <c r="E372" t="s">
        <v>1579</v>
      </c>
      <c r="F372" t="s">
        <v>0</v>
      </c>
      <c r="G372" t="s">
        <v>903</v>
      </c>
      <c r="H372" t="b">
        <v>0</v>
      </c>
      <c r="I372" t="b">
        <v>1</v>
      </c>
      <c r="J372" t="b">
        <v>0</v>
      </c>
      <c r="K372" t="b">
        <v>0</v>
      </c>
      <c r="L372" t="s">
        <v>1879</v>
      </c>
      <c r="M372" t="s">
        <v>733</v>
      </c>
      <c r="N372" t="s">
        <v>57</v>
      </c>
      <c r="O372" t="b">
        <v>1</v>
      </c>
      <c r="P372">
        <v>9</v>
      </c>
      <c r="Q372" t="s">
        <v>471</v>
      </c>
      <c r="R372" t="s">
        <v>472</v>
      </c>
      <c r="S372">
        <v>64</v>
      </c>
      <c r="T372" t="s">
        <v>83</v>
      </c>
      <c r="U372" t="s">
        <v>473</v>
      </c>
      <c r="V372" t="s">
        <v>5</v>
      </c>
      <c r="W372">
        <v>44</v>
      </c>
      <c r="X372" t="s">
        <v>6</v>
      </c>
      <c r="Z372" t="s">
        <v>5</v>
      </c>
      <c r="AA372" t="s">
        <v>5</v>
      </c>
      <c r="AC372" t="s">
        <v>9</v>
      </c>
      <c r="AD372">
        <v>429</v>
      </c>
    </row>
    <row r="373" spans="1:30" x14ac:dyDescent="0.3">
      <c r="A373">
        <v>15551360</v>
      </c>
      <c r="B373" s="3">
        <v>45658</v>
      </c>
      <c r="C373">
        <v>2025</v>
      </c>
      <c r="D373">
        <v>1</v>
      </c>
      <c r="E373" t="s">
        <v>1579</v>
      </c>
      <c r="F373" t="s">
        <v>0</v>
      </c>
      <c r="G373" t="s">
        <v>1</v>
      </c>
      <c r="H373" t="b">
        <v>0</v>
      </c>
      <c r="I373" t="b">
        <v>1</v>
      </c>
      <c r="J373" t="b">
        <v>0</v>
      </c>
      <c r="K373" t="b">
        <v>0</v>
      </c>
      <c r="L373" t="s">
        <v>1880</v>
      </c>
      <c r="M373" t="s">
        <v>541</v>
      </c>
      <c r="N373" t="s">
        <v>5</v>
      </c>
      <c r="O373" t="b">
        <v>0</v>
      </c>
      <c r="P373">
        <v>24</v>
      </c>
      <c r="Q373" t="s">
        <v>471</v>
      </c>
      <c r="R373" t="s">
        <v>472</v>
      </c>
      <c r="S373">
        <v>65</v>
      </c>
      <c r="T373" t="s">
        <v>166</v>
      </c>
      <c r="U373" t="s">
        <v>473</v>
      </c>
      <c r="V373" t="s">
        <v>5</v>
      </c>
      <c r="W373">
        <v>378</v>
      </c>
      <c r="X373" t="s">
        <v>5</v>
      </c>
      <c r="Z373" t="s">
        <v>5</v>
      </c>
      <c r="AA373" t="s">
        <v>5</v>
      </c>
      <c r="AC373" t="s">
        <v>9</v>
      </c>
      <c r="AD373">
        <v>451</v>
      </c>
    </row>
    <row r="374" spans="1:30" x14ac:dyDescent="0.3">
      <c r="A374">
        <v>15554028</v>
      </c>
      <c r="B374" s="3">
        <v>45686</v>
      </c>
      <c r="C374">
        <v>2025</v>
      </c>
      <c r="D374">
        <v>1</v>
      </c>
      <c r="E374" t="s">
        <v>1579</v>
      </c>
      <c r="F374" t="s">
        <v>0</v>
      </c>
      <c r="G374" t="s">
        <v>10</v>
      </c>
      <c r="H374" t="b">
        <v>0</v>
      </c>
      <c r="I374" t="b">
        <v>0</v>
      </c>
      <c r="J374" t="b">
        <v>0</v>
      </c>
      <c r="K374" t="b">
        <v>0</v>
      </c>
      <c r="L374" t="s">
        <v>1881</v>
      </c>
      <c r="M374" t="s">
        <v>1208</v>
      </c>
      <c r="N374" t="s">
        <v>57</v>
      </c>
      <c r="O374" t="b">
        <v>1</v>
      </c>
      <c r="P374">
        <v>6</v>
      </c>
      <c r="Q374" t="s">
        <v>482</v>
      </c>
      <c r="R374" t="s">
        <v>483</v>
      </c>
      <c r="S374">
        <v>50</v>
      </c>
      <c r="T374" t="s">
        <v>484</v>
      </c>
      <c r="U374" t="s">
        <v>177</v>
      </c>
      <c r="V374" t="s">
        <v>485</v>
      </c>
      <c r="W374">
        <v>26</v>
      </c>
      <c r="X374" t="s">
        <v>6</v>
      </c>
      <c r="Y374">
        <v>2</v>
      </c>
      <c r="Z374" t="s">
        <v>219</v>
      </c>
      <c r="AA374" t="s">
        <v>15</v>
      </c>
      <c r="AB374">
        <v>8.1999999999999993</v>
      </c>
      <c r="AC374" t="s">
        <v>20</v>
      </c>
      <c r="AD374">
        <v>423</v>
      </c>
    </row>
    <row r="375" spans="1:30" x14ac:dyDescent="0.3">
      <c r="A375">
        <v>15558764</v>
      </c>
      <c r="B375" s="3">
        <v>45678</v>
      </c>
      <c r="C375">
        <v>2025</v>
      </c>
      <c r="D375">
        <v>1</v>
      </c>
      <c r="E375" t="s">
        <v>1579</v>
      </c>
      <c r="F375" t="s">
        <v>125</v>
      </c>
      <c r="G375" t="s">
        <v>10</v>
      </c>
      <c r="H375" t="b">
        <v>0</v>
      </c>
      <c r="I375" t="b">
        <v>0</v>
      </c>
      <c r="J375" t="b">
        <v>0</v>
      </c>
      <c r="K375" t="b">
        <v>0</v>
      </c>
      <c r="L375" t="s">
        <v>1882</v>
      </c>
      <c r="M375" t="s">
        <v>666</v>
      </c>
      <c r="N375" t="s">
        <v>2</v>
      </c>
      <c r="O375" t="b">
        <v>1</v>
      </c>
      <c r="P375">
        <v>8</v>
      </c>
      <c r="Q375" t="s">
        <v>367</v>
      </c>
      <c r="R375" t="s">
        <v>368</v>
      </c>
      <c r="S375">
        <v>42</v>
      </c>
      <c r="T375" t="s">
        <v>60</v>
      </c>
      <c r="U375" t="s">
        <v>81</v>
      </c>
      <c r="V375" t="s">
        <v>82</v>
      </c>
      <c r="W375">
        <v>6</v>
      </c>
      <c r="X375" t="s">
        <v>6</v>
      </c>
      <c r="Y375">
        <v>38</v>
      </c>
      <c r="Z375" t="s">
        <v>61</v>
      </c>
      <c r="AA375" t="s">
        <v>8</v>
      </c>
      <c r="AC375" t="s">
        <v>101</v>
      </c>
      <c r="AD375">
        <v>431</v>
      </c>
    </row>
    <row r="376" spans="1:30" x14ac:dyDescent="0.3">
      <c r="A376">
        <v>15568922</v>
      </c>
      <c r="B376" s="3">
        <v>45660</v>
      </c>
      <c r="C376">
        <v>2025</v>
      </c>
      <c r="D376">
        <v>1</v>
      </c>
      <c r="E376" t="s">
        <v>1579</v>
      </c>
      <c r="F376" t="s">
        <v>0</v>
      </c>
      <c r="G376" t="s">
        <v>1</v>
      </c>
      <c r="H376" t="b">
        <v>0</v>
      </c>
      <c r="I376" t="b">
        <v>1</v>
      </c>
      <c r="J376" t="b">
        <v>0</v>
      </c>
      <c r="K376" t="b">
        <v>0</v>
      </c>
      <c r="L376" t="s">
        <v>1883</v>
      </c>
      <c r="M376" t="s">
        <v>244</v>
      </c>
      <c r="N376" t="s">
        <v>2</v>
      </c>
      <c r="O376" t="b">
        <v>1</v>
      </c>
      <c r="P376">
        <v>11</v>
      </c>
      <c r="Q376" t="s">
        <v>367</v>
      </c>
      <c r="R376" t="s">
        <v>368</v>
      </c>
      <c r="S376">
        <v>42</v>
      </c>
      <c r="T376" t="s">
        <v>60</v>
      </c>
      <c r="U376" t="s">
        <v>81</v>
      </c>
      <c r="V376" t="s">
        <v>82</v>
      </c>
      <c r="W376">
        <v>7</v>
      </c>
      <c r="X376" t="s">
        <v>6</v>
      </c>
      <c r="Y376">
        <v>45</v>
      </c>
      <c r="Z376" t="s">
        <v>7</v>
      </c>
      <c r="AA376" t="s">
        <v>15</v>
      </c>
      <c r="AC376" t="s">
        <v>101</v>
      </c>
      <c r="AD376">
        <v>449</v>
      </c>
    </row>
    <row r="377" spans="1:30" x14ac:dyDescent="0.3">
      <c r="A377">
        <v>15570052</v>
      </c>
      <c r="B377" s="3">
        <v>45665</v>
      </c>
      <c r="C377">
        <v>2025</v>
      </c>
      <c r="D377">
        <v>1</v>
      </c>
      <c r="E377" t="s">
        <v>1579</v>
      </c>
      <c r="F377" t="s">
        <v>125</v>
      </c>
      <c r="G377" t="s">
        <v>10</v>
      </c>
      <c r="H377" t="b">
        <v>0</v>
      </c>
      <c r="I377" t="b">
        <v>0</v>
      </c>
      <c r="J377" t="b">
        <v>0</v>
      </c>
      <c r="K377" t="b">
        <v>0</v>
      </c>
      <c r="L377" t="s">
        <v>1395</v>
      </c>
      <c r="M377" t="s">
        <v>1395</v>
      </c>
      <c r="N377" t="s">
        <v>12</v>
      </c>
      <c r="O377" t="b">
        <v>1</v>
      </c>
      <c r="P377">
        <v>1</v>
      </c>
      <c r="Q377" t="s">
        <v>625</v>
      </c>
      <c r="R377" t="s">
        <v>626</v>
      </c>
      <c r="S377">
        <v>65</v>
      </c>
      <c r="T377" t="s">
        <v>1477</v>
      </c>
      <c r="U377" t="s">
        <v>627</v>
      </c>
      <c r="V377" t="s">
        <v>628</v>
      </c>
      <c r="W377">
        <v>2</v>
      </c>
      <c r="X377" t="s">
        <v>14</v>
      </c>
      <c r="Y377">
        <v>58</v>
      </c>
      <c r="Z377" t="s">
        <v>7</v>
      </c>
      <c r="AA377" t="s">
        <v>15</v>
      </c>
      <c r="AC377" t="s">
        <v>32</v>
      </c>
      <c r="AD377">
        <v>444</v>
      </c>
    </row>
    <row r="378" spans="1:30" x14ac:dyDescent="0.3">
      <c r="A378">
        <v>15571430</v>
      </c>
      <c r="B378" s="3">
        <v>45686</v>
      </c>
      <c r="C378">
        <v>2025</v>
      </c>
      <c r="D378">
        <v>1</v>
      </c>
      <c r="E378" t="s">
        <v>1579</v>
      </c>
      <c r="F378" t="s">
        <v>0</v>
      </c>
      <c r="G378" t="s">
        <v>10</v>
      </c>
      <c r="H378" t="b">
        <v>0</v>
      </c>
      <c r="I378" t="b">
        <v>0</v>
      </c>
      <c r="J378" t="b">
        <v>0</v>
      </c>
      <c r="K378" t="b">
        <v>0</v>
      </c>
      <c r="L378" t="s">
        <v>1884</v>
      </c>
      <c r="M378" t="s">
        <v>1517</v>
      </c>
      <c r="N378" t="s">
        <v>17</v>
      </c>
      <c r="O378" t="b">
        <v>0</v>
      </c>
      <c r="P378">
        <v>3</v>
      </c>
      <c r="Q378" t="s">
        <v>1239</v>
      </c>
      <c r="R378" t="s">
        <v>1240</v>
      </c>
      <c r="S378">
        <v>61</v>
      </c>
      <c r="T378" t="s">
        <v>457</v>
      </c>
      <c r="U378" t="s">
        <v>1241</v>
      </c>
      <c r="V378" t="s">
        <v>5</v>
      </c>
      <c r="W378">
        <v>5</v>
      </c>
      <c r="X378" t="s">
        <v>40</v>
      </c>
      <c r="Y378">
        <v>32</v>
      </c>
      <c r="Z378" t="s">
        <v>61</v>
      </c>
      <c r="AA378" t="s">
        <v>8</v>
      </c>
      <c r="AC378" t="s">
        <v>32</v>
      </c>
      <c r="AD378">
        <v>423</v>
      </c>
    </row>
    <row r="379" spans="1:30" x14ac:dyDescent="0.3">
      <c r="A379">
        <v>15592437</v>
      </c>
      <c r="B379" s="3">
        <v>45659</v>
      </c>
      <c r="C379">
        <v>2025</v>
      </c>
      <c r="D379">
        <v>1</v>
      </c>
      <c r="E379" t="s">
        <v>1579</v>
      </c>
      <c r="F379" t="s">
        <v>125</v>
      </c>
      <c r="G379" t="s">
        <v>10</v>
      </c>
      <c r="H379" t="b">
        <v>0</v>
      </c>
      <c r="I379" t="b">
        <v>0</v>
      </c>
      <c r="J379" t="b">
        <v>0</v>
      </c>
      <c r="K379" t="b">
        <v>0</v>
      </c>
      <c r="L379" t="s">
        <v>1885</v>
      </c>
      <c r="M379" t="s">
        <v>1701</v>
      </c>
      <c r="N379" t="s">
        <v>118</v>
      </c>
      <c r="O379" t="b">
        <v>0</v>
      </c>
      <c r="P379">
        <v>4</v>
      </c>
      <c r="Q379" t="s">
        <v>333</v>
      </c>
      <c r="R379" t="s">
        <v>334</v>
      </c>
      <c r="S379">
        <v>48</v>
      </c>
      <c r="T379" t="s">
        <v>335</v>
      </c>
      <c r="U379" t="s">
        <v>210</v>
      </c>
      <c r="V379" t="s">
        <v>5</v>
      </c>
      <c r="W379">
        <v>4</v>
      </c>
      <c r="X379" t="s">
        <v>40</v>
      </c>
      <c r="Y379">
        <v>67</v>
      </c>
      <c r="Z379" t="s">
        <v>67</v>
      </c>
      <c r="AA379" t="s">
        <v>15</v>
      </c>
      <c r="AB379">
        <v>77.097999999999999</v>
      </c>
      <c r="AC379" t="s">
        <v>32</v>
      </c>
      <c r="AD379">
        <v>450</v>
      </c>
    </row>
    <row r="380" spans="1:30" x14ac:dyDescent="0.3">
      <c r="A380">
        <v>15602381</v>
      </c>
      <c r="B380" s="3">
        <v>45677</v>
      </c>
      <c r="C380">
        <v>2025</v>
      </c>
      <c r="D380">
        <v>1</v>
      </c>
      <c r="E380" t="s">
        <v>1579</v>
      </c>
      <c r="F380" t="s">
        <v>0</v>
      </c>
      <c r="G380" t="s">
        <v>1</v>
      </c>
      <c r="H380" t="b">
        <v>0</v>
      </c>
      <c r="I380" t="b">
        <v>1</v>
      </c>
      <c r="J380" t="b">
        <v>0</v>
      </c>
      <c r="K380" t="b">
        <v>0</v>
      </c>
      <c r="L380" t="s">
        <v>1886</v>
      </c>
      <c r="M380" t="s">
        <v>351</v>
      </c>
      <c r="N380" t="s">
        <v>70</v>
      </c>
      <c r="O380" t="b">
        <v>0</v>
      </c>
      <c r="P380">
        <v>23</v>
      </c>
      <c r="Q380" t="s">
        <v>611</v>
      </c>
      <c r="R380" t="s">
        <v>612</v>
      </c>
      <c r="S380">
        <v>42</v>
      </c>
      <c r="T380" t="s">
        <v>212</v>
      </c>
      <c r="U380" t="s">
        <v>29</v>
      </c>
      <c r="V380" t="s">
        <v>130</v>
      </c>
      <c r="W380">
        <v>25</v>
      </c>
      <c r="X380" t="s">
        <v>6</v>
      </c>
      <c r="Z380" t="s">
        <v>5</v>
      </c>
      <c r="AA380" t="s">
        <v>5</v>
      </c>
      <c r="AC380" t="s">
        <v>9</v>
      </c>
      <c r="AD380">
        <v>432</v>
      </c>
    </row>
    <row r="381" spans="1:30" x14ac:dyDescent="0.3">
      <c r="A381">
        <v>15603902</v>
      </c>
      <c r="B381" s="3">
        <v>45680</v>
      </c>
      <c r="C381">
        <v>2025</v>
      </c>
      <c r="D381">
        <v>1</v>
      </c>
      <c r="E381" t="s">
        <v>1579</v>
      </c>
      <c r="F381" t="s">
        <v>0</v>
      </c>
      <c r="G381" t="s">
        <v>1</v>
      </c>
      <c r="H381" t="b">
        <v>0</v>
      </c>
      <c r="I381" t="b">
        <v>1</v>
      </c>
      <c r="J381" t="b">
        <v>0</v>
      </c>
      <c r="K381" t="b">
        <v>0</v>
      </c>
      <c r="L381" t="s">
        <v>1887</v>
      </c>
      <c r="M381" t="s">
        <v>408</v>
      </c>
      <c r="N381" t="s">
        <v>63</v>
      </c>
      <c r="O381" t="b">
        <v>0</v>
      </c>
      <c r="P381">
        <v>9</v>
      </c>
      <c r="Q381" t="s">
        <v>175</v>
      </c>
      <c r="R381" t="s">
        <v>176</v>
      </c>
      <c r="S381">
        <v>50</v>
      </c>
      <c r="T381" t="s">
        <v>150</v>
      </c>
      <c r="U381" t="s">
        <v>177</v>
      </c>
      <c r="V381" t="s">
        <v>178</v>
      </c>
      <c r="W381">
        <v>11</v>
      </c>
      <c r="X381" t="s">
        <v>6</v>
      </c>
      <c r="Z381" t="s">
        <v>5</v>
      </c>
      <c r="AA381" t="s">
        <v>8</v>
      </c>
      <c r="AC381" t="s">
        <v>32</v>
      </c>
      <c r="AD381">
        <v>429</v>
      </c>
    </row>
    <row r="382" spans="1:30" x14ac:dyDescent="0.3">
      <c r="A382">
        <v>15607756</v>
      </c>
      <c r="B382" s="3">
        <v>45687</v>
      </c>
      <c r="C382">
        <v>2025</v>
      </c>
      <c r="D382">
        <v>1</v>
      </c>
      <c r="E382" t="s">
        <v>1579</v>
      </c>
      <c r="F382" t="s">
        <v>0</v>
      </c>
      <c r="G382" t="s">
        <v>10</v>
      </c>
      <c r="H382" t="b">
        <v>0</v>
      </c>
      <c r="I382" t="b">
        <v>0</v>
      </c>
      <c r="J382" t="b">
        <v>0</v>
      </c>
      <c r="K382" t="b">
        <v>0</v>
      </c>
      <c r="L382" t="s">
        <v>1888</v>
      </c>
      <c r="M382" t="s">
        <v>1420</v>
      </c>
      <c r="N382" t="s">
        <v>140</v>
      </c>
      <c r="O382" t="b">
        <v>0</v>
      </c>
      <c r="P382">
        <v>34</v>
      </c>
      <c r="Q382" t="s">
        <v>230</v>
      </c>
      <c r="R382" t="s">
        <v>268</v>
      </c>
      <c r="S382">
        <v>48</v>
      </c>
      <c r="T382" t="s">
        <v>269</v>
      </c>
      <c r="U382" t="s">
        <v>231</v>
      </c>
      <c r="V382" t="s">
        <v>232</v>
      </c>
      <c r="W382">
        <v>22</v>
      </c>
      <c r="X382" t="s">
        <v>6</v>
      </c>
      <c r="Z382" t="s">
        <v>5</v>
      </c>
      <c r="AA382" t="s">
        <v>5</v>
      </c>
      <c r="AC382" t="s">
        <v>32</v>
      </c>
      <c r="AD382">
        <v>422</v>
      </c>
    </row>
    <row r="383" spans="1:30" x14ac:dyDescent="0.3">
      <c r="A383">
        <v>15616559</v>
      </c>
      <c r="B383" s="3">
        <v>45660</v>
      </c>
      <c r="C383">
        <v>2025</v>
      </c>
      <c r="D383">
        <v>1</v>
      </c>
      <c r="E383" t="s">
        <v>1579</v>
      </c>
      <c r="F383" t="s">
        <v>0</v>
      </c>
      <c r="G383" t="s">
        <v>10</v>
      </c>
      <c r="H383" t="b">
        <v>0</v>
      </c>
      <c r="I383" t="b">
        <v>0</v>
      </c>
      <c r="J383" t="b">
        <v>0</v>
      </c>
      <c r="K383" t="b">
        <v>0</v>
      </c>
      <c r="L383" t="s">
        <v>1317</v>
      </c>
      <c r="M383" t="s">
        <v>895</v>
      </c>
      <c r="N383" t="s">
        <v>5</v>
      </c>
      <c r="O383" t="b">
        <v>0</v>
      </c>
      <c r="P383">
        <v>2</v>
      </c>
      <c r="Q383" t="s">
        <v>58</v>
      </c>
      <c r="R383" t="s">
        <v>59</v>
      </c>
      <c r="S383">
        <v>65</v>
      </c>
      <c r="T383" t="s">
        <v>60</v>
      </c>
      <c r="U383" t="s">
        <v>4</v>
      </c>
      <c r="V383" t="s">
        <v>5</v>
      </c>
      <c r="W383">
        <v>1</v>
      </c>
      <c r="X383" t="s">
        <v>31</v>
      </c>
      <c r="Z383" t="s">
        <v>5</v>
      </c>
      <c r="AA383" t="s">
        <v>8</v>
      </c>
      <c r="AC383" t="s">
        <v>519</v>
      </c>
      <c r="AD383">
        <v>449</v>
      </c>
    </row>
    <row r="384" spans="1:30" x14ac:dyDescent="0.3">
      <c r="A384">
        <v>15618397</v>
      </c>
      <c r="B384" s="3">
        <v>45667</v>
      </c>
      <c r="C384">
        <v>2025</v>
      </c>
      <c r="D384">
        <v>1</v>
      </c>
      <c r="E384" t="s">
        <v>1579</v>
      </c>
      <c r="F384" t="s">
        <v>0</v>
      </c>
      <c r="G384" t="s">
        <v>1</v>
      </c>
      <c r="H384" t="b">
        <v>0</v>
      </c>
      <c r="I384" t="b">
        <v>1</v>
      </c>
      <c r="J384" t="b">
        <v>0</v>
      </c>
      <c r="K384" t="b">
        <v>0</v>
      </c>
      <c r="L384" t="s">
        <v>1540</v>
      </c>
      <c r="M384" t="s">
        <v>1065</v>
      </c>
      <c r="N384" t="s">
        <v>57</v>
      </c>
      <c r="O384" t="b">
        <v>1</v>
      </c>
      <c r="P384">
        <v>3</v>
      </c>
      <c r="Q384" t="s">
        <v>908</v>
      </c>
      <c r="R384" t="s">
        <v>1528</v>
      </c>
      <c r="S384">
        <v>65</v>
      </c>
      <c r="T384" t="s">
        <v>83</v>
      </c>
      <c r="U384" t="s">
        <v>1529</v>
      </c>
      <c r="V384" t="s">
        <v>24</v>
      </c>
      <c r="W384">
        <v>29</v>
      </c>
      <c r="X384" t="s">
        <v>6</v>
      </c>
      <c r="Y384">
        <v>54</v>
      </c>
      <c r="Z384" t="s">
        <v>7</v>
      </c>
      <c r="AA384" t="s">
        <v>8</v>
      </c>
      <c r="AC384" t="s">
        <v>47</v>
      </c>
      <c r="AD384">
        <v>442</v>
      </c>
    </row>
    <row r="385" spans="1:30" x14ac:dyDescent="0.3">
      <c r="A385">
        <v>15624870</v>
      </c>
      <c r="B385" s="3">
        <v>45659</v>
      </c>
      <c r="C385">
        <v>2025</v>
      </c>
      <c r="D385">
        <v>1</v>
      </c>
      <c r="E385" t="s">
        <v>1579</v>
      </c>
      <c r="F385" t="s">
        <v>0</v>
      </c>
      <c r="G385" t="s">
        <v>10</v>
      </c>
      <c r="H385" t="b">
        <v>0</v>
      </c>
      <c r="I385" t="b">
        <v>0</v>
      </c>
      <c r="J385" t="b">
        <v>0</v>
      </c>
      <c r="K385" t="b">
        <v>0</v>
      </c>
      <c r="L385" t="s">
        <v>1889</v>
      </c>
      <c r="M385" t="s">
        <v>608</v>
      </c>
      <c r="N385" t="s">
        <v>5</v>
      </c>
      <c r="O385" t="b">
        <v>0</v>
      </c>
      <c r="P385">
        <v>2</v>
      </c>
      <c r="Q385" t="s">
        <v>389</v>
      </c>
      <c r="R385" t="s">
        <v>390</v>
      </c>
      <c r="S385">
        <v>65</v>
      </c>
      <c r="T385" t="s">
        <v>1890</v>
      </c>
      <c r="U385" t="s">
        <v>391</v>
      </c>
      <c r="V385" t="s">
        <v>392</v>
      </c>
      <c r="W385">
        <v>12</v>
      </c>
      <c r="X385" t="s">
        <v>6</v>
      </c>
      <c r="Y385">
        <v>26</v>
      </c>
      <c r="Z385" t="s">
        <v>61</v>
      </c>
      <c r="AA385" t="s">
        <v>8</v>
      </c>
      <c r="AC385" t="s">
        <v>154</v>
      </c>
      <c r="AD385">
        <v>450</v>
      </c>
    </row>
    <row r="386" spans="1:30" x14ac:dyDescent="0.3">
      <c r="A386">
        <v>15628821</v>
      </c>
      <c r="B386" s="3">
        <v>45664</v>
      </c>
      <c r="C386">
        <v>2025</v>
      </c>
      <c r="D386">
        <v>1</v>
      </c>
      <c r="E386" t="s">
        <v>1579</v>
      </c>
      <c r="F386" t="s">
        <v>0</v>
      </c>
      <c r="G386" t="s">
        <v>10</v>
      </c>
      <c r="H386" t="b">
        <v>0</v>
      </c>
      <c r="I386" t="b">
        <v>0</v>
      </c>
      <c r="J386" t="b">
        <v>0</v>
      </c>
      <c r="K386" t="b">
        <v>0</v>
      </c>
      <c r="L386" t="s">
        <v>1891</v>
      </c>
      <c r="M386" t="s">
        <v>1362</v>
      </c>
      <c r="N386" t="s">
        <v>21</v>
      </c>
      <c r="O386" t="b">
        <v>0</v>
      </c>
      <c r="P386">
        <v>7</v>
      </c>
      <c r="Q386" t="s">
        <v>528</v>
      </c>
      <c r="R386" t="s">
        <v>529</v>
      </c>
      <c r="S386">
        <v>48</v>
      </c>
      <c r="T386" t="s">
        <v>609</v>
      </c>
      <c r="U386" t="s">
        <v>531</v>
      </c>
      <c r="V386" t="s">
        <v>392</v>
      </c>
      <c r="W386">
        <v>25</v>
      </c>
      <c r="X386" t="s">
        <v>6</v>
      </c>
      <c r="Y386">
        <v>10</v>
      </c>
      <c r="Z386" t="s">
        <v>46</v>
      </c>
      <c r="AA386" t="s">
        <v>15</v>
      </c>
      <c r="AC386" t="s">
        <v>9</v>
      </c>
      <c r="AD386">
        <v>445</v>
      </c>
    </row>
    <row r="387" spans="1:30" x14ac:dyDescent="0.3">
      <c r="A387">
        <v>15629113</v>
      </c>
      <c r="B387" s="3">
        <v>45666</v>
      </c>
      <c r="C387">
        <v>2025</v>
      </c>
      <c r="D387">
        <v>1</v>
      </c>
      <c r="E387" t="s">
        <v>1579</v>
      </c>
      <c r="F387" t="s">
        <v>0</v>
      </c>
      <c r="G387" t="s">
        <v>50</v>
      </c>
      <c r="H387" t="b">
        <v>1</v>
      </c>
      <c r="I387" t="b">
        <v>0</v>
      </c>
      <c r="J387" t="b">
        <v>0</v>
      </c>
      <c r="K387" t="b">
        <v>0</v>
      </c>
      <c r="L387" t="s">
        <v>802</v>
      </c>
      <c r="M387" t="s">
        <v>802</v>
      </c>
      <c r="N387" t="s">
        <v>5</v>
      </c>
      <c r="O387" t="b">
        <v>0</v>
      </c>
      <c r="P387">
        <v>1</v>
      </c>
      <c r="Q387" t="s">
        <v>1273</v>
      </c>
      <c r="R387" t="s">
        <v>1521</v>
      </c>
      <c r="S387">
        <v>64</v>
      </c>
      <c r="T387" t="s">
        <v>5</v>
      </c>
      <c r="U387" t="s">
        <v>1522</v>
      </c>
      <c r="V387" t="s">
        <v>1274</v>
      </c>
      <c r="W387">
        <v>1</v>
      </c>
      <c r="X387" t="s">
        <v>31</v>
      </c>
      <c r="Z387" t="s">
        <v>5</v>
      </c>
      <c r="AA387" t="s">
        <v>5</v>
      </c>
      <c r="AC387" t="s">
        <v>154</v>
      </c>
      <c r="AD387">
        <v>443</v>
      </c>
    </row>
    <row r="388" spans="1:30" x14ac:dyDescent="0.3">
      <c r="A388">
        <v>15638379</v>
      </c>
      <c r="B388" s="3">
        <v>45671</v>
      </c>
      <c r="C388">
        <v>2025</v>
      </c>
      <c r="D388">
        <v>1</v>
      </c>
      <c r="E388" t="s">
        <v>1579</v>
      </c>
      <c r="F388" t="s">
        <v>0</v>
      </c>
      <c r="G388" t="s">
        <v>1</v>
      </c>
      <c r="H388" t="b">
        <v>0</v>
      </c>
      <c r="I388" t="b">
        <v>1</v>
      </c>
      <c r="J388" t="b">
        <v>0</v>
      </c>
      <c r="K388" t="b">
        <v>0</v>
      </c>
      <c r="L388" t="s">
        <v>1540</v>
      </c>
      <c r="M388" t="s">
        <v>1065</v>
      </c>
      <c r="N388" t="s">
        <v>57</v>
      </c>
      <c r="O388" t="b">
        <v>1</v>
      </c>
      <c r="P388">
        <v>3</v>
      </c>
      <c r="Q388" t="s">
        <v>1421</v>
      </c>
      <c r="R388" t="s">
        <v>1422</v>
      </c>
      <c r="S388">
        <v>65</v>
      </c>
      <c r="T388" t="s">
        <v>83</v>
      </c>
      <c r="U388" t="s">
        <v>1423</v>
      </c>
      <c r="V388" t="s">
        <v>5</v>
      </c>
      <c r="W388">
        <v>31</v>
      </c>
      <c r="X388" t="s">
        <v>6</v>
      </c>
      <c r="Y388">
        <v>54</v>
      </c>
      <c r="Z388" t="s">
        <v>7</v>
      </c>
      <c r="AA388" t="s">
        <v>8</v>
      </c>
      <c r="AB388">
        <v>110</v>
      </c>
      <c r="AC388" t="s">
        <v>47</v>
      </c>
      <c r="AD388">
        <v>438</v>
      </c>
    </row>
    <row r="389" spans="1:30" x14ac:dyDescent="0.3">
      <c r="A389">
        <v>15640868</v>
      </c>
      <c r="B389" s="3">
        <v>45673</v>
      </c>
      <c r="C389">
        <v>2025</v>
      </c>
      <c r="D389">
        <v>1</v>
      </c>
      <c r="E389" t="s">
        <v>1579</v>
      </c>
      <c r="F389" t="s">
        <v>0</v>
      </c>
      <c r="G389" t="s">
        <v>220</v>
      </c>
      <c r="H389" t="b">
        <v>0</v>
      </c>
      <c r="I389" t="b">
        <v>0</v>
      </c>
      <c r="J389" t="b">
        <v>0</v>
      </c>
      <c r="K389" t="b">
        <v>1</v>
      </c>
      <c r="L389" t="s">
        <v>1892</v>
      </c>
      <c r="M389" t="s">
        <v>165</v>
      </c>
      <c r="N389" t="s">
        <v>174</v>
      </c>
      <c r="O389" t="b">
        <v>0</v>
      </c>
      <c r="P389">
        <v>63</v>
      </c>
      <c r="Q389" t="s">
        <v>656</v>
      </c>
      <c r="R389" t="s">
        <v>657</v>
      </c>
      <c r="S389">
        <v>65</v>
      </c>
      <c r="T389" t="s">
        <v>83</v>
      </c>
      <c r="U389" t="s">
        <v>658</v>
      </c>
      <c r="V389" t="s">
        <v>5</v>
      </c>
      <c r="W389">
        <v>292</v>
      </c>
      <c r="X389" t="s">
        <v>5</v>
      </c>
      <c r="Y389">
        <v>42</v>
      </c>
      <c r="Z389" t="s">
        <v>7</v>
      </c>
      <c r="AA389" t="s">
        <v>8</v>
      </c>
      <c r="AB389">
        <v>81</v>
      </c>
      <c r="AC389" t="s">
        <v>9</v>
      </c>
      <c r="AD389">
        <v>436</v>
      </c>
    </row>
    <row r="390" spans="1:30" x14ac:dyDescent="0.3">
      <c r="A390">
        <v>15640880</v>
      </c>
      <c r="B390" s="3">
        <v>45666</v>
      </c>
      <c r="C390">
        <v>2025</v>
      </c>
      <c r="D390">
        <v>1</v>
      </c>
      <c r="E390" t="s">
        <v>1579</v>
      </c>
      <c r="F390" t="s">
        <v>0</v>
      </c>
      <c r="G390" t="s">
        <v>10</v>
      </c>
      <c r="H390" t="b">
        <v>0</v>
      </c>
      <c r="I390" t="b">
        <v>0</v>
      </c>
      <c r="J390" t="b">
        <v>0</v>
      </c>
      <c r="K390" t="b">
        <v>0</v>
      </c>
      <c r="L390" t="s">
        <v>1893</v>
      </c>
      <c r="M390" t="s">
        <v>839</v>
      </c>
      <c r="N390" t="s">
        <v>21</v>
      </c>
      <c r="O390" t="b">
        <v>0</v>
      </c>
      <c r="P390">
        <v>15</v>
      </c>
      <c r="Q390" t="s">
        <v>656</v>
      </c>
      <c r="R390" t="s">
        <v>657</v>
      </c>
      <c r="S390">
        <v>65</v>
      </c>
      <c r="T390" t="s">
        <v>1204</v>
      </c>
      <c r="U390" t="s">
        <v>658</v>
      </c>
      <c r="V390" t="s">
        <v>5</v>
      </c>
      <c r="W390">
        <v>11</v>
      </c>
      <c r="X390" t="s">
        <v>6</v>
      </c>
      <c r="Y390">
        <v>61</v>
      </c>
      <c r="Z390" t="s">
        <v>7</v>
      </c>
      <c r="AA390" t="s">
        <v>8</v>
      </c>
      <c r="AB390">
        <v>60</v>
      </c>
      <c r="AC390" t="s">
        <v>9</v>
      </c>
      <c r="AD390">
        <v>443</v>
      </c>
    </row>
    <row r="391" spans="1:30" x14ac:dyDescent="0.3">
      <c r="A391">
        <v>15645178</v>
      </c>
      <c r="B391" s="3">
        <v>45686</v>
      </c>
      <c r="C391">
        <v>2025</v>
      </c>
      <c r="D391">
        <v>1</v>
      </c>
      <c r="E391" t="s">
        <v>1579</v>
      </c>
      <c r="F391" t="s">
        <v>125</v>
      </c>
      <c r="G391" t="s">
        <v>10</v>
      </c>
      <c r="H391" t="b">
        <v>0</v>
      </c>
      <c r="I391" t="b">
        <v>0</v>
      </c>
      <c r="J391" t="b">
        <v>0</v>
      </c>
      <c r="K391" t="b">
        <v>0</v>
      </c>
      <c r="L391" t="s">
        <v>1894</v>
      </c>
      <c r="M391" t="s">
        <v>309</v>
      </c>
      <c r="N391" t="s">
        <v>5</v>
      </c>
      <c r="O391" t="b">
        <v>0</v>
      </c>
      <c r="P391">
        <v>7</v>
      </c>
      <c r="Q391" t="s">
        <v>455</v>
      </c>
      <c r="R391" t="s">
        <v>456</v>
      </c>
      <c r="S391">
        <v>58</v>
      </c>
      <c r="T391" t="s">
        <v>457</v>
      </c>
      <c r="U391" t="s">
        <v>23</v>
      </c>
      <c r="V391" t="s">
        <v>458</v>
      </c>
      <c r="W391">
        <v>2</v>
      </c>
      <c r="X391" t="s">
        <v>14</v>
      </c>
      <c r="Y391">
        <v>55</v>
      </c>
      <c r="Z391" t="s">
        <v>7</v>
      </c>
      <c r="AA391" t="s">
        <v>15</v>
      </c>
      <c r="AC391" t="s">
        <v>32</v>
      </c>
      <c r="AD391">
        <v>423</v>
      </c>
    </row>
    <row r="392" spans="1:30" x14ac:dyDescent="0.3">
      <c r="A392">
        <v>15645948</v>
      </c>
      <c r="B392" s="3">
        <v>45688</v>
      </c>
      <c r="C392">
        <v>2025</v>
      </c>
      <c r="D392">
        <v>1</v>
      </c>
      <c r="E392" t="s">
        <v>1579</v>
      </c>
      <c r="F392" t="s">
        <v>0</v>
      </c>
      <c r="G392" t="s">
        <v>10</v>
      </c>
      <c r="H392" t="b">
        <v>0</v>
      </c>
      <c r="I392" t="b">
        <v>0</v>
      </c>
      <c r="J392" t="b">
        <v>0</v>
      </c>
      <c r="K392" t="b">
        <v>0</v>
      </c>
      <c r="L392" t="s">
        <v>1895</v>
      </c>
      <c r="M392" t="s">
        <v>138</v>
      </c>
      <c r="N392" t="s">
        <v>63</v>
      </c>
      <c r="O392" t="b">
        <v>0</v>
      </c>
      <c r="P392">
        <v>5</v>
      </c>
      <c r="Q392" t="s">
        <v>289</v>
      </c>
      <c r="R392" t="s">
        <v>290</v>
      </c>
      <c r="S392" t="s">
        <v>5</v>
      </c>
      <c r="T392" t="s">
        <v>183</v>
      </c>
      <c r="U392" t="s">
        <v>271</v>
      </c>
      <c r="V392" t="s">
        <v>292</v>
      </c>
      <c r="W392">
        <v>2</v>
      </c>
      <c r="X392" t="s">
        <v>14</v>
      </c>
      <c r="Z392" t="s">
        <v>5</v>
      </c>
      <c r="AA392" t="s">
        <v>15</v>
      </c>
      <c r="AB392">
        <v>74.83</v>
      </c>
      <c r="AC392" t="s">
        <v>32</v>
      </c>
      <c r="AD392">
        <v>421</v>
      </c>
    </row>
    <row r="393" spans="1:30" x14ac:dyDescent="0.3">
      <c r="A393">
        <v>15650763</v>
      </c>
      <c r="B393" s="3">
        <v>45667</v>
      </c>
      <c r="C393">
        <v>2025</v>
      </c>
      <c r="D393">
        <v>1</v>
      </c>
      <c r="E393" t="s">
        <v>1579</v>
      </c>
      <c r="F393" t="s">
        <v>0</v>
      </c>
      <c r="G393" t="s">
        <v>1</v>
      </c>
      <c r="H393" t="b">
        <v>0</v>
      </c>
      <c r="I393" t="b">
        <v>1</v>
      </c>
      <c r="J393" t="b">
        <v>0</v>
      </c>
      <c r="K393" t="b">
        <v>0</v>
      </c>
      <c r="L393" t="s">
        <v>1548</v>
      </c>
      <c r="M393" t="s">
        <v>859</v>
      </c>
      <c r="N393" t="s">
        <v>57</v>
      </c>
      <c r="O393" t="b">
        <v>1</v>
      </c>
      <c r="P393">
        <v>3</v>
      </c>
      <c r="Q393" t="s">
        <v>914</v>
      </c>
      <c r="R393" t="s">
        <v>915</v>
      </c>
      <c r="S393">
        <v>48</v>
      </c>
      <c r="T393" t="s">
        <v>83</v>
      </c>
      <c r="U393" t="s">
        <v>916</v>
      </c>
      <c r="V393" t="s">
        <v>917</v>
      </c>
      <c r="W393">
        <v>24</v>
      </c>
      <c r="X393" t="s">
        <v>6</v>
      </c>
      <c r="Y393">
        <v>54</v>
      </c>
      <c r="Z393" t="s">
        <v>7</v>
      </c>
      <c r="AA393" t="s">
        <v>8</v>
      </c>
      <c r="AC393" t="s">
        <v>47</v>
      </c>
      <c r="AD393">
        <v>442</v>
      </c>
    </row>
    <row r="394" spans="1:30" x14ac:dyDescent="0.3">
      <c r="A394">
        <v>15658249</v>
      </c>
      <c r="B394" s="3">
        <v>45685</v>
      </c>
      <c r="C394">
        <v>2025</v>
      </c>
      <c r="D394">
        <v>1</v>
      </c>
      <c r="E394" t="s">
        <v>1579</v>
      </c>
      <c r="F394" t="s">
        <v>125</v>
      </c>
      <c r="G394" t="s">
        <v>10</v>
      </c>
      <c r="H394" t="b">
        <v>0</v>
      </c>
      <c r="I394" t="b">
        <v>0</v>
      </c>
      <c r="J394" t="b">
        <v>0</v>
      </c>
      <c r="K394" t="b">
        <v>0</v>
      </c>
      <c r="L394" t="s">
        <v>1453</v>
      </c>
      <c r="M394" t="s">
        <v>192</v>
      </c>
      <c r="N394" t="s">
        <v>5</v>
      </c>
      <c r="O394" t="b">
        <v>0</v>
      </c>
      <c r="P394">
        <v>3</v>
      </c>
      <c r="Q394" t="s">
        <v>226</v>
      </c>
      <c r="R394" t="s">
        <v>227</v>
      </c>
      <c r="S394" t="s">
        <v>5</v>
      </c>
      <c r="T394" t="s">
        <v>5</v>
      </c>
      <c r="U394" t="s">
        <v>228</v>
      </c>
      <c r="V394" t="s">
        <v>5</v>
      </c>
      <c r="W394">
        <v>1</v>
      </c>
      <c r="X394" t="s">
        <v>31</v>
      </c>
      <c r="Y394">
        <v>62</v>
      </c>
      <c r="Z394" t="s">
        <v>7</v>
      </c>
      <c r="AA394" t="s">
        <v>8</v>
      </c>
      <c r="AC394" t="s">
        <v>32</v>
      </c>
      <c r="AD394">
        <v>424</v>
      </c>
    </row>
    <row r="395" spans="1:30" x14ac:dyDescent="0.3">
      <c r="A395">
        <v>15658367</v>
      </c>
      <c r="B395" s="3">
        <v>45686</v>
      </c>
      <c r="C395">
        <v>2025</v>
      </c>
      <c r="D395">
        <v>1</v>
      </c>
      <c r="E395" t="s">
        <v>1579</v>
      </c>
      <c r="F395" t="s">
        <v>0</v>
      </c>
      <c r="G395" t="s">
        <v>1</v>
      </c>
      <c r="H395" t="b">
        <v>0</v>
      </c>
      <c r="I395" t="b">
        <v>1</v>
      </c>
      <c r="J395" t="b">
        <v>0</v>
      </c>
      <c r="K395" t="b">
        <v>0</v>
      </c>
      <c r="L395" t="s">
        <v>1896</v>
      </c>
      <c r="M395" t="s">
        <v>799</v>
      </c>
      <c r="N395" t="s">
        <v>5</v>
      </c>
      <c r="O395" t="b">
        <v>0</v>
      </c>
      <c r="P395">
        <v>4</v>
      </c>
      <c r="Q395" t="s">
        <v>1111</v>
      </c>
      <c r="R395" t="s">
        <v>1112</v>
      </c>
      <c r="S395">
        <v>48</v>
      </c>
      <c r="T395" t="s">
        <v>856</v>
      </c>
      <c r="U395" t="s">
        <v>1113</v>
      </c>
      <c r="V395" t="s">
        <v>1114</v>
      </c>
      <c r="W395">
        <v>10</v>
      </c>
      <c r="X395" t="s">
        <v>6</v>
      </c>
      <c r="Y395">
        <v>54</v>
      </c>
      <c r="Z395" t="s">
        <v>7</v>
      </c>
      <c r="AA395" t="s">
        <v>15</v>
      </c>
      <c r="AB395">
        <v>90.72</v>
      </c>
      <c r="AC395" t="s">
        <v>32</v>
      </c>
      <c r="AD395">
        <v>423</v>
      </c>
    </row>
    <row r="396" spans="1:30" x14ac:dyDescent="0.3">
      <c r="A396">
        <v>15660838</v>
      </c>
      <c r="B396" s="3">
        <v>45677</v>
      </c>
      <c r="C396">
        <v>2025</v>
      </c>
      <c r="D396">
        <v>1</v>
      </c>
      <c r="E396" t="s">
        <v>1579</v>
      </c>
      <c r="F396" t="s">
        <v>0</v>
      </c>
      <c r="G396" t="s">
        <v>10</v>
      </c>
      <c r="H396" t="b">
        <v>0</v>
      </c>
      <c r="I396" t="b">
        <v>0</v>
      </c>
      <c r="J396" t="b">
        <v>0</v>
      </c>
      <c r="K396" t="b">
        <v>0</v>
      </c>
      <c r="L396" t="s">
        <v>1897</v>
      </c>
      <c r="M396" t="s">
        <v>126</v>
      </c>
      <c r="N396" t="s">
        <v>5</v>
      </c>
      <c r="O396" t="b">
        <v>0</v>
      </c>
      <c r="P396">
        <v>70</v>
      </c>
      <c r="Q396" t="s">
        <v>1077</v>
      </c>
      <c r="R396" t="s">
        <v>5</v>
      </c>
      <c r="S396">
        <v>58</v>
      </c>
      <c r="T396" t="s">
        <v>812</v>
      </c>
      <c r="U396" t="s">
        <v>5</v>
      </c>
      <c r="V396" t="s">
        <v>5</v>
      </c>
      <c r="W396">
        <v>28</v>
      </c>
      <c r="X396" t="s">
        <v>6</v>
      </c>
      <c r="Y396">
        <v>51</v>
      </c>
      <c r="Z396" t="s">
        <v>7</v>
      </c>
      <c r="AA396" t="s">
        <v>15</v>
      </c>
      <c r="AC396" t="s">
        <v>9</v>
      </c>
      <c r="AD396">
        <v>432</v>
      </c>
    </row>
    <row r="397" spans="1:30" x14ac:dyDescent="0.3">
      <c r="A397">
        <v>15661639</v>
      </c>
      <c r="B397" s="3">
        <v>45678</v>
      </c>
      <c r="C397">
        <v>2025</v>
      </c>
      <c r="D397">
        <v>1</v>
      </c>
      <c r="E397" t="s">
        <v>1579</v>
      </c>
      <c r="F397" t="s">
        <v>0</v>
      </c>
      <c r="G397" t="s">
        <v>1</v>
      </c>
      <c r="H397" t="b">
        <v>0</v>
      </c>
      <c r="I397" t="b">
        <v>1</v>
      </c>
      <c r="J397" t="b">
        <v>0</v>
      </c>
      <c r="K397" t="b">
        <v>0</v>
      </c>
      <c r="L397" t="s">
        <v>1898</v>
      </c>
      <c r="M397" t="s">
        <v>180</v>
      </c>
      <c r="N397" t="s">
        <v>17</v>
      </c>
      <c r="O397" t="b">
        <v>0</v>
      </c>
      <c r="P397">
        <v>6</v>
      </c>
      <c r="Q397" t="s">
        <v>289</v>
      </c>
      <c r="R397" t="s">
        <v>290</v>
      </c>
      <c r="S397" t="s">
        <v>5</v>
      </c>
      <c r="T397" t="s">
        <v>183</v>
      </c>
      <c r="U397" t="s">
        <v>271</v>
      </c>
      <c r="V397" t="s">
        <v>292</v>
      </c>
      <c r="W397">
        <v>10</v>
      </c>
      <c r="X397" t="s">
        <v>6</v>
      </c>
      <c r="Y397">
        <v>26</v>
      </c>
      <c r="Z397" t="s">
        <v>61</v>
      </c>
      <c r="AA397" t="s">
        <v>8</v>
      </c>
      <c r="AC397" t="s">
        <v>9</v>
      </c>
      <c r="AD397">
        <v>431</v>
      </c>
    </row>
    <row r="398" spans="1:30" x14ac:dyDescent="0.3">
      <c r="A398">
        <v>15665819</v>
      </c>
      <c r="B398" s="3">
        <v>45660</v>
      </c>
      <c r="C398">
        <v>2025</v>
      </c>
      <c r="D398">
        <v>1</v>
      </c>
      <c r="E398" t="s">
        <v>1579</v>
      </c>
      <c r="F398" t="s">
        <v>0</v>
      </c>
      <c r="G398" t="s">
        <v>10</v>
      </c>
      <c r="H398" t="b">
        <v>0</v>
      </c>
      <c r="I398" t="b">
        <v>0</v>
      </c>
      <c r="J398" t="b">
        <v>0</v>
      </c>
      <c r="K398" t="b">
        <v>0</v>
      </c>
      <c r="L398" t="s">
        <v>1317</v>
      </c>
      <c r="M398" t="s">
        <v>895</v>
      </c>
      <c r="N398" t="s">
        <v>5</v>
      </c>
      <c r="O398" t="b">
        <v>0</v>
      </c>
      <c r="P398">
        <v>2</v>
      </c>
      <c r="Q398" t="s">
        <v>58</v>
      </c>
      <c r="R398" t="s">
        <v>59</v>
      </c>
      <c r="S398">
        <v>65</v>
      </c>
      <c r="T398" t="s">
        <v>60</v>
      </c>
      <c r="U398" t="s">
        <v>4</v>
      </c>
      <c r="V398" t="s">
        <v>5</v>
      </c>
      <c r="W398">
        <v>2</v>
      </c>
      <c r="X398" t="s">
        <v>14</v>
      </c>
      <c r="Z398" t="s">
        <v>5</v>
      </c>
      <c r="AA398" t="s">
        <v>8</v>
      </c>
      <c r="AB398">
        <v>78</v>
      </c>
      <c r="AC398" t="s">
        <v>101</v>
      </c>
      <c r="AD398">
        <v>449</v>
      </c>
    </row>
    <row r="399" spans="1:30" x14ac:dyDescent="0.3">
      <c r="A399">
        <v>15666201</v>
      </c>
      <c r="B399" s="3">
        <v>45665</v>
      </c>
      <c r="C399">
        <v>2025</v>
      </c>
      <c r="D399">
        <v>1</v>
      </c>
      <c r="E399" t="s">
        <v>1579</v>
      </c>
      <c r="F399" t="s">
        <v>0</v>
      </c>
      <c r="G399" t="s">
        <v>10</v>
      </c>
      <c r="H399" t="b">
        <v>0</v>
      </c>
      <c r="I399" t="b">
        <v>0</v>
      </c>
      <c r="J399" t="b">
        <v>0</v>
      </c>
      <c r="K399" t="b">
        <v>0</v>
      </c>
      <c r="L399" t="s">
        <v>1899</v>
      </c>
      <c r="M399" t="s">
        <v>404</v>
      </c>
      <c r="N399" t="s">
        <v>17</v>
      </c>
      <c r="O399" t="b">
        <v>0</v>
      </c>
      <c r="P399">
        <v>3</v>
      </c>
      <c r="Q399" t="s">
        <v>169</v>
      </c>
      <c r="R399" t="s">
        <v>170</v>
      </c>
      <c r="S399" t="s">
        <v>5</v>
      </c>
      <c r="T399" t="s">
        <v>619</v>
      </c>
      <c r="U399" t="s">
        <v>106</v>
      </c>
      <c r="V399" t="s">
        <v>172</v>
      </c>
      <c r="W399">
        <v>2</v>
      </c>
      <c r="X399" t="s">
        <v>14</v>
      </c>
      <c r="Z399" t="s">
        <v>5</v>
      </c>
      <c r="AA399" t="s">
        <v>5</v>
      </c>
      <c r="AC399" t="s">
        <v>716</v>
      </c>
      <c r="AD399">
        <v>444</v>
      </c>
    </row>
    <row r="400" spans="1:30" x14ac:dyDescent="0.3">
      <c r="A400">
        <v>15668157</v>
      </c>
      <c r="B400" s="3">
        <v>45671</v>
      </c>
      <c r="C400">
        <v>2025</v>
      </c>
      <c r="D400">
        <v>1</v>
      </c>
      <c r="E400" t="s">
        <v>1579</v>
      </c>
      <c r="F400" t="s">
        <v>0</v>
      </c>
      <c r="G400" t="s">
        <v>151</v>
      </c>
      <c r="H400" t="b">
        <v>0</v>
      </c>
      <c r="I400" t="b">
        <v>1</v>
      </c>
      <c r="J400" t="b">
        <v>0</v>
      </c>
      <c r="K400" t="b">
        <v>1</v>
      </c>
      <c r="L400" t="s">
        <v>1900</v>
      </c>
      <c r="M400" t="s">
        <v>1449</v>
      </c>
      <c r="N400" t="s">
        <v>63</v>
      </c>
      <c r="O400" t="b">
        <v>0</v>
      </c>
      <c r="P400">
        <v>19</v>
      </c>
      <c r="Q400" t="s">
        <v>181</v>
      </c>
      <c r="R400" t="s">
        <v>182</v>
      </c>
      <c r="S400">
        <v>58</v>
      </c>
      <c r="T400" t="s">
        <v>80</v>
      </c>
      <c r="U400" t="s">
        <v>184</v>
      </c>
      <c r="V400" t="s">
        <v>5</v>
      </c>
      <c r="W400">
        <v>59</v>
      </c>
      <c r="X400" t="s">
        <v>6</v>
      </c>
      <c r="Y400">
        <v>60</v>
      </c>
      <c r="Z400" t="s">
        <v>7</v>
      </c>
      <c r="AA400" t="s">
        <v>8</v>
      </c>
      <c r="AB400">
        <v>97</v>
      </c>
      <c r="AC400" t="s">
        <v>56</v>
      </c>
      <c r="AD400">
        <v>438</v>
      </c>
    </row>
    <row r="401" spans="1:30" x14ac:dyDescent="0.3">
      <c r="A401">
        <v>15668764</v>
      </c>
      <c r="B401" s="3">
        <v>45667</v>
      </c>
      <c r="C401">
        <v>2025</v>
      </c>
      <c r="D401">
        <v>1</v>
      </c>
      <c r="E401" t="s">
        <v>1579</v>
      </c>
      <c r="F401" t="s">
        <v>0</v>
      </c>
      <c r="G401" t="s">
        <v>1</v>
      </c>
      <c r="H401" t="b">
        <v>0</v>
      </c>
      <c r="I401" t="b">
        <v>1</v>
      </c>
      <c r="J401" t="b">
        <v>0</v>
      </c>
      <c r="K401" t="b">
        <v>0</v>
      </c>
      <c r="L401" t="s">
        <v>1901</v>
      </c>
      <c r="M401" t="s">
        <v>608</v>
      </c>
      <c r="N401" t="s">
        <v>12</v>
      </c>
      <c r="O401" t="b">
        <v>1</v>
      </c>
      <c r="P401">
        <v>4</v>
      </c>
      <c r="Q401" t="s">
        <v>398</v>
      </c>
      <c r="R401" t="s">
        <v>399</v>
      </c>
      <c r="S401">
        <v>65</v>
      </c>
      <c r="T401" t="s">
        <v>83</v>
      </c>
      <c r="U401" t="s">
        <v>400</v>
      </c>
      <c r="V401" t="s">
        <v>100</v>
      </c>
      <c r="W401">
        <v>4</v>
      </c>
      <c r="X401" t="s">
        <v>40</v>
      </c>
      <c r="Y401">
        <v>15</v>
      </c>
      <c r="Z401" t="s">
        <v>19</v>
      </c>
      <c r="AA401" t="s">
        <v>8</v>
      </c>
      <c r="AC401" t="s">
        <v>25</v>
      </c>
      <c r="AD401">
        <v>442</v>
      </c>
    </row>
    <row r="402" spans="1:30" x14ac:dyDescent="0.3">
      <c r="A402">
        <v>15669593</v>
      </c>
      <c r="B402" s="3">
        <v>45665</v>
      </c>
      <c r="C402">
        <v>2025</v>
      </c>
      <c r="D402">
        <v>1</v>
      </c>
      <c r="E402" t="s">
        <v>1579</v>
      </c>
      <c r="F402" t="s">
        <v>0</v>
      </c>
      <c r="G402" t="s">
        <v>10</v>
      </c>
      <c r="H402" t="b">
        <v>0</v>
      </c>
      <c r="I402" t="b">
        <v>0</v>
      </c>
      <c r="J402" t="b">
        <v>0</v>
      </c>
      <c r="K402" t="b">
        <v>0</v>
      </c>
      <c r="L402" t="s">
        <v>1902</v>
      </c>
      <c r="M402" t="s">
        <v>404</v>
      </c>
      <c r="N402" t="s">
        <v>264</v>
      </c>
      <c r="O402" t="b">
        <v>0</v>
      </c>
      <c r="P402">
        <v>2</v>
      </c>
      <c r="Q402" t="s">
        <v>169</v>
      </c>
      <c r="R402" t="s">
        <v>170</v>
      </c>
      <c r="S402" t="s">
        <v>5</v>
      </c>
      <c r="T402" t="s">
        <v>619</v>
      </c>
      <c r="U402" t="s">
        <v>106</v>
      </c>
      <c r="V402" t="s">
        <v>172</v>
      </c>
      <c r="W402">
        <v>1</v>
      </c>
      <c r="X402" t="s">
        <v>31</v>
      </c>
      <c r="Z402" t="s">
        <v>5</v>
      </c>
      <c r="AA402" t="s">
        <v>5</v>
      </c>
      <c r="AC402" t="s">
        <v>716</v>
      </c>
      <c r="AD402">
        <v>444</v>
      </c>
    </row>
    <row r="403" spans="1:30" x14ac:dyDescent="0.3">
      <c r="A403">
        <v>15670292</v>
      </c>
      <c r="B403" s="3">
        <v>45665</v>
      </c>
      <c r="C403">
        <v>2025</v>
      </c>
      <c r="D403">
        <v>1</v>
      </c>
      <c r="E403" t="s">
        <v>1579</v>
      </c>
      <c r="F403" t="s">
        <v>0</v>
      </c>
      <c r="G403" t="s">
        <v>10</v>
      </c>
      <c r="H403" t="b">
        <v>0</v>
      </c>
      <c r="I403" t="b">
        <v>0</v>
      </c>
      <c r="J403" t="b">
        <v>0</v>
      </c>
      <c r="K403" t="b">
        <v>0</v>
      </c>
      <c r="L403" t="s">
        <v>1903</v>
      </c>
      <c r="M403" t="s">
        <v>404</v>
      </c>
      <c r="N403" t="s">
        <v>264</v>
      </c>
      <c r="O403" t="b">
        <v>0</v>
      </c>
      <c r="P403">
        <v>2</v>
      </c>
      <c r="Q403" t="s">
        <v>169</v>
      </c>
      <c r="R403" t="s">
        <v>170</v>
      </c>
      <c r="S403" t="s">
        <v>5</v>
      </c>
      <c r="T403" t="s">
        <v>619</v>
      </c>
      <c r="U403" t="s">
        <v>106</v>
      </c>
      <c r="V403" t="s">
        <v>172</v>
      </c>
      <c r="W403">
        <v>2</v>
      </c>
      <c r="X403" t="s">
        <v>14</v>
      </c>
      <c r="Z403" t="s">
        <v>5</v>
      </c>
      <c r="AA403" t="s">
        <v>5</v>
      </c>
      <c r="AC403" t="s">
        <v>716</v>
      </c>
      <c r="AD403">
        <v>444</v>
      </c>
    </row>
    <row r="404" spans="1:30" x14ac:dyDescent="0.3">
      <c r="A404">
        <v>15670550</v>
      </c>
      <c r="B404" s="3">
        <v>45665</v>
      </c>
      <c r="C404">
        <v>2025</v>
      </c>
      <c r="D404">
        <v>1</v>
      </c>
      <c r="E404" t="s">
        <v>1579</v>
      </c>
      <c r="F404" t="s">
        <v>0</v>
      </c>
      <c r="G404" t="s">
        <v>10</v>
      </c>
      <c r="H404" t="b">
        <v>0</v>
      </c>
      <c r="I404" t="b">
        <v>0</v>
      </c>
      <c r="J404" t="b">
        <v>0</v>
      </c>
      <c r="K404" t="b">
        <v>0</v>
      </c>
      <c r="L404" t="s">
        <v>1904</v>
      </c>
      <c r="M404" t="s">
        <v>404</v>
      </c>
      <c r="N404" t="s">
        <v>12</v>
      </c>
      <c r="O404" t="b">
        <v>1</v>
      </c>
      <c r="P404">
        <v>2</v>
      </c>
      <c r="Q404" t="s">
        <v>169</v>
      </c>
      <c r="R404" t="s">
        <v>170</v>
      </c>
      <c r="S404" t="s">
        <v>5</v>
      </c>
      <c r="T404" t="s">
        <v>619</v>
      </c>
      <c r="U404" t="s">
        <v>106</v>
      </c>
      <c r="V404" t="s">
        <v>172</v>
      </c>
      <c r="W404">
        <v>1</v>
      </c>
      <c r="X404" t="s">
        <v>31</v>
      </c>
      <c r="Z404" t="s">
        <v>5</v>
      </c>
      <c r="AA404" t="s">
        <v>5</v>
      </c>
      <c r="AC404" t="s">
        <v>716</v>
      </c>
      <c r="AD404">
        <v>444</v>
      </c>
    </row>
    <row r="405" spans="1:30" x14ac:dyDescent="0.3">
      <c r="A405">
        <v>15670987</v>
      </c>
      <c r="B405" s="3">
        <v>45672</v>
      </c>
      <c r="C405">
        <v>2025</v>
      </c>
      <c r="D405">
        <v>1</v>
      </c>
      <c r="E405" t="s">
        <v>1579</v>
      </c>
      <c r="F405" t="s">
        <v>125</v>
      </c>
      <c r="G405" t="s">
        <v>10</v>
      </c>
      <c r="H405" t="b">
        <v>0</v>
      </c>
      <c r="I405" t="b">
        <v>0</v>
      </c>
      <c r="J405" t="b">
        <v>0</v>
      </c>
      <c r="K405" t="b">
        <v>0</v>
      </c>
      <c r="L405" t="s">
        <v>1905</v>
      </c>
      <c r="M405" t="s">
        <v>1164</v>
      </c>
      <c r="N405" t="s">
        <v>63</v>
      </c>
      <c r="O405" t="b">
        <v>0</v>
      </c>
      <c r="P405">
        <v>10</v>
      </c>
      <c r="Q405" t="s">
        <v>208</v>
      </c>
      <c r="R405" t="s">
        <v>286</v>
      </c>
      <c r="S405">
        <v>48</v>
      </c>
      <c r="T405" t="s">
        <v>80</v>
      </c>
      <c r="U405" t="s">
        <v>210</v>
      </c>
      <c r="V405" t="s">
        <v>5</v>
      </c>
      <c r="W405">
        <v>1</v>
      </c>
      <c r="X405" t="s">
        <v>31</v>
      </c>
      <c r="Y405">
        <v>58</v>
      </c>
      <c r="Z405" t="s">
        <v>7</v>
      </c>
      <c r="AA405" t="s">
        <v>15</v>
      </c>
      <c r="AC405" t="s">
        <v>32</v>
      </c>
      <c r="AD405">
        <v>437</v>
      </c>
    </row>
    <row r="406" spans="1:30" x14ac:dyDescent="0.3">
      <c r="A406">
        <v>15672297</v>
      </c>
      <c r="B406" s="3">
        <v>45665</v>
      </c>
      <c r="C406">
        <v>2025</v>
      </c>
      <c r="D406">
        <v>1</v>
      </c>
      <c r="E406" t="s">
        <v>1579</v>
      </c>
      <c r="F406" t="s">
        <v>0</v>
      </c>
      <c r="G406" t="s">
        <v>10</v>
      </c>
      <c r="H406" t="b">
        <v>0</v>
      </c>
      <c r="I406" t="b">
        <v>0</v>
      </c>
      <c r="J406" t="b">
        <v>0</v>
      </c>
      <c r="K406" t="b">
        <v>0</v>
      </c>
      <c r="L406" t="s">
        <v>1906</v>
      </c>
      <c r="M406" t="s">
        <v>404</v>
      </c>
      <c r="N406" t="s">
        <v>12</v>
      </c>
      <c r="O406" t="b">
        <v>1</v>
      </c>
      <c r="P406">
        <v>3</v>
      </c>
      <c r="Q406" t="s">
        <v>169</v>
      </c>
      <c r="R406" t="s">
        <v>170</v>
      </c>
      <c r="S406" t="s">
        <v>5</v>
      </c>
      <c r="T406" t="s">
        <v>619</v>
      </c>
      <c r="U406" t="s">
        <v>106</v>
      </c>
      <c r="V406" t="s">
        <v>172</v>
      </c>
      <c r="W406">
        <v>1</v>
      </c>
      <c r="X406" t="s">
        <v>31</v>
      </c>
      <c r="Z406" t="s">
        <v>5</v>
      </c>
      <c r="AA406" t="s">
        <v>5</v>
      </c>
      <c r="AC406" t="s">
        <v>716</v>
      </c>
      <c r="AD406">
        <v>444</v>
      </c>
    </row>
    <row r="407" spans="1:30" x14ac:dyDescent="0.3">
      <c r="A407">
        <v>15673037</v>
      </c>
      <c r="B407" s="3">
        <v>45665</v>
      </c>
      <c r="C407">
        <v>2025</v>
      </c>
      <c r="D407">
        <v>1</v>
      </c>
      <c r="E407" t="s">
        <v>1579</v>
      </c>
      <c r="F407" t="s">
        <v>0</v>
      </c>
      <c r="G407" t="s">
        <v>10</v>
      </c>
      <c r="H407" t="b">
        <v>0</v>
      </c>
      <c r="I407" t="b">
        <v>0</v>
      </c>
      <c r="J407" t="b">
        <v>0</v>
      </c>
      <c r="K407" t="b">
        <v>0</v>
      </c>
      <c r="L407" t="s">
        <v>1907</v>
      </c>
      <c r="M407" t="s">
        <v>404</v>
      </c>
      <c r="N407" t="s">
        <v>17</v>
      </c>
      <c r="O407" t="b">
        <v>0</v>
      </c>
      <c r="P407">
        <v>5</v>
      </c>
      <c r="Q407" t="s">
        <v>169</v>
      </c>
      <c r="R407" t="s">
        <v>170</v>
      </c>
      <c r="S407" t="s">
        <v>5</v>
      </c>
      <c r="T407" t="s">
        <v>619</v>
      </c>
      <c r="U407" t="s">
        <v>106</v>
      </c>
      <c r="V407" t="s">
        <v>172</v>
      </c>
      <c r="W407">
        <v>1</v>
      </c>
      <c r="X407" t="s">
        <v>31</v>
      </c>
      <c r="Z407" t="s">
        <v>5</v>
      </c>
      <c r="AA407" t="s">
        <v>5</v>
      </c>
      <c r="AC407" t="s">
        <v>716</v>
      </c>
      <c r="AD407">
        <v>444</v>
      </c>
    </row>
    <row r="408" spans="1:30" x14ac:dyDescent="0.3">
      <c r="A408">
        <v>15673239</v>
      </c>
      <c r="B408" s="3">
        <v>45665</v>
      </c>
      <c r="C408">
        <v>2025</v>
      </c>
      <c r="D408">
        <v>1</v>
      </c>
      <c r="E408" t="s">
        <v>1579</v>
      </c>
      <c r="F408" t="s">
        <v>0</v>
      </c>
      <c r="G408" t="s">
        <v>10</v>
      </c>
      <c r="H408" t="b">
        <v>0</v>
      </c>
      <c r="I408" t="b">
        <v>0</v>
      </c>
      <c r="J408" t="b">
        <v>0</v>
      </c>
      <c r="K408" t="b">
        <v>0</v>
      </c>
      <c r="L408" t="s">
        <v>1908</v>
      </c>
      <c r="M408" t="s">
        <v>404</v>
      </c>
      <c r="N408" t="s">
        <v>264</v>
      </c>
      <c r="O408" t="b">
        <v>0</v>
      </c>
      <c r="P408">
        <v>3</v>
      </c>
      <c r="Q408" t="s">
        <v>169</v>
      </c>
      <c r="R408" t="s">
        <v>170</v>
      </c>
      <c r="S408" t="s">
        <v>5</v>
      </c>
      <c r="T408" t="s">
        <v>619</v>
      </c>
      <c r="U408" t="s">
        <v>106</v>
      </c>
      <c r="V408" t="s">
        <v>172</v>
      </c>
      <c r="W408">
        <v>1</v>
      </c>
      <c r="X408" t="s">
        <v>31</v>
      </c>
      <c r="Z408" t="s">
        <v>5</v>
      </c>
      <c r="AA408" t="s">
        <v>5</v>
      </c>
      <c r="AC408" t="s">
        <v>716</v>
      </c>
      <c r="AD408">
        <v>444</v>
      </c>
    </row>
    <row r="409" spans="1:30" x14ac:dyDescent="0.3">
      <c r="A409">
        <v>15673599</v>
      </c>
      <c r="B409" s="3">
        <v>45665</v>
      </c>
      <c r="C409">
        <v>2025</v>
      </c>
      <c r="D409">
        <v>1</v>
      </c>
      <c r="E409" t="s">
        <v>1579</v>
      </c>
      <c r="F409" t="s">
        <v>0</v>
      </c>
      <c r="G409" t="s">
        <v>10</v>
      </c>
      <c r="H409" t="b">
        <v>0</v>
      </c>
      <c r="I409" t="b">
        <v>0</v>
      </c>
      <c r="J409" t="b">
        <v>0</v>
      </c>
      <c r="K409" t="b">
        <v>0</v>
      </c>
      <c r="L409" t="s">
        <v>1909</v>
      </c>
      <c r="M409" t="s">
        <v>404</v>
      </c>
      <c r="N409" t="s">
        <v>17</v>
      </c>
      <c r="O409" t="b">
        <v>0</v>
      </c>
      <c r="P409">
        <v>5</v>
      </c>
      <c r="Q409" t="s">
        <v>169</v>
      </c>
      <c r="R409" t="s">
        <v>170</v>
      </c>
      <c r="S409" t="s">
        <v>5</v>
      </c>
      <c r="T409" t="s">
        <v>619</v>
      </c>
      <c r="U409" t="s">
        <v>106</v>
      </c>
      <c r="V409" t="s">
        <v>172</v>
      </c>
      <c r="W409">
        <v>1</v>
      </c>
      <c r="X409" t="s">
        <v>31</v>
      </c>
      <c r="Z409" t="s">
        <v>5</v>
      </c>
      <c r="AA409" t="s">
        <v>5</v>
      </c>
      <c r="AC409" t="s">
        <v>716</v>
      </c>
      <c r="AD409">
        <v>444</v>
      </c>
    </row>
    <row r="410" spans="1:30" x14ac:dyDescent="0.3">
      <c r="A410">
        <v>15676161</v>
      </c>
      <c r="B410" s="3">
        <v>45665</v>
      </c>
      <c r="C410">
        <v>2025</v>
      </c>
      <c r="D410">
        <v>1</v>
      </c>
      <c r="E410" t="s">
        <v>1579</v>
      </c>
      <c r="F410" t="s">
        <v>0</v>
      </c>
      <c r="G410" t="s">
        <v>10</v>
      </c>
      <c r="H410" t="b">
        <v>0</v>
      </c>
      <c r="I410" t="b">
        <v>0</v>
      </c>
      <c r="J410" t="b">
        <v>0</v>
      </c>
      <c r="K410" t="b">
        <v>0</v>
      </c>
      <c r="L410" t="s">
        <v>1910</v>
      </c>
      <c r="M410" t="s">
        <v>404</v>
      </c>
      <c r="N410" t="s">
        <v>264</v>
      </c>
      <c r="O410" t="b">
        <v>0</v>
      </c>
      <c r="P410">
        <v>3</v>
      </c>
      <c r="Q410" t="s">
        <v>169</v>
      </c>
      <c r="R410" t="s">
        <v>170</v>
      </c>
      <c r="S410" t="s">
        <v>5</v>
      </c>
      <c r="T410" t="s">
        <v>619</v>
      </c>
      <c r="U410" t="s">
        <v>106</v>
      </c>
      <c r="V410" t="s">
        <v>172</v>
      </c>
      <c r="W410">
        <v>1</v>
      </c>
      <c r="X410" t="s">
        <v>31</v>
      </c>
      <c r="Z410" t="s">
        <v>5</v>
      </c>
      <c r="AA410" t="s">
        <v>5</v>
      </c>
      <c r="AC410" t="s">
        <v>716</v>
      </c>
      <c r="AD410">
        <v>444</v>
      </c>
    </row>
    <row r="411" spans="1:30" x14ac:dyDescent="0.3">
      <c r="A411">
        <v>15677477</v>
      </c>
      <c r="B411" s="3">
        <v>45665</v>
      </c>
      <c r="C411">
        <v>2025</v>
      </c>
      <c r="D411">
        <v>1</v>
      </c>
      <c r="E411" t="s">
        <v>1579</v>
      </c>
      <c r="F411" t="s">
        <v>0</v>
      </c>
      <c r="G411" t="s">
        <v>10</v>
      </c>
      <c r="H411" t="b">
        <v>0</v>
      </c>
      <c r="I411" t="b">
        <v>0</v>
      </c>
      <c r="J411" t="b">
        <v>0</v>
      </c>
      <c r="K411" t="b">
        <v>0</v>
      </c>
      <c r="L411" t="s">
        <v>1911</v>
      </c>
      <c r="M411" t="s">
        <v>404</v>
      </c>
      <c r="N411" t="s">
        <v>17</v>
      </c>
      <c r="O411" t="b">
        <v>0</v>
      </c>
      <c r="P411">
        <v>5</v>
      </c>
      <c r="Q411" t="s">
        <v>169</v>
      </c>
      <c r="R411" t="s">
        <v>170</v>
      </c>
      <c r="S411" t="s">
        <v>5</v>
      </c>
      <c r="T411" t="s">
        <v>619</v>
      </c>
      <c r="U411" t="s">
        <v>106</v>
      </c>
      <c r="V411" t="s">
        <v>172</v>
      </c>
      <c r="W411">
        <v>1</v>
      </c>
      <c r="X411" t="s">
        <v>31</v>
      </c>
      <c r="Z411" t="s">
        <v>5</v>
      </c>
      <c r="AA411" t="s">
        <v>5</v>
      </c>
      <c r="AC411" t="s">
        <v>716</v>
      </c>
      <c r="AD411">
        <v>444</v>
      </c>
    </row>
    <row r="412" spans="1:30" x14ac:dyDescent="0.3">
      <c r="A412">
        <v>15677636</v>
      </c>
      <c r="B412" s="3">
        <v>45665</v>
      </c>
      <c r="C412">
        <v>2025</v>
      </c>
      <c r="D412">
        <v>1</v>
      </c>
      <c r="E412" t="s">
        <v>1579</v>
      </c>
      <c r="F412" t="s">
        <v>0</v>
      </c>
      <c r="G412" t="s">
        <v>10</v>
      </c>
      <c r="H412" t="b">
        <v>0</v>
      </c>
      <c r="I412" t="b">
        <v>0</v>
      </c>
      <c r="J412" t="b">
        <v>0</v>
      </c>
      <c r="K412" t="b">
        <v>0</v>
      </c>
      <c r="L412" t="s">
        <v>1912</v>
      </c>
      <c r="M412" t="s">
        <v>404</v>
      </c>
      <c r="N412" t="s">
        <v>17</v>
      </c>
      <c r="O412" t="b">
        <v>0</v>
      </c>
      <c r="P412">
        <v>3</v>
      </c>
      <c r="Q412" t="s">
        <v>169</v>
      </c>
      <c r="R412" t="s">
        <v>170</v>
      </c>
      <c r="S412" t="s">
        <v>5</v>
      </c>
      <c r="T412" t="s">
        <v>619</v>
      </c>
      <c r="U412" t="s">
        <v>106</v>
      </c>
      <c r="V412" t="s">
        <v>172</v>
      </c>
      <c r="W412">
        <v>1</v>
      </c>
      <c r="X412" t="s">
        <v>31</v>
      </c>
      <c r="Z412" t="s">
        <v>5</v>
      </c>
      <c r="AA412" t="s">
        <v>5</v>
      </c>
      <c r="AC412" t="s">
        <v>716</v>
      </c>
      <c r="AD412">
        <v>444</v>
      </c>
    </row>
    <row r="413" spans="1:30" x14ac:dyDescent="0.3">
      <c r="A413">
        <v>15677859</v>
      </c>
      <c r="B413" s="3">
        <v>45665</v>
      </c>
      <c r="C413">
        <v>2025</v>
      </c>
      <c r="D413">
        <v>1</v>
      </c>
      <c r="E413" t="s">
        <v>1579</v>
      </c>
      <c r="F413" t="s">
        <v>0</v>
      </c>
      <c r="G413" t="s">
        <v>10</v>
      </c>
      <c r="H413" t="b">
        <v>0</v>
      </c>
      <c r="I413" t="b">
        <v>0</v>
      </c>
      <c r="J413" t="b">
        <v>0</v>
      </c>
      <c r="K413" t="b">
        <v>0</v>
      </c>
      <c r="L413" t="s">
        <v>1913</v>
      </c>
      <c r="M413" t="s">
        <v>404</v>
      </c>
      <c r="N413" t="s">
        <v>264</v>
      </c>
      <c r="O413" t="b">
        <v>0</v>
      </c>
      <c r="P413">
        <v>3</v>
      </c>
      <c r="Q413" t="s">
        <v>169</v>
      </c>
      <c r="R413" t="s">
        <v>170</v>
      </c>
      <c r="S413" t="s">
        <v>5</v>
      </c>
      <c r="T413" t="s">
        <v>619</v>
      </c>
      <c r="U413" t="s">
        <v>106</v>
      </c>
      <c r="V413" t="s">
        <v>172</v>
      </c>
      <c r="W413">
        <v>1</v>
      </c>
      <c r="X413" t="s">
        <v>31</v>
      </c>
      <c r="Z413" t="s">
        <v>5</v>
      </c>
      <c r="AA413" t="s">
        <v>5</v>
      </c>
      <c r="AC413" t="s">
        <v>716</v>
      </c>
      <c r="AD413">
        <v>444</v>
      </c>
    </row>
    <row r="414" spans="1:30" x14ac:dyDescent="0.3">
      <c r="A414">
        <v>15682088</v>
      </c>
      <c r="B414" s="3">
        <v>45666</v>
      </c>
      <c r="C414">
        <v>2025</v>
      </c>
      <c r="D414">
        <v>1</v>
      </c>
      <c r="E414" t="s">
        <v>1579</v>
      </c>
      <c r="F414" t="s">
        <v>0</v>
      </c>
      <c r="G414" t="s">
        <v>10</v>
      </c>
      <c r="H414" t="b">
        <v>0</v>
      </c>
      <c r="I414" t="b">
        <v>0</v>
      </c>
      <c r="J414" t="b">
        <v>0</v>
      </c>
      <c r="K414" t="b">
        <v>0</v>
      </c>
      <c r="L414" t="s">
        <v>1914</v>
      </c>
      <c r="M414" t="s">
        <v>404</v>
      </c>
      <c r="N414" t="s">
        <v>17</v>
      </c>
      <c r="O414" t="b">
        <v>0</v>
      </c>
      <c r="P414">
        <v>5</v>
      </c>
      <c r="Q414" t="s">
        <v>169</v>
      </c>
      <c r="R414" t="s">
        <v>170</v>
      </c>
      <c r="S414" t="s">
        <v>5</v>
      </c>
      <c r="T414" t="s">
        <v>1469</v>
      </c>
      <c r="U414" t="s">
        <v>106</v>
      </c>
      <c r="V414" t="s">
        <v>172</v>
      </c>
      <c r="W414">
        <v>1</v>
      </c>
      <c r="X414" t="s">
        <v>31</v>
      </c>
      <c r="Z414" t="s">
        <v>5</v>
      </c>
      <c r="AA414" t="s">
        <v>5</v>
      </c>
      <c r="AC414" t="s">
        <v>716</v>
      </c>
      <c r="AD414">
        <v>443</v>
      </c>
    </row>
    <row r="415" spans="1:30" x14ac:dyDescent="0.3">
      <c r="A415">
        <v>15682468</v>
      </c>
      <c r="B415" s="3">
        <v>45664</v>
      </c>
      <c r="C415">
        <v>2025</v>
      </c>
      <c r="D415">
        <v>1</v>
      </c>
      <c r="E415" t="s">
        <v>1579</v>
      </c>
      <c r="F415" t="s">
        <v>0</v>
      </c>
      <c r="G415" t="s">
        <v>1</v>
      </c>
      <c r="H415" t="b">
        <v>0</v>
      </c>
      <c r="I415" t="b">
        <v>1</v>
      </c>
      <c r="J415" t="b">
        <v>0</v>
      </c>
      <c r="K415" t="b">
        <v>0</v>
      </c>
      <c r="L415" t="s">
        <v>1915</v>
      </c>
      <c r="M415" t="s">
        <v>1915</v>
      </c>
      <c r="N415" t="s">
        <v>21</v>
      </c>
      <c r="O415" t="b">
        <v>0</v>
      </c>
      <c r="P415">
        <v>1</v>
      </c>
      <c r="Q415" t="s">
        <v>181</v>
      </c>
      <c r="R415" t="s">
        <v>182</v>
      </c>
      <c r="S415">
        <v>58</v>
      </c>
      <c r="T415" t="s">
        <v>291</v>
      </c>
      <c r="U415" t="s">
        <v>184</v>
      </c>
      <c r="V415" t="s">
        <v>5</v>
      </c>
      <c r="W415">
        <v>9</v>
      </c>
      <c r="X415" t="s">
        <v>6</v>
      </c>
      <c r="Y415">
        <v>17</v>
      </c>
      <c r="Z415" t="s">
        <v>19</v>
      </c>
      <c r="AA415" t="s">
        <v>15</v>
      </c>
      <c r="AC415" t="s">
        <v>32</v>
      </c>
      <c r="AD415">
        <v>445</v>
      </c>
    </row>
    <row r="416" spans="1:30" x14ac:dyDescent="0.3">
      <c r="A416">
        <v>15689997</v>
      </c>
      <c r="B416" s="3">
        <v>45677</v>
      </c>
      <c r="C416">
        <v>2025</v>
      </c>
      <c r="D416">
        <v>1</v>
      </c>
      <c r="E416" t="s">
        <v>1579</v>
      </c>
      <c r="F416" t="s">
        <v>0</v>
      </c>
      <c r="G416" t="s">
        <v>10</v>
      </c>
      <c r="H416" t="b">
        <v>0</v>
      </c>
      <c r="I416" t="b">
        <v>0</v>
      </c>
      <c r="J416" t="b">
        <v>0</v>
      </c>
      <c r="K416" t="b">
        <v>0</v>
      </c>
      <c r="L416" t="s">
        <v>1916</v>
      </c>
      <c r="M416" t="s">
        <v>206</v>
      </c>
      <c r="N416" t="s">
        <v>57</v>
      </c>
      <c r="O416" t="b">
        <v>1</v>
      </c>
      <c r="P416">
        <v>7</v>
      </c>
      <c r="Q416" t="s">
        <v>630</v>
      </c>
      <c r="R416" t="s">
        <v>5</v>
      </c>
      <c r="S416" t="s">
        <v>5</v>
      </c>
      <c r="T416" t="s">
        <v>590</v>
      </c>
      <c r="U416" t="s">
        <v>5</v>
      </c>
      <c r="V416" t="s">
        <v>5</v>
      </c>
      <c r="W416">
        <v>1</v>
      </c>
      <c r="X416" t="s">
        <v>31</v>
      </c>
      <c r="Z416" t="s">
        <v>5</v>
      </c>
      <c r="AA416" t="s">
        <v>15</v>
      </c>
      <c r="AB416">
        <v>105</v>
      </c>
      <c r="AC416" t="s">
        <v>32</v>
      </c>
      <c r="AD416">
        <v>432</v>
      </c>
    </row>
    <row r="417" spans="1:30" x14ac:dyDescent="0.3">
      <c r="A417">
        <v>15699485</v>
      </c>
      <c r="B417" s="3">
        <v>45673</v>
      </c>
      <c r="C417">
        <v>2025</v>
      </c>
      <c r="D417">
        <v>1</v>
      </c>
      <c r="E417" t="s">
        <v>1579</v>
      </c>
      <c r="F417" t="s">
        <v>0</v>
      </c>
      <c r="G417" t="s">
        <v>197</v>
      </c>
      <c r="H417" t="b">
        <v>1</v>
      </c>
      <c r="I417" t="b">
        <v>1</v>
      </c>
      <c r="J417" t="b">
        <v>0</v>
      </c>
      <c r="K417" t="b">
        <v>0</v>
      </c>
      <c r="L417" t="s">
        <v>1917</v>
      </c>
      <c r="M417" t="s">
        <v>1918</v>
      </c>
      <c r="N417" t="s">
        <v>63</v>
      </c>
      <c r="O417" t="b">
        <v>0</v>
      </c>
      <c r="P417">
        <v>9</v>
      </c>
      <c r="Q417" t="s">
        <v>320</v>
      </c>
      <c r="R417" t="s">
        <v>321</v>
      </c>
      <c r="S417">
        <v>65</v>
      </c>
      <c r="T417" t="s">
        <v>594</v>
      </c>
      <c r="U417" t="s">
        <v>4</v>
      </c>
      <c r="V417" t="s">
        <v>322</v>
      </c>
      <c r="W417">
        <v>4</v>
      </c>
      <c r="X417" t="s">
        <v>40</v>
      </c>
      <c r="Z417" t="s">
        <v>5</v>
      </c>
      <c r="AA417" t="s">
        <v>15</v>
      </c>
      <c r="AB417">
        <v>87</v>
      </c>
      <c r="AC417" t="s">
        <v>56</v>
      </c>
      <c r="AD417">
        <v>436</v>
      </c>
    </row>
    <row r="418" spans="1:30" x14ac:dyDescent="0.3">
      <c r="A418">
        <v>15699805</v>
      </c>
      <c r="B418" s="3">
        <v>45688</v>
      </c>
      <c r="C418">
        <v>2025</v>
      </c>
      <c r="D418">
        <v>1</v>
      </c>
      <c r="E418" t="s">
        <v>1579</v>
      </c>
      <c r="F418" t="s">
        <v>0</v>
      </c>
      <c r="G418" t="s">
        <v>10</v>
      </c>
      <c r="H418" t="b">
        <v>0</v>
      </c>
      <c r="I418" t="b">
        <v>0</v>
      </c>
      <c r="J418" t="b">
        <v>0</v>
      </c>
      <c r="K418" t="b">
        <v>0</v>
      </c>
      <c r="L418" t="s">
        <v>1919</v>
      </c>
      <c r="M418" t="s">
        <v>385</v>
      </c>
      <c r="N418" t="s">
        <v>17</v>
      </c>
      <c r="O418" t="b">
        <v>0</v>
      </c>
      <c r="P418">
        <v>3</v>
      </c>
      <c r="Q418" t="s">
        <v>876</v>
      </c>
      <c r="R418" t="s">
        <v>877</v>
      </c>
      <c r="S418" t="s">
        <v>5</v>
      </c>
      <c r="T418" t="s">
        <v>1134</v>
      </c>
      <c r="U418" t="s">
        <v>878</v>
      </c>
      <c r="V418" t="s">
        <v>706</v>
      </c>
      <c r="W418">
        <v>6</v>
      </c>
      <c r="X418" t="s">
        <v>6</v>
      </c>
      <c r="Y418">
        <v>43</v>
      </c>
      <c r="Z418" t="s">
        <v>7</v>
      </c>
      <c r="AA418" t="s">
        <v>8</v>
      </c>
      <c r="AC418" t="s">
        <v>32</v>
      </c>
      <c r="AD418">
        <v>421</v>
      </c>
    </row>
    <row r="419" spans="1:30" x14ac:dyDescent="0.3">
      <c r="A419">
        <v>15701530</v>
      </c>
      <c r="B419" s="3">
        <v>45665</v>
      </c>
      <c r="C419">
        <v>2025</v>
      </c>
      <c r="D419">
        <v>1</v>
      </c>
      <c r="E419" t="s">
        <v>1579</v>
      </c>
      <c r="F419" t="s">
        <v>0</v>
      </c>
      <c r="G419" t="s">
        <v>1</v>
      </c>
      <c r="H419" t="b">
        <v>0</v>
      </c>
      <c r="I419" t="b">
        <v>1</v>
      </c>
      <c r="J419" t="b">
        <v>0</v>
      </c>
      <c r="K419" t="b">
        <v>0</v>
      </c>
      <c r="L419" t="s">
        <v>1920</v>
      </c>
      <c r="M419" t="s">
        <v>310</v>
      </c>
      <c r="N419" t="s">
        <v>70</v>
      </c>
      <c r="O419" t="b">
        <v>0</v>
      </c>
      <c r="P419">
        <v>19</v>
      </c>
      <c r="Q419" t="s">
        <v>135</v>
      </c>
      <c r="R419" t="s">
        <v>136</v>
      </c>
      <c r="S419">
        <v>58</v>
      </c>
      <c r="T419" t="s">
        <v>62</v>
      </c>
      <c r="U419" t="s">
        <v>81</v>
      </c>
      <c r="V419" t="s">
        <v>137</v>
      </c>
      <c r="W419">
        <v>34</v>
      </c>
      <c r="X419" t="s">
        <v>6</v>
      </c>
      <c r="Y419">
        <v>76</v>
      </c>
      <c r="Z419" t="s">
        <v>67</v>
      </c>
      <c r="AA419" t="s">
        <v>8</v>
      </c>
      <c r="AC419" t="s">
        <v>9</v>
      </c>
      <c r="AD419">
        <v>444</v>
      </c>
    </row>
    <row r="420" spans="1:30" x14ac:dyDescent="0.3">
      <c r="A420">
        <v>15704106</v>
      </c>
      <c r="B420" s="3">
        <v>45664</v>
      </c>
      <c r="C420">
        <v>2025</v>
      </c>
      <c r="D420">
        <v>1</v>
      </c>
      <c r="E420" t="s">
        <v>1579</v>
      </c>
      <c r="F420" t="s">
        <v>0</v>
      </c>
      <c r="G420" t="s">
        <v>1</v>
      </c>
      <c r="H420" t="b">
        <v>0</v>
      </c>
      <c r="I420" t="b">
        <v>1</v>
      </c>
      <c r="J420" t="b">
        <v>0</v>
      </c>
      <c r="K420" t="b">
        <v>0</v>
      </c>
      <c r="L420" t="s">
        <v>1540</v>
      </c>
      <c r="M420" t="s">
        <v>1065</v>
      </c>
      <c r="N420" t="s">
        <v>57</v>
      </c>
      <c r="O420" t="b">
        <v>1</v>
      </c>
      <c r="P420">
        <v>3</v>
      </c>
      <c r="Q420" t="s">
        <v>1481</v>
      </c>
      <c r="R420" t="s">
        <v>5</v>
      </c>
      <c r="S420">
        <v>65</v>
      </c>
      <c r="T420" t="s">
        <v>83</v>
      </c>
      <c r="U420" t="s">
        <v>5</v>
      </c>
      <c r="V420" t="s">
        <v>5</v>
      </c>
      <c r="W420">
        <v>21</v>
      </c>
      <c r="X420" t="s">
        <v>6</v>
      </c>
      <c r="Y420">
        <v>54</v>
      </c>
      <c r="Z420" t="s">
        <v>7</v>
      </c>
      <c r="AA420" t="s">
        <v>8</v>
      </c>
      <c r="AC420" t="s">
        <v>47</v>
      </c>
      <c r="AD420">
        <v>445</v>
      </c>
    </row>
    <row r="421" spans="1:30" x14ac:dyDescent="0.3">
      <c r="A421">
        <v>15715924</v>
      </c>
      <c r="B421" s="3">
        <v>45687</v>
      </c>
      <c r="C421">
        <v>2025</v>
      </c>
      <c r="D421">
        <v>1</v>
      </c>
      <c r="E421" t="s">
        <v>1579</v>
      </c>
      <c r="F421" t="s">
        <v>125</v>
      </c>
      <c r="G421" t="s">
        <v>10</v>
      </c>
      <c r="H421" t="b">
        <v>0</v>
      </c>
      <c r="I421" t="b">
        <v>0</v>
      </c>
      <c r="J421" t="b">
        <v>0</v>
      </c>
      <c r="K421" t="b">
        <v>0</v>
      </c>
      <c r="L421" t="s">
        <v>192</v>
      </c>
      <c r="M421" t="s">
        <v>192</v>
      </c>
      <c r="N421" t="s">
        <v>21</v>
      </c>
      <c r="O421" t="b">
        <v>0</v>
      </c>
      <c r="P421">
        <v>1</v>
      </c>
      <c r="Q421" t="s">
        <v>127</v>
      </c>
      <c r="R421" t="s">
        <v>128</v>
      </c>
      <c r="S421">
        <v>65</v>
      </c>
      <c r="T421" t="s">
        <v>83</v>
      </c>
      <c r="U421" t="s">
        <v>129</v>
      </c>
      <c r="V421" t="s">
        <v>130</v>
      </c>
      <c r="W421">
        <v>3</v>
      </c>
      <c r="X421" t="s">
        <v>14</v>
      </c>
      <c r="Y421">
        <v>69</v>
      </c>
      <c r="Z421" t="s">
        <v>67</v>
      </c>
      <c r="AA421" t="s">
        <v>8</v>
      </c>
      <c r="AC421" t="s">
        <v>32</v>
      </c>
      <c r="AD421">
        <v>422</v>
      </c>
    </row>
    <row r="422" spans="1:30" x14ac:dyDescent="0.3">
      <c r="A422">
        <v>15720142</v>
      </c>
      <c r="B422" s="3">
        <v>45663</v>
      </c>
      <c r="C422">
        <v>2025</v>
      </c>
      <c r="D422">
        <v>1</v>
      </c>
      <c r="E422" t="s">
        <v>1579</v>
      </c>
      <c r="F422" t="s">
        <v>0</v>
      </c>
      <c r="G422" t="s">
        <v>198</v>
      </c>
      <c r="H422" t="b">
        <v>0</v>
      </c>
      <c r="I422" t="b">
        <v>0</v>
      </c>
      <c r="J422" t="b">
        <v>1</v>
      </c>
      <c r="K422" t="b">
        <v>0</v>
      </c>
      <c r="L422" t="s">
        <v>1921</v>
      </c>
      <c r="M422" t="s">
        <v>838</v>
      </c>
      <c r="N422" t="s">
        <v>5</v>
      </c>
      <c r="O422" t="b">
        <v>0</v>
      </c>
      <c r="P422">
        <v>7</v>
      </c>
      <c r="Q422" t="s">
        <v>614</v>
      </c>
      <c r="R422" t="s">
        <v>615</v>
      </c>
      <c r="S422">
        <v>65</v>
      </c>
      <c r="T422" t="s">
        <v>247</v>
      </c>
      <c r="U422" t="s">
        <v>616</v>
      </c>
      <c r="V422" t="s">
        <v>115</v>
      </c>
      <c r="W422">
        <v>14</v>
      </c>
      <c r="X422" t="s">
        <v>6</v>
      </c>
      <c r="Y422">
        <v>48</v>
      </c>
      <c r="Z422" t="s">
        <v>7</v>
      </c>
      <c r="AA422" t="s">
        <v>8</v>
      </c>
      <c r="AC422" t="s">
        <v>284</v>
      </c>
      <c r="AD422">
        <v>446</v>
      </c>
    </row>
    <row r="423" spans="1:30" x14ac:dyDescent="0.3">
      <c r="A423">
        <v>15720325</v>
      </c>
      <c r="B423" s="3">
        <v>45686</v>
      </c>
      <c r="C423">
        <v>2025</v>
      </c>
      <c r="D423">
        <v>1</v>
      </c>
      <c r="E423" t="s">
        <v>1579</v>
      </c>
      <c r="F423" t="s">
        <v>125</v>
      </c>
      <c r="G423" t="s">
        <v>10</v>
      </c>
      <c r="H423" t="b">
        <v>0</v>
      </c>
      <c r="I423" t="b">
        <v>0</v>
      </c>
      <c r="J423" t="b">
        <v>0</v>
      </c>
      <c r="K423" t="b">
        <v>0</v>
      </c>
      <c r="L423" t="s">
        <v>1922</v>
      </c>
      <c r="M423" t="s">
        <v>717</v>
      </c>
      <c r="N423" t="s">
        <v>5</v>
      </c>
      <c r="O423" t="b">
        <v>0</v>
      </c>
      <c r="P423">
        <v>9</v>
      </c>
      <c r="Q423" t="s">
        <v>820</v>
      </c>
      <c r="R423" t="s">
        <v>821</v>
      </c>
      <c r="S423" t="s">
        <v>5</v>
      </c>
      <c r="T423" t="s">
        <v>822</v>
      </c>
      <c r="U423" t="s">
        <v>271</v>
      </c>
      <c r="V423" t="s">
        <v>823</v>
      </c>
      <c r="W423">
        <v>14</v>
      </c>
      <c r="X423" t="s">
        <v>6</v>
      </c>
      <c r="Z423" t="s">
        <v>5</v>
      </c>
      <c r="AA423" t="s">
        <v>8</v>
      </c>
      <c r="AB423">
        <v>54</v>
      </c>
      <c r="AC423" t="s">
        <v>32</v>
      </c>
      <c r="AD423">
        <v>423</v>
      </c>
    </row>
    <row r="424" spans="1:30" x14ac:dyDescent="0.3">
      <c r="A424">
        <v>15720575</v>
      </c>
      <c r="B424" s="3">
        <v>45674</v>
      </c>
      <c r="C424">
        <v>2025</v>
      </c>
      <c r="D424">
        <v>1</v>
      </c>
      <c r="E424" t="s">
        <v>1579</v>
      </c>
      <c r="F424" t="s">
        <v>0</v>
      </c>
      <c r="G424" t="s">
        <v>1</v>
      </c>
      <c r="H424" t="b">
        <v>0</v>
      </c>
      <c r="I424" t="b">
        <v>1</v>
      </c>
      <c r="J424" t="b">
        <v>0</v>
      </c>
      <c r="K424" t="b">
        <v>0</v>
      </c>
      <c r="L424" t="s">
        <v>1923</v>
      </c>
      <c r="M424" t="s">
        <v>432</v>
      </c>
      <c r="N424" t="s">
        <v>57</v>
      </c>
      <c r="O424" t="b">
        <v>1</v>
      </c>
      <c r="P424">
        <v>5</v>
      </c>
      <c r="Q424" t="s">
        <v>1077</v>
      </c>
      <c r="R424" t="s">
        <v>5</v>
      </c>
      <c r="S424">
        <v>58</v>
      </c>
      <c r="T424" t="s">
        <v>664</v>
      </c>
      <c r="U424" t="s">
        <v>5</v>
      </c>
      <c r="V424" t="s">
        <v>5</v>
      </c>
      <c r="W424">
        <v>1</v>
      </c>
      <c r="X424" t="s">
        <v>31</v>
      </c>
      <c r="Z424" t="s">
        <v>5</v>
      </c>
      <c r="AA424" t="s">
        <v>8</v>
      </c>
      <c r="AC424" t="s">
        <v>9</v>
      </c>
      <c r="AD424">
        <v>435</v>
      </c>
    </row>
    <row r="425" spans="1:30" x14ac:dyDescent="0.3">
      <c r="A425">
        <v>15721459</v>
      </c>
      <c r="B425" s="3">
        <v>45681</v>
      </c>
      <c r="C425">
        <v>2025</v>
      </c>
      <c r="D425">
        <v>1</v>
      </c>
      <c r="E425" t="s">
        <v>1579</v>
      </c>
      <c r="F425" t="s">
        <v>125</v>
      </c>
      <c r="G425" t="s">
        <v>10</v>
      </c>
      <c r="H425" t="b">
        <v>0</v>
      </c>
      <c r="I425" t="b">
        <v>0</v>
      </c>
      <c r="J425" t="b">
        <v>0</v>
      </c>
      <c r="K425" t="b">
        <v>0</v>
      </c>
      <c r="L425" t="s">
        <v>1924</v>
      </c>
      <c r="M425" t="s">
        <v>217</v>
      </c>
      <c r="N425" t="s">
        <v>70</v>
      </c>
      <c r="O425" t="b">
        <v>0</v>
      </c>
      <c r="P425">
        <v>22</v>
      </c>
      <c r="Q425" t="s">
        <v>367</v>
      </c>
      <c r="R425" t="s">
        <v>368</v>
      </c>
      <c r="S425">
        <v>42</v>
      </c>
      <c r="T425" t="s">
        <v>758</v>
      </c>
      <c r="U425" t="s">
        <v>81</v>
      </c>
      <c r="V425" t="s">
        <v>82</v>
      </c>
      <c r="W425">
        <v>9</v>
      </c>
      <c r="X425" t="s">
        <v>6</v>
      </c>
      <c r="Y425">
        <v>55</v>
      </c>
      <c r="Z425" t="s">
        <v>7</v>
      </c>
      <c r="AA425" t="s">
        <v>8</v>
      </c>
      <c r="AC425" t="s">
        <v>101</v>
      </c>
      <c r="AD425">
        <v>428</v>
      </c>
    </row>
    <row r="426" spans="1:30" x14ac:dyDescent="0.3">
      <c r="A426">
        <v>15722016</v>
      </c>
      <c r="B426" s="3">
        <v>45668</v>
      </c>
      <c r="C426">
        <v>2025</v>
      </c>
      <c r="D426">
        <v>1</v>
      </c>
      <c r="E426" t="s">
        <v>1579</v>
      </c>
      <c r="F426" t="s">
        <v>0</v>
      </c>
      <c r="G426" t="s">
        <v>1</v>
      </c>
      <c r="H426" t="b">
        <v>0</v>
      </c>
      <c r="I426" t="b">
        <v>1</v>
      </c>
      <c r="J426" t="b">
        <v>0</v>
      </c>
      <c r="K426" t="b">
        <v>0</v>
      </c>
      <c r="L426" t="s">
        <v>1925</v>
      </c>
      <c r="M426" t="s">
        <v>1396</v>
      </c>
      <c r="N426" t="s">
        <v>118</v>
      </c>
      <c r="O426" t="b">
        <v>0</v>
      </c>
      <c r="P426">
        <v>12</v>
      </c>
      <c r="Q426" t="s">
        <v>141</v>
      </c>
      <c r="R426" t="s">
        <v>142</v>
      </c>
      <c r="S426">
        <v>48</v>
      </c>
      <c r="T426" t="s">
        <v>143</v>
      </c>
      <c r="U426" t="s">
        <v>144</v>
      </c>
      <c r="V426" t="s">
        <v>5</v>
      </c>
      <c r="W426">
        <v>12</v>
      </c>
      <c r="X426" t="s">
        <v>6</v>
      </c>
      <c r="Z426" t="s">
        <v>5</v>
      </c>
      <c r="AA426" t="s">
        <v>15</v>
      </c>
      <c r="AC426" t="s">
        <v>32</v>
      </c>
      <c r="AD426">
        <v>441</v>
      </c>
    </row>
    <row r="427" spans="1:30" x14ac:dyDescent="0.3">
      <c r="A427">
        <v>15725768</v>
      </c>
      <c r="B427" s="3">
        <v>45670</v>
      </c>
      <c r="C427">
        <v>2025</v>
      </c>
      <c r="D427">
        <v>1</v>
      </c>
      <c r="E427" t="s">
        <v>1579</v>
      </c>
      <c r="F427" t="s">
        <v>125</v>
      </c>
      <c r="G427" t="s">
        <v>10</v>
      </c>
      <c r="H427" t="b">
        <v>0</v>
      </c>
      <c r="I427" t="b">
        <v>0</v>
      </c>
      <c r="J427" t="b">
        <v>0</v>
      </c>
      <c r="K427" t="b">
        <v>0</v>
      </c>
      <c r="L427" t="s">
        <v>1926</v>
      </c>
      <c r="M427" t="s">
        <v>265</v>
      </c>
      <c r="N427" t="s">
        <v>5</v>
      </c>
      <c r="O427" t="b">
        <v>0</v>
      </c>
      <c r="P427">
        <v>6</v>
      </c>
      <c r="Q427" t="s">
        <v>34</v>
      </c>
      <c r="R427" t="s">
        <v>35</v>
      </c>
      <c r="S427">
        <v>48</v>
      </c>
      <c r="T427" t="s">
        <v>39</v>
      </c>
      <c r="U427" t="s">
        <v>37</v>
      </c>
      <c r="V427" t="s">
        <v>38</v>
      </c>
      <c r="W427">
        <v>2</v>
      </c>
      <c r="X427" t="s">
        <v>14</v>
      </c>
      <c r="Y427">
        <v>12</v>
      </c>
      <c r="Z427" t="s">
        <v>46</v>
      </c>
      <c r="AA427" t="s">
        <v>15</v>
      </c>
      <c r="AC427" t="s">
        <v>32</v>
      </c>
      <c r="AD427">
        <v>439</v>
      </c>
    </row>
    <row r="428" spans="1:30" x14ac:dyDescent="0.3">
      <c r="A428">
        <v>15727787</v>
      </c>
      <c r="B428" s="3">
        <v>45685</v>
      </c>
      <c r="C428">
        <v>2025</v>
      </c>
      <c r="D428">
        <v>1</v>
      </c>
      <c r="E428" t="s">
        <v>1579</v>
      </c>
      <c r="F428" t="s">
        <v>125</v>
      </c>
      <c r="G428" t="s">
        <v>10</v>
      </c>
      <c r="H428" t="b">
        <v>0</v>
      </c>
      <c r="I428" t="b">
        <v>0</v>
      </c>
      <c r="J428" t="b">
        <v>0</v>
      </c>
      <c r="K428" t="b">
        <v>0</v>
      </c>
      <c r="L428" t="s">
        <v>1927</v>
      </c>
      <c r="M428" t="s">
        <v>1335</v>
      </c>
      <c r="N428" t="s">
        <v>63</v>
      </c>
      <c r="O428" t="b">
        <v>0</v>
      </c>
      <c r="P428">
        <v>6</v>
      </c>
      <c r="Q428" t="s">
        <v>208</v>
      </c>
      <c r="R428" t="s">
        <v>286</v>
      </c>
      <c r="S428">
        <v>48</v>
      </c>
      <c r="T428" t="s">
        <v>80</v>
      </c>
      <c r="U428" t="s">
        <v>210</v>
      </c>
      <c r="V428" t="s">
        <v>5</v>
      </c>
      <c r="W428">
        <v>7</v>
      </c>
      <c r="X428" t="s">
        <v>6</v>
      </c>
      <c r="Y428">
        <v>64</v>
      </c>
      <c r="Z428" t="s">
        <v>7</v>
      </c>
      <c r="AA428" t="s">
        <v>8</v>
      </c>
      <c r="AB428">
        <v>65.760000000000005</v>
      </c>
      <c r="AC428" t="s">
        <v>32</v>
      </c>
      <c r="AD428">
        <v>424</v>
      </c>
    </row>
    <row r="429" spans="1:30" x14ac:dyDescent="0.3">
      <c r="A429">
        <v>15729805</v>
      </c>
      <c r="B429" s="3">
        <v>45685</v>
      </c>
      <c r="C429">
        <v>2025</v>
      </c>
      <c r="D429">
        <v>1</v>
      </c>
      <c r="E429" t="s">
        <v>1579</v>
      </c>
      <c r="F429" t="s">
        <v>0</v>
      </c>
      <c r="G429" t="s">
        <v>220</v>
      </c>
      <c r="H429" t="b">
        <v>0</v>
      </c>
      <c r="I429" t="b">
        <v>0</v>
      </c>
      <c r="J429" t="b">
        <v>0</v>
      </c>
      <c r="K429" t="b">
        <v>1</v>
      </c>
      <c r="L429" t="s">
        <v>152</v>
      </c>
      <c r="M429" t="s">
        <v>152</v>
      </c>
      <c r="N429" t="s">
        <v>21</v>
      </c>
      <c r="O429" t="b">
        <v>0</v>
      </c>
      <c r="P429">
        <v>1</v>
      </c>
      <c r="Q429" t="s">
        <v>175</v>
      </c>
      <c r="R429" t="s">
        <v>176</v>
      </c>
      <c r="S429">
        <v>50</v>
      </c>
      <c r="T429" t="s">
        <v>150</v>
      </c>
      <c r="U429" t="s">
        <v>177</v>
      </c>
      <c r="V429" t="s">
        <v>178</v>
      </c>
      <c r="W429">
        <v>5</v>
      </c>
      <c r="X429" t="s">
        <v>40</v>
      </c>
      <c r="Z429" t="s">
        <v>5</v>
      </c>
      <c r="AA429" t="s">
        <v>8</v>
      </c>
      <c r="AC429" t="s">
        <v>32</v>
      </c>
      <c r="AD429">
        <v>424</v>
      </c>
    </row>
    <row r="430" spans="1:30" x14ac:dyDescent="0.3">
      <c r="A430">
        <v>15731772</v>
      </c>
      <c r="B430" s="3">
        <v>45684</v>
      </c>
      <c r="C430">
        <v>2025</v>
      </c>
      <c r="D430">
        <v>1</v>
      </c>
      <c r="E430" t="s">
        <v>1579</v>
      </c>
      <c r="F430" t="s">
        <v>125</v>
      </c>
      <c r="G430" t="s">
        <v>10</v>
      </c>
      <c r="H430" t="b">
        <v>0</v>
      </c>
      <c r="I430" t="b">
        <v>0</v>
      </c>
      <c r="J430" t="b">
        <v>0</v>
      </c>
      <c r="K430" t="b">
        <v>0</v>
      </c>
      <c r="L430" t="s">
        <v>1928</v>
      </c>
      <c r="M430" t="s">
        <v>428</v>
      </c>
      <c r="N430" t="s">
        <v>21</v>
      </c>
      <c r="O430" t="b">
        <v>0</v>
      </c>
      <c r="P430">
        <v>5</v>
      </c>
      <c r="Q430" t="s">
        <v>678</v>
      </c>
      <c r="R430" t="s">
        <v>679</v>
      </c>
      <c r="S430" t="s">
        <v>5</v>
      </c>
      <c r="T430" t="s">
        <v>1470</v>
      </c>
      <c r="U430" t="s">
        <v>680</v>
      </c>
      <c r="V430" t="s">
        <v>111</v>
      </c>
      <c r="W430">
        <v>2</v>
      </c>
      <c r="X430" t="s">
        <v>14</v>
      </c>
      <c r="Y430">
        <v>37</v>
      </c>
      <c r="Z430" t="s">
        <v>61</v>
      </c>
      <c r="AA430" t="s">
        <v>8</v>
      </c>
      <c r="AB430">
        <v>68.040000000000006</v>
      </c>
      <c r="AC430" t="s">
        <v>32</v>
      </c>
      <c r="AD430">
        <v>425</v>
      </c>
    </row>
    <row r="431" spans="1:30" x14ac:dyDescent="0.3">
      <c r="A431">
        <v>15744128</v>
      </c>
      <c r="B431" s="3">
        <v>45667</v>
      </c>
      <c r="C431">
        <v>2025</v>
      </c>
      <c r="D431">
        <v>1</v>
      </c>
      <c r="E431" t="s">
        <v>1579</v>
      </c>
      <c r="F431" t="s">
        <v>0</v>
      </c>
      <c r="G431" t="s">
        <v>16</v>
      </c>
      <c r="H431" t="b">
        <v>0</v>
      </c>
      <c r="I431" t="b">
        <v>1</v>
      </c>
      <c r="J431" t="b">
        <v>1</v>
      </c>
      <c r="K431" t="b">
        <v>0</v>
      </c>
      <c r="L431" t="s">
        <v>1929</v>
      </c>
      <c r="M431" t="s">
        <v>1225</v>
      </c>
      <c r="N431" t="s">
        <v>94</v>
      </c>
      <c r="O431" t="b">
        <v>1</v>
      </c>
      <c r="P431">
        <v>10</v>
      </c>
      <c r="Q431" t="s">
        <v>200</v>
      </c>
      <c r="R431" t="s">
        <v>201</v>
      </c>
      <c r="S431">
        <v>65</v>
      </c>
      <c r="T431" t="s">
        <v>74</v>
      </c>
      <c r="U431" t="s">
        <v>202</v>
      </c>
      <c r="V431" t="s">
        <v>203</v>
      </c>
      <c r="W431">
        <v>2</v>
      </c>
      <c r="X431" t="s">
        <v>14</v>
      </c>
      <c r="Z431" t="s">
        <v>5</v>
      </c>
      <c r="AA431" t="s">
        <v>5</v>
      </c>
      <c r="AC431" t="s">
        <v>32</v>
      </c>
      <c r="AD431">
        <v>442</v>
      </c>
    </row>
    <row r="432" spans="1:30" x14ac:dyDescent="0.3">
      <c r="A432">
        <v>15755375</v>
      </c>
      <c r="B432" s="3">
        <v>45674</v>
      </c>
      <c r="C432">
        <v>2025</v>
      </c>
      <c r="D432">
        <v>1</v>
      </c>
      <c r="E432" t="s">
        <v>1579</v>
      </c>
      <c r="F432" t="s">
        <v>0</v>
      </c>
      <c r="G432" t="s">
        <v>10</v>
      </c>
      <c r="H432" t="b">
        <v>0</v>
      </c>
      <c r="I432" t="b">
        <v>0</v>
      </c>
      <c r="J432" t="b">
        <v>0</v>
      </c>
      <c r="K432" t="b">
        <v>0</v>
      </c>
      <c r="L432" t="s">
        <v>1571</v>
      </c>
      <c r="M432" t="s">
        <v>1166</v>
      </c>
      <c r="N432" t="s">
        <v>5</v>
      </c>
      <c r="O432" t="b">
        <v>0</v>
      </c>
      <c r="P432">
        <v>3</v>
      </c>
      <c r="Q432" t="s">
        <v>1930</v>
      </c>
      <c r="R432" t="s">
        <v>5</v>
      </c>
      <c r="S432" t="s">
        <v>5</v>
      </c>
      <c r="T432" t="s">
        <v>105</v>
      </c>
      <c r="U432" t="s">
        <v>5</v>
      </c>
      <c r="V432" t="s">
        <v>5</v>
      </c>
      <c r="W432">
        <v>4</v>
      </c>
      <c r="X432" t="s">
        <v>40</v>
      </c>
      <c r="Z432" t="s">
        <v>5</v>
      </c>
      <c r="AA432" t="s">
        <v>5</v>
      </c>
      <c r="AC432" t="s">
        <v>116</v>
      </c>
      <c r="AD432">
        <v>435</v>
      </c>
    </row>
    <row r="433" spans="1:30" x14ac:dyDescent="0.3">
      <c r="A433">
        <v>15759396</v>
      </c>
      <c r="B433" s="3">
        <v>45678</v>
      </c>
      <c r="C433">
        <v>2025</v>
      </c>
      <c r="D433">
        <v>1</v>
      </c>
      <c r="E433" t="s">
        <v>1579</v>
      </c>
      <c r="F433" t="s">
        <v>0</v>
      </c>
      <c r="G433" t="s">
        <v>1</v>
      </c>
      <c r="H433" t="b">
        <v>0</v>
      </c>
      <c r="I433" t="b">
        <v>1</v>
      </c>
      <c r="J433" t="b">
        <v>0</v>
      </c>
      <c r="K433" t="b">
        <v>0</v>
      </c>
      <c r="L433" t="s">
        <v>1931</v>
      </c>
      <c r="M433" t="s">
        <v>263</v>
      </c>
      <c r="N433" t="s">
        <v>70</v>
      </c>
      <c r="O433" t="b">
        <v>0</v>
      </c>
      <c r="P433">
        <v>52</v>
      </c>
      <c r="Q433" t="s">
        <v>367</v>
      </c>
      <c r="R433" t="s">
        <v>368</v>
      </c>
      <c r="S433">
        <v>42</v>
      </c>
      <c r="T433" t="s">
        <v>60</v>
      </c>
      <c r="U433" t="s">
        <v>81</v>
      </c>
      <c r="V433" t="s">
        <v>82</v>
      </c>
      <c r="W433">
        <v>16</v>
      </c>
      <c r="X433" t="s">
        <v>6</v>
      </c>
      <c r="Y433">
        <v>40</v>
      </c>
      <c r="Z433" t="s">
        <v>61</v>
      </c>
      <c r="AA433" t="s">
        <v>8</v>
      </c>
      <c r="AC433" t="s">
        <v>101</v>
      </c>
      <c r="AD433">
        <v>431</v>
      </c>
    </row>
    <row r="434" spans="1:30" x14ac:dyDescent="0.3">
      <c r="A434">
        <v>15775465</v>
      </c>
      <c r="B434" s="3">
        <v>45680</v>
      </c>
      <c r="C434">
        <v>2025</v>
      </c>
      <c r="D434">
        <v>1</v>
      </c>
      <c r="E434" t="s">
        <v>1579</v>
      </c>
      <c r="F434" t="s">
        <v>0</v>
      </c>
      <c r="G434" t="s">
        <v>10</v>
      </c>
      <c r="H434" t="b">
        <v>0</v>
      </c>
      <c r="I434" t="b">
        <v>0</v>
      </c>
      <c r="J434" t="b">
        <v>0</v>
      </c>
      <c r="K434" t="b">
        <v>0</v>
      </c>
      <c r="L434" t="s">
        <v>1932</v>
      </c>
      <c r="M434" t="s">
        <v>278</v>
      </c>
      <c r="N434" t="s">
        <v>5</v>
      </c>
      <c r="O434" t="b">
        <v>0</v>
      </c>
      <c r="P434">
        <v>6</v>
      </c>
      <c r="Q434" t="s">
        <v>169</v>
      </c>
      <c r="R434" t="s">
        <v>170</v>
      </c>
      <c r="S434" t="s">
        <v>5</v>
      </c>
      <c r="T434" t="s">
        <v>619</v>
      </c>
      <c r="U434" t="s">
        <v>106</v>
      </c>
      <c r="V434" t="s">
        <v>172</v>
      </c>
      <c r="W434">
        <v>1</v>
      </c>
      <c r="X434" t="s">
        <v>31</v>
      </c>
      <c r="Z434" t="s">
        <v>5</v>
      </c>
      <c r="AA434" t="s">
        <v>5</v>
      </c>
      <c r="AC434" t="s">
        <v>214</v>
      </c>
      <c r="AD434">
        <v>429</v>
      </c>
    </row>
    <row r="435" spans="1:30" x14ac:dyDescent="0.3">
      <c r="A435">
        <v>15775831</v>
      </c>
      <c r="B435" s="3">
        <v>45679</v>
      </c>
      <c r="C435">
        <v>2025</v>
      </c>
      <c r="D435">
        <v>1</v>
      </c>
      <c r="E435" t="s">
        <v>1579</v>
      </c>
      <c r="F435" t="s">
        <v>0</v>
      </c>
      <c r="G435" t="s">
        <v>10</v>
      </c>
      <c r="H435" t="b">
        <v>0</v>
      </c>
      <c r="I435" t="b">
        <v>0</v>
      </c>
      <c r="J435" t="b">
        <v>0</v>
      </c>
      <c r="K435" t="b">
        <v>0</v>
      </c>
      <c r="L435" t="s">
        <v>1933</v>
      </c>
      <c r="M435" t="s">
        <v>1503</v>
      </c>
      <c r="N435" t="s">
        <v>5</v>
      </c>
      <c r="O435" t="b">
        <v>0</v>
      </c>
      <c r="P435">
        <v>3</v>
      </c>
      <c r="Q435" t="s">
        <v>370</v>
      </c>
      <c r="R435" t="s">
        <v>370</v>
      </c>
      <c r="S435">
        <v>65</v>
      </c>
      <c r="T435" t="s">
        <v>105</v>
      </c>
      <c r="U435" t="s">
        <v>371</v>
      </c>
      <c r="V435" t="s">
        <v>372</v>
      </c>
      <c r="W435">
        <v>2</v>
      </c>
      <c r="X435" t="s">
        <v>14</v>
      </c>
      <c r="Z435" t="s">
        <v>5</v>
      </c>
      <c r="AA435" t="s">
        <v>5</v>
      </c>
      <c r="AC435" t="s">
        <v>116</v>
      </c>
      <c r="AD435">
        <v>430</v>
      </c>
    </row>
    <row r="436" spans="1:30" x14ac:dyDescent="0.3">
      <c r="A436">
        <v>15780523</v>
      </c>
      <c r="B436" s="3">
        <v>45686</v>
      </c>
      <c r="C436">
        <v>2025</v>
      </c>
      <c r="D436">
        <v>1</v>
      </c>
      <c r="E436" t="s">
        <v>1579</v>
      </c>
      <c r="F436" t="s">
        <v>0</v>
      </c>
      <c r="G436" t="s">
        <v>1</v>
      </c>
      <c r="H436" t="b">
        <v>0</v>
      </c>
      <c r="I436" t="b">
        <v>1</v>
      </c>
      <c r="J436" t="b">
        <v>0</v>
      </c>
      <c r="K436" t="b">
        <v>0</v>
      </c>
      <c r="L436" t="s">
        <v>1934</v>
      </c>
      <c r="M436" t="s">
        <v>1402</v>
      </c>
      <c r="N436" t="s">
        <v>70</v>
      </c>
      <c r="O436" t="b">
        <v>0</v>
      </c>
      <c r="P436">
        <v>10</v>
      </c>
      <c r="Q436" t="s">
        <v>611</v>
      </c>
      <c r="R436" t="s">
        <v>612</v>
      </c>
      <c r="S436">
        <v>42</v>
      </c>
      <c r="T436" t="s">
        <v>80</v>
      </c>
      <c r="U436" t="s">
        <v>29</v>
      </c>
      <c r="V436" t="s">
        <v>130</v>
      </c>
      <c r="W436">
        <v>25</v>
      </c>
      <c r="X436" t="s">
        <v>6</v>
      </c>
      <c r="Z436" t="s">
        <v>5</v>
      </c>
      <c r="AA436" t="s">
        <v>5</v>
      </c>
      <c r="AC436" t="s">
        <v>9</v>
      </c>
      <c r="AD436">
        <v>423</v>
      </c>
    </row>
    <row r="437" spans="1:30" x14ac:dyDescent="0.3">
      <c r="A437">
        <v>15795533</v>
      </c>
      <c r="B437" s="3">
        <v>45680</v>
      </c>
      <c r="C437">
        <v>2025</v>
      </c>
      <c r="D437">
        <v>1</v>
      </c>
      <c r="E437" t="s">
        <v>1579</v>
      </c>
      <c r="F437" t="s">
        <v>0</v>
      </c>
      <c r="G437" t="s">
        <v>10</v>
      </c>
      <c r="H437" t="b">
        <v>0</v>
      </c>
      <c r="I437" t="b">
        <v>0</v>
      </c>
      <c r="J437" t="b">
        <v>0</v>
      </c>
      <c r="K437" t="b">
        <v>0</v>
      </c>
      <c r="L437" t="s">
        <v>1935</v>
      </c>
      <c r="M437" t="s">
        <v>274</v>
      </c>
      <c r="N437" t="s">
        <v>5</v>
      </c>
      <c r="O437" t="b">
        <v>0</v>
      </c>
      <c r="P437">
        <v>2</v>
      </c>
      <c r="Q437" t="s">
        <v>1936</v>
      </c>
      <c r="R437" t="s">
        <v>1936</v>
      </c>
      <c r="S437">
        <v>64</v>
      </c>
      <c r="T437" t="s">
        <v>1937</v>
      </c>
      <c r="U437" t="s">
        <v>1938</v>
      </c>
      <c r="V437" t="s">
        <v>1939</v>
      </c>
      <c r="W437">
        <v>1</v>
      </c>
      <c r="X437" t="s">
        <v>31</v>
      </c>
      <c r="Z437" t="s">
        <v>5</v>
      </c>
      <c r="AA437" t="s">
        <v>5</v>
      </c>
      <c r="AC437" t="s">
        <v>238</v>
      </c>
      <c r="AD437">
        <v>429</v>
      </c>
    </row>
    <row r="438" spans="1:30" x14ac:dyDescent="0.3">
      <c r="A438">
        <v>15795572</v>
      </c>
      <c r="B438" s="3">
        <v>45680</v>
      </c>
      <c r="C438">
        <v>2025</v>
      </c>
      <c r="D438">
        <v>1</v>
      </c>
      <c r="E438" t="s">
        <v>1579</v>
      </c>
      <c r="F438" t="s">
        <v>0</v>
      </c>
      <c r="G438" t="s">
        <v>10</v>
      </c>
      <c r="H438" t="b">
        <v>0</v>
      </c>
      <c r="I438" t="b">
        <v>0</v>
      </c>
      <c r="J438" t="b">
        <v>0</v>
      </c>
      <c r="K438" t="b">
        <v>0</v>
      </c>
      <c r="L438" t="s">
        <v>1935</v>
      </c>
      <c r="M438" t="s">
        <v>274</v>
      </c>
      <c r="N438" t="s">
        <v>5</v>
      </c>
      <c r="O438" t="b">
        <v>0</v>
      </c>
      <c r="P438">
        <v>2</v>
      </c>
      <c r="Q438" t="s">
        <v>1936</v>
      </c>
      <c r="R438" t="s">
        <v>1936</v>
      </c>
      <c r="S438">
        <v>64</v>
      </c>
      <c r="T438" t="s">
        <v>1937</v>
      </c>
      <c r="U438" t="s">
        <v>1938</v>
      </c>
      <c r="V438" t="s">
        <v>1939</v>
      </c>
      <c r="W438">
        <v>1</v>
      </c>
      <c r="X438" t="s">
        <v>31</v>
      </c>
      <c r="Z438" t="s">
        <v>5</v>
      </c>
      <c r="AA438" t="s">
        <v>5</v>
      </c>
      <c r="AC438" t="s">
        <v>238</v>
      </c>
      <c r="AD438">
        <v>429</v>
      </c>
    </row>
    <row r="439" spans="1:30" x14ac:dyDescent="0.3">
      <c r="A439">
        <v>15795573</v>
      </c>
      <c r="B439" s="3">
        <v>45680</v>
      </c>
      <c r="C439">
        <v>2025</v>
      </c>
      <c r="D439">
        <v>1</v>
      </c>
      <c r="E439" t="s">
        <v>1579</v>
      </c>
      <c r="F439" t="s">
        <v>0</v>
      </c>
      <c r="G439" t="s">
        <v>10</v>
      </c>
      <c r="H439" t="b">
        <v>0</v>
      </c>
      <c r="I439" t="b">
        <v>0</v>
      </c>
      <c r="J439" t="b">
        <v>0</v>
      </c>
      <c r="K439" t="b">
        <v>0</v>
      </c>
      <c r="L439" t="s">
        <v>1940</v>
      </c>
      <c r="M439" t="s">
        <v>274</v>
      </c>
      <c r="N439" t="s">
        <v>5</v>
      </c>
      <c r="O439" t="b">
        <v>0</v>
      </c>
      <c r="P439">
        <v>2</v>
      </c>
      <c r="Q439" t="s">
        <v>1936</v>
      </c>
      <c r="R439" t="s">
        <v>1936</v>
      </c>
      <c r="S439">
        <v>64</v>
      </c>
      <c r="T439" t="s">
        <v>1937</v>
      </c>
      <c r="U439" t="s">
        <v>1938</v>
      </c>
      <c r="V439" t="s">
        <v>1939</v>
      </c>
      <c r="W439">
        <v>1</v>
      </c>
      <c r="X439" t="s">
        <v>31</v>
      </c>
      <c r="Z439" t="s">
        <v>5</v>
      </c>
      <c r="AA439" t="s">
        <v>5</v>
      </c>
      <c r="AC439" t="s">
        <v>238</v>
      </c>
      <c r="AD439">
        <v>429</v>
      </c>
    </row>
    <row r="440" spans="1:30" x14ac:dyDescent="0.3">
      <c r="A440">
        <v>15798039</v>
      </c>
      <c r="B440" s="3">
        <v>45680</v>
      </c>
      <c r="C440">
        <v>2025</v>
      </c>
      <c r="D440">
        <v>1</v>
      </c>
      <c r="E440" t="s">
        <v>1579</v>
      </c>
      <c r="F440" t="s">
        <v>0</v>
      </c>
      <c r="G440" t="s">
        <v>10</v>
      </c>
      <c r="H440" t="b">
        <v>0</v>
      </c>
      <c r="I440" t="b">
        <v>0</v>
      </c>
      <c r="J440" t="b">
        <v>0</v>
      </c>
      <c r="K440" t="b">
        <v>0</v>
      </c>
      <c r="L440" t="s">
        <v>1940</v>
      </c>
      <c r="M440" t="s">
        <v>274</v>
      </c>
      <c r="N440" t="s">
        <v>5</v>
      </c>
      <c r="O440" t="b">
        <v>0</v>
      </c>
      <c r="P440">
        <v>2</v>
      </c>
      <c r="Q440" t="s">
        <v>1936</v>
      </c>
      <c r="R440" t="s">
        <v>1936</v>
      </c>
      <c r="S440">
        <v>64</v>
      </c>
      <c r="T440" t="s">
        <v>1937</v>
      </c>
      <c r="U440" t="s">
        <v>1938</v>
      </c>
      <c r="V440" t="s">
        <v>1939</v>
      </c>
      <c r="W440">
        <v>1</v>
      </c>
      <c r="X440" t="s">
        <v>31</v>
      </c>
      <c r="Z440" t="s">
        <v>5</v>
      </c>
      <c r="AA440" t="s">
        <v>5</v>
      </c>
      <c r="AC440" t="s">
        <v>238</v>
      </c>
      <c r="AD440">
        <v>429</v>
      </c>
    </row>
    <row r="441" spans="1:30" x14ac:dyDescent="0.3">
      <c r="A441">
        <v>15807742</v>
      </c>
      <c r="B441" s="3">
        <v>45686</v>
      </c>
      <c r="C441">
        <v>2025</v>
      </c>
      <c r="D441">
        <v>1</v>
      </c>
      <c r="E441" t="s">
        <v>1579</v>
      </c>
      <c r="F441" t="s">
        <v>0</v>
      </c>
      <c r="G441" t="s">
        <v>10</v>
      </c>
      <c r="H441" t="b">
        <v>0</v>
      </c>
      <c r="I441" t="b">
        <v>0</v>
      </c>
      <c r="J441" t="b">
        <v>0</v>
      </c>
      <c r="K441" t="b">
        <v>0</v>
      </c>
      <c r="L441" t="s">
        <v>1941</v>
      </c>
      <c r="M441" t="s">
        <v>308</v>
      </c>
      <c r="N441" t="s">
        <v>264</v>
      </c>
      <c r="O441" t="b">
        <v>0</v>
      </c>
      <c r="P441">
        <v>11</v>
      </c>
      <c r="Q441" t="s">
        <v>64</v>
      </c>
      <c r="R441" t="s">
        <v>65</v>
      </c>
      <c r="S441" t="s">
        <v>5</v>
      </c>
      <c r="T441" t="s">
        <v>452</v>
      </c>
      <c r="U441" t="s">
        <v>66</v>
      </c>
      <c r="V441" t="s">
        <v>5</v>
      </c>
      <c r="W441">
        <v>13</v>
      </c>
      <c r="X441" t="s">
        <v>6</v>
      </c>
      <c r="Y441">
        <v>75</v>
      </c>
      <c r="Z441" t="s">
        <v>67</v>
      </c>
      <c r="AA441" t="s">
        <v>8</v>
      </c>
      <c r="AC441" t="s">
        <v>9</v>
      </c>
      <c r="AD441">
        <v>423</v>
      </c>
    </row>
    <row r="442" spans="1:30" x14ac:dyDescent="0.3">
      <c r="A442">
        <v>15808832</v>
      </c>
      <c r="B442" s="3">
        <v>45664</v>
      </c>
      <c r="C442">
        <v>2025</v>
      </c>
      <c r="D442">
        <v>1</v>
      </c>
      <c r="E442" t="s">
        <v>1579</v>
      </c>
      <c r="F442" t="s">
        <v>0</v>
      </c>
      <c r="G442" t="s">
        <v>10</v>
      </c>
      <c r="H442" t="b">
        <v>0</v>
      </c>
      <c r="I442" t="b">
        <v>0</v>
      </c>
      <c r="J442" t="b">
        <v>0</v>
      </c>
      <c r="K442" t="b">
        <v>0</v>
      </c>
      <c r="L442" t="s">
        <v>1942</v>
      </c>
      <c r="M442" t="s">
        <v>666</v>
      </c>
      <c r="N442" t="s">
        <v>70</v>
      </c>
      <c r="O442" t="b">
        <v>0</v>
      </c>
      <c r="P442">
        <v>21</v>
      </c>
      <c r="Q442" t="s">
        <v>367</v>
      </c>
      <c r="R442" t="s">
        <v>368</v>
      </c>
      <c r="S442">
        <v>42</v>
      </c>
      <c r="T442" t="s">
        <v>801</v>
      </c>
      <c r="U442" t="s">
        <v>81</v>
      </c>
      <c r="V442" t="s">
        <v>82</v>
      </c>
      <c r="W442">
        <v>12</v>
      </c>
      <c r="X442" t="s">
        <v>6</v>
      </c>
      <c r="Y442">
        <v>62</v>
      </c>
      <c r="Z442" t="s">
        <v>7</v>
      </c>
      <c r="AA442" t="s">
        <v>15</v>
      </c>
      <c r="AC442" t="s">
        <v>101</v>
      </c>
      <c r="AD442">
        <v>445</v>
      </c>
    </row>
    <row r="443" spans="1:30" x14ac:dyDescent="0.3">
      <c r="A443">
        <v>15841513</v>
      </c>
      <c r="B443" s="3">
        <v>45658</v>
      </c>
      <c r="C443">
        <v>2025</v>
      </c>
      <c r="D443">
        <v>1</v>
      </c>
      <c r="E443" t="s">
        <v>1579</v>
      </c>
      <c r="F443" t="s">
        <v>0</v>
      </c>
      <c r="G443" t="s">
        <v>1</v>
      </c>
      <c r="H443" t="b">
        <v>0</v>
      </c>
      <c r="I443" t="b">
        <v>1</v>
      </c>
      <c r="J443" t="b">
        <v>0</v>
      </c>
      <c r="K443" t="b">
        <v>0</v>
      </c>
      <c r="L443" t="s">
        <v>1943</v>
      </c>
      <c r="M443" t="s">
        <v>244</v>
      </c>
      <c r="N443" t="s">
        <v>118</v>
      </c>
      <c r="O443" t="b">
        <v>0</v>
      </c>
      <c r="P443">
        <v>13</v>
      </c>
      <c r="Q443" t="s">
        <v>367</v>
      </c>
      <c r="R443" t="s">
        <v>368</v>
      </c>
      <c r="S443">
        <v>42</v>
      </c>
      <c r="T443" t="s">
        <v>60</v>
      </c>
      <c r="U443" t="s">
        <v>81</v>
      </c>
      <c r="V443" t="s">
        <v>82</v>
      </c>
      <c r="W443">
        <v>13</v>
      </c>
      <c r="X443" t="s">
        <v>6</v>
      </c>
      <c r="Y443">
        <v>40</v>
      </c>
      <c r="Z443" t="s">
        <v>61</v>
      </c>
      <c r="AA443" t="s">
        <v>8</v>
      </c>
      <c r="AB443">
        <v>80</v>
      </c>
      <c r="AC443" t="s">
        <v>101</v>
      </c>
      <c r="AD443">
        <v>451</v>
      </c>
    </row>
    <row r="444" spans="1:30" x14ac:dyDescent="0.3">
      <c r="A444">
        <v>15843192</v>
      </c>
      <c r="B444" s="3">
        <v>45686</v>
      </c>
      <c r="C444">
        <v>2025</v>
      </c>
      <c r="D444">
        <v>1</v>
      </c>
      <c r="E444" t="s">
        <v>1579</v>
      </c>
      <c r="F444" t="s">
        <v>125</v>
      </c>
      <c r="G444" t="s">
        <v>10</v>
      </c>
      <c r="H444" t="b">
        <v>0</v>
      </c>
      <c r="I444" t="b">
        <v>0</v>
      </c>
      <c r="J444" t="b">
        <v>0</v>
      </c>
      <c r="K444" t="b">
        <v>0</v>
      </c>
      <c r="L444" t="s">
        <v>1104</v>
      </c>
      <c r="M444" t="s">
        <v>1104</v>
      </c>
      <c r="N444" t="s">
        <v>5</v>
      </c>
      <c r="O444" t="b">
        <v>0</v>
      </c>
      <c r="P444">
        <v>1</v>
      </c>
      <c r="Q444" t="s">
        <v>1031</v>
      </c>
      <c r="R444" t="s">
        <v>1032</v>
      </c>
      <c r="S444" t="s">
        <v>5</v>
      </c>
      <c r="T444" t="s">
        <v>80</v>
      </c>
      <c r="U444" t="s">
        <v>1033</v>
      </c>
      <c r="V444" t="s">
        <v>319</v>
      </c>
      <c r="W444">
        <v>2</v>
      </c>
      <c r="X444" t="s">
        <v>14</v>
      </c>
      <c r="Z444" t="s">
        <v>5</v>
      </c>
      <c r="AA444" t="s">
        <v>5</v>
      </c>
      <c r="AC444" t="s">
        <v>341</v>
      </c>
      <c r="AD444">
        <v>423</v>
      </c>
    </row>
    <row r="445" spans="1:30" x14ac:dyDescent="0.3">
      <c r="A445">
        <v>15848330</v>
      </c>
      <c r="B445" s="3">
        <v>45663</v>
      </c>
      <c r="C445">
        <v>2025</v>
      </c>
      <c r="D445">
        <v>1</v>
      </c>
      <c r="E445" t="s">
        <v>1579</v>
      </c>
      <c r="F445" t="s">
        <v>0</v>
      </c>
      <c r="G445" t="s">
        <v>10</v>
      </c>
      <c r="H445" t="b">
        <v>0</v>
      </c>
      <c r="I445" t="b">
        <v>0</v>
      </c>
      <c r="J445" t="b">
        <v>0</v>
      </c>
      <c r="K445" t="b">
        <v>0</v>
      </c>
      <c r="L445" t="s">
        <v>1944</v>
      </c>
      <c r="M445" t="s">
        <v>470</v>
      </c>
      <c r="N445" t="s">
        <v>118</v>
      </c>
      <c r="O445" t="b">
        <v>0</v>
      </c>
      <c r="P445">
        <v>11</v>
      </c>
      <c r="Q445" t="s">
        <v>879</v>
      </c>
      <c r="R445" t="s">
        <v>880</v>
      </c>
      <c r="S445">
        <v>58</v>
      </c>
      <c r="T445" t="s">
        <v>422</v>
      </c>
      <c r="U445" t="s">
        <v>881</v>
      </c>
      <c r="V445" t="s">
        <v>5</v>
      </c>
      <c r="W445">
        <v>12</v>
      </c>
      <c r="X445" t="s">
        <v>6</v>
      </c>
      <c r="Y445">
        <v>34</v>
      </c>
      <c r="Z445" t="s">
        <v>61</v>
      </c>
      <c r="AA445" t="s">
        <v>8</v>
      </c>
      <c r="AC445" t="s">
        <v>32</v>
      </c>
      <c r="AD445">
        <v>446</v>
      </c>
    </row>
    <row r="446" spans="1:30" x14ac:dyDescent="0.3">
      <c r="A446">
        <v>15849046</v>
      </c>
      <c r="B446" s="3">
        <v>45671</v>
      </c>
      <c r="C446">
        <v>2025</v>
      </c>
      <c r="D446">
        <v>1</v>
      </c>
      <c r="E446" t="s">
        <v>1579</v>
      </c>
      <c r="F446" t="s">
        <v>0</v>
      </c>
      <c r="G446" t="s">
        <v>10</v>
      </c>
      <c r="H446" t="b">
        <v>0</v>
      </c>
      <c r="I446" t="b">
        <v>0</v>
      </c>
      <c r="J446" t="b">
        <v>0</v>
      </c>
      <c r="K446" t="b">
        <v>0</v>
      </c>
      <c r="L446" t="s">
        <v>1945</v>
      </c>
      <c r="M446" t="s">
        <v>1440</v>
      </c>
      <c r="N446" t="s">
        <v>63</v>
      </c>
      <c r="O446" t="b">
        <v>0</v>
      </c>
      <c r="P446">
        <v>5</v>
      </c>
      <c r="Q446" t="s">
        <v>499</v>
      </c>
      <c r="R446" t="s">
        <v>559</v>
      </c>
      <c r="S446">
        <v>42</v>
      </c>
      <c r="T446" t="s">
        <v>183</v>
      </c>
      <c r="U446" t="s">
        <v>560</v>
      </c>
      <c r="V446" t="s">
        <v>130</v>
      </c>
      <c r="W446">
        <v>8</v>
      </c>
      <c r="X446" t="s">
        <v>6</v>
      </c>
      <c r="Y446">
        <v>47</v>
      </c>
      <c r="Z446" t="s">
        <v>7</v>
      </c>
      <c r="AA446" t="s">
        <v>8</v>
      </c>
      <c r="AC446" t="s">
        <v>25</v>
      </c>
      <c r="AD446">
        <v>438</v>
      </c>
    </row>
    <row r="447" spans="1:30" x14ac:dyDescent="0.3">
      <c r="A447">
        <v>15852025</v>
      </c>
      <c r="B447" s="3">
        <v>45666</v>
      </c>
      <c r="C447">
        <v>2025</v>
      </c>
      <c r="D447">
        <v>1</v>
      </c>
      <c r="E447" t="s">
        <v>1579</v>
      </c>
      <c r="F447" t="s">
        <v>125</v>
      </c>
      <c r="G447" t="s">
        <v>10</v>
      </c>
      <c r="H447" t="b">
        <v>0</v>
      </c>
      <c r="I447" t="b">
        <v>0</v>
      </c>
      <c r="J447" t="b">
        <v>0</v>
      </c>
      <c r="K447" t="b">
        <v>0</v>
      </c>
      <c r="L447" t="s">
        <v>1946</v>
      </c>
      <c r="M447" t="s">
        <v>646</v>
      </c>
      <c r="N447" t="s">
        <v>5</v>
      </c>
      <c r="O447" t="b">
        <v>0</v>
      </c>
      <c r="P447">
        <v>8</v>
      </c>
      <c r="Q447" t="s">
        <v>1535</v>
      </c>
      <c r="R447" t="s">
        <v>1536</v>
      </c>
      <c r="S447">
        <v>65</v>
      </c>
      <c r="T447" t="s">
        <v>83</v>
      </c>
      <c r="U447" t="s">
        <v>1537</v>
      </c>
      <c r="V447" t="s">
        <v>5</v>
      </c>
      <c r="W447">
        <v>15</v>
      </c>
      <c r="X447" t="s">
        <v>6</v>
      </c>
      <c r="Y447">
        <v>42</v>
      </c>
      <c r="Z447" t="s">
        <v>7</v>
      </c>
      <c r="AA447" t="s">
        <v>15</v>
      </c>
      <c r="AC447" t="s">
        <v>101</v>
      </c>
      <c r="AD447">
        <v>443</v>
      </c>
    </row>
    <row r="448" spans="1:30" x14ac:dyDescent="0.3">
      <c r="A448">
        <v>15855402</v>
      </c>
      <c r="B448" s="3">
        <v>45684</v>
      </c>
      <c r="C448">
        <v>2025</v>
      </c>
      <c r="D448">
        <v>1</v>
      </c>
      <c r="E448" t="s">
        <v>1579</v>
      </c>
      <c r="F448" t="s">
        <v>0</v>
      </c>
      <c r="G448" t="s">
        <v>1</v>
      </c>
      <c r="H448" t="b">
        <v>0</v>
      </c>
      <c r="I448" t="b">
        <v>1</v>
      </c>
      <c r="J448" t="b">
        <v>0</v>
      </c>
      <c r="K448" t="b">
        <v>0</v>
      </c>
      <c r="L448" t="s">
        <v>1947</v>
      </c>
      <c r="M448" t="s">
        <v>48</v>
      </c>
      <c r="N448" t="s">
        <v>140</v>
      </c>
      <c r="O448" t="b">
        <v>0</v>
      </c>
      <c r="P448">
        <v>13</v>
      </c>
      <c r="Q448" t="s">
        <v>230</v>
      </c>
      <c r="R448" t="s">
        <v>268</v>
      </c>
      <c r="S448">
        <v>65</v>
      </c>
      <c r="T448" t="s">
        <v>269</v>
      </c>
      <c r="U448" t="s">
        <v>231</v>
      </c>
      <c r="V448" t="s">
        <v>232</v>
      </c>
      <c r="W448">
        <v>19</v>
      </c>
      <c r="X448" t="s">
        <v>6</v>
      </c>
      <c r="Z448" t="s">
        <v>5</v>
      </c>
      <c r="AA448" t="s">
        <v>5</v>
      </c>
      <c r="AC448" t="s">
        <v>32</v>
      </c>
      <c r="AD448">
        <v>425</v>
      </c>
    </row>
    <row r="449" spans="1:30" x14ac:dyDescent="0.3">
      <c r="A449">
        <v>15866629</v>
      </c>
      <c r="B449" s="3">
        <v>45680</v>
      </c>
      <c r="C449">
        <v>2025</v>
      </c>
      <c r="D449">
        <v>1</v>
      </c>
      <c r="E449" t="s">
        <v>1579</v>
      </c>
      <c r="F449" t="s">
        <v>125</v>
      </c>
      <c r="G449" t="s">
        <v>10</v>
      </c>
      <c r="H449" t="b">
        <v>0</v>
      </c>
      <c r="I449" t="b">
        <v>0</v>
      </c>
      <c r="J449" t="b">
        <v>0</v>
      </c>
      <c r="K449" t="b">
        <v>0</v>
      </c>
      <c r="L449" t="s">
        <v>1453</v>
      </c>
      <c r="M449" t="s">
        <v>192</v>
      </c>
      <c r="N449" t="s">
        <v>5</v>
      </c>
      <c r="O449" t="b">
        <v>0</v>
      </c>
      <c r="P449">
        <v>3</v>
      </c>
      <c r="Q449" t="s">
        <v>226</v>
      </c>
      <c r="R449" t="s">
        <v>227</v>
      </c>
      <c r="S449" t="s">
        <v>5</v>
      </c>
      <c r="T449" t="s">
        <v>5</v>
      </c>
      <c r="U449" t="s">
        <v>228</v>
      </c>
      <c r="V449" t="s">
        <v>5</v>
      </c>
      <c r="W449">
        <v>1</v>
      </c>
      <c r="X449" t="s">
        <v>31</v>
      </c>
      <c r="Y449">
        <v>60</v>
      </c>
      <c r="Z449" t="s">
        <v>7</v>
      </c>
      <c r="AA449" t="s">
        <v>8</v>
      </c>
      <c r="AC449" t="s">
        <v>32</v>
      </c>
      <c r="AD449">
        <v>429</v>
      </c>
    </row>
    <row r="450" spans="1:30" x14ac:dyDescent="0.3">
      <c r="A450">
        <v>15877667</v>
      </c>
      <c r="B450" s="3">
        <v>45678</v>
      </c>
      <c r="C450">
        <v>2025</v>
      </c>
      <c r="D450">
        <v>1</v>
      </c>
      <c r="E450" t="s">
        <v>1579</v>
      </c>
      <c r="F450" t="s">
        <v>0</v>
      </c>
      <c r="G450" t="s">
        <v>10</v>
      </c>
      <c r="H450" t="b">
        <v>0</v>
      </c>
      <c r="I450" t="b">
        <v>0</v>
      </c>
      <c r="J450" t="b">
        <v>0</v>
      </c>
      <c r="K450" t="b">
        <v>0</v>
      </c>
      <c r="L450" t="s">
        <v>1948</v>
      </c>
      <c r="M450" t="s">
        <v>225</v>
      </c>
      <c r="N450" t="s">
        <v>2</v>
      </c>
      <c r="O450" t="b">
        <v>1</v>
      </c>
      <c r="P450">
        <v>6</v>
      </c>
      <c r="Q450" t="s">
        <v>1089</v>
      </c>
      <c r="R450" t="s">
        <v>1090</v>
      </c>
      <c r="S450">
        <v>48</v>
      </c>
      <c r="T450" t="s">
        <v>1252</v>
      </c>
      <c r="U450" t="s">
        <v>1092</v>
      </c>
      <c r="V450" t="s">
        <v>1093</v>
      </c>
      <c r="W450">
        <v>11</v>
      </c>
      <c r="X450" t="s">
        <v>6</v>
      </c>
      <c r="Y450">
        <v>22</v>
      </c>
      <c r="Z450" t="s">
        <v>61</v>
      </c>
      <c r="AA450" t="s">
        <v>8</v>
      </c>
      <c r="AC450" t="s">
        <v>254</v>
      </c>
      <c r="AD450">
        <v>431</v>
      </c>
    </row>
    <row r="451" spans="1:30" x14ac:dyDescent="0.3">
      <c r="A451">
        <v>15887405</v>
      </c>
      <c r="B451" s="3">
        <v>45680</v>
      </c>
      <c r="C451">
        <v>2025</v>
      </c>
      <c r="D451">
        <v>1</v>
      </c>
      <c r="E451" t="s">
        <v>1579</v>
      </c>
      <c r="F451" t="s">
        <v>0</v>
      </c>
      <c r="G451" t="s">
        <v>10</v>
      </c>
      <c r="H451" t="b">
        <v>0</v>
      </c>
      <c r="I451" t="b">
        <v>0</v>
      </c>
      <c r="J451" t="b">
        <v>0</v>
      </c>
      <c r="K451" t="b">
        <v>0</v>
      </c>
      <c r="L451" t="s">
        <v>1949</v>
      </c>
      <c r="M451" t="s">
        <v>713</v>
      </c>
      <c r="N451" t="s">
        <v>21</v>
      </c>
      <c r="O451" t="b">
        <v>0</v>
      </c>
      <c r="P451">
        <v>19</v>
      </c>
      <c r="Q451" t="s">
        <v>1437</v>
      </c>
      <c r="R451" t="s">
        <v>1438</v>
      </c>
      <c r="S451">
        <v>65</v>
      </c>
      <c r="T451" t="s">
        <v>83</v>
      </c>
      <c r="U451" t="s">
        <v>1439</v>
      </c>
      <c r="V451" t="s">
        <v>75</v>
      </c>
      <c r="W451">
        <v>45</v>
      </c>
      <c r="X451" t="s">
        <v>6</v>
      </c>
      <c r="Y451">
        <v>63</v>
      </c>
      <c r="Z451" t="s">
        <v>7</v>
      </c>
      <c r="AA451" t="s">
        <v>15</v>
      </c>
      <c r="AB451">
        <v>61</v>
      </c>
      <c r="AC451" t="s">
        <v>9</v>
      </c>
      <c r="AD451">
        <v>429</v>
      </c>
    </row>
    <row r="452" spans="1:30" x14ac:dyDescent="0.3">
      <c r="A452">
        <v>15890514</v>
      </c>
      <c r="B452" s="3">
        <v>45670</v>
      </c>
      <c r="C452">
        <v>2025</v>
      </c>
      <c r="D452">
        <v>1</v>
      </c>
      <c r="E452" t="s">
        <v>1579</v>
      </c>
      <c r="F452" t="s">
        <v>0</v>
      </c>
      <c r="G452" t="s">
        <v>384</v>
      </c>
      <c r="H452" t="b">
        <v>1</v>
      </c>
      <c r="I452" t="b">
        <v>1</v>
      </c>
      <c r="J452" t="b">
        <v>1</v>
      </c>
      <c r="K452" t="b">
        <v>0</v>
      </c>
      <c r="L452" t="s">
        <v>1950</v>
      </c>
      <c r="M452" t="s">
        <v>1116</v>
      </c>
      <c r="N452" t="s">
        <v>5</v>
      </c>
      <c r="O452" t="b">
        <v>0</v>
      </c>
      <c r="P452">
        <v>2</v>
      </c>
      <c r="Q452" t="s">
        <v>600</v>
      </c>
      <c r="R452" t="s">
        <v>601</v>
      </c>
      <c r="S452">
        <v>58</v>
      </c>
      <c r="T452" t="s">
        <v>602</v>
      </c>
      <c r="U452" t="s">
        <v>603</v>
      </c>
      <c r="V452" t="s">
        <v>5</v>
      </c>
      <c r="W452">
        <v>11</v>
      </c>
      <c r="X452" t="s">
        <v>6</v>
      </c>
      <c r="Y452">
        <v>74</v>
      </c>
      <c r="Z452" t="s">
        <v>67</v>
      </c>
      <c r="AA452" t="s">
        <v>15</v>
      </c>
      <c r="AB452">
        <v>63</v>
      </c>
      <c r="AC452" t="s">
        <v>20</v>
      </c>
      <c r="AD452">
        <v>439</v>
      </c>
    </row>
    <row r="453" spans="1:30" x14ac:dyDescent="0.3">
      <c r="A453">
        <v>15894948</v>
      </c>
      <c r="B453" s="3">
        <v>45670</v>
      </c>
      <c r="C453">
        <v>2025</v>
      </c>
      <c r="D453">
        <v>1</v>
      </c>
      <c r="E453" t="s">
        <v>1579</v>
      </c>
      <c r="F453" t="s">
        <v>0</v>
      </c>
      <c r="G453" t="s">
        <v>1</v>
      </c>
      <c r="H453" t="b">
        <v>0</v>
      </c>
      <c r="I453" t="b">
        <v>1</v>
      </c>
      <c r="J453" t="b">
        <v>0</v>
      </c>
      <c r="K453" t="b">
        <v>0</v>
      </c>
      <c r="L453" t="s">
        <v>1951</v>
      </c>
      <c r="M453" t="s">
        <v>535</v>
      </c>
      <c r="N453" t="s">
        <v>57</v>
      </c>
      <c r="O453" t="b">
        <v>1</v>
      </c>
      <c r="P453">
        <v>2</v>
      </c>
      <c r="Q453" t="s">
        <v>525</v>
      </c>
      <c r="R453" t="s">
        <v>5</v>
      </c>
      <c r="S453" t="s">
        <v>5</v>
      </c>
      <c r="T453" t="s">
        <v>566</v>
      </c>
      <c r="U453" t="s">
        <v>5</v>
      </c>
      <c r="V453" t="s">
        <v>5</v>
      </c>
      <c r="W453">
        <v>2</v>
      </c>
      <c r="X453" t="s">
        <v>14</v>
      </c>
      <c r="Y453">
        <v>76</v>
      </c>
      <c r="Z453" t="s">
        <v>67</v>
      </c>
      <c r="AA453" t="s">
        <v>15</v>
      </c>
      <c r="AC453" t="s">
        <v>558</v>
      </c>
      <c r="AD453">
        <v>439</v>
      </c>
    </row>
    <row r="454" spans="1:30" x14ac:dyDescent="0.3">
      <c r="A454">
        <v>15906207</v>
      </c>
      <c r="B454" s="3">
        <v>45660</v>
      </c>
      <c r="C454">
        <v>2025</v>
      </c>
      <c r="D454">
        <v>1</v>
      </c>
      <c r="E454" t="s">
        <v>1579</v>
      </c>
      <c r="F454" t="s">
        <v>125</v>
      </c>
      <c r="G454" t="s">
        <v>10</v>
      </c>
      <c r="H454" t="b">
        <v>0</v>
      </c>
      <c r="I454" t="b">
        <v>0</v>
      </c>
      <c r="J454" t="b">
        <v>0</v>
      </c>
      <c r="K454" t="b">
        <v>0</v>
      </c>
      <c r="L454" t="s">
        <v>1952</v>
      </c>
      <c r="M454" t="s">
        <v>1071</v>
      </c>
      <c r="N454" t="s">
        <v>57</v>
      </c>
      <c r="O454" t="b">
        <v>1</v>
      </c>
      <c r="P454">
        <v>3</v>
      </c>
      <c r="Q454" t="s">
        <v>245</v>
      </c>
      <c r="R454" t="s">
        <v>246</v>
      </c>
      <c r="S454">
        <v>48</v>
      </c>
      <c r="T454" t="s">
        <v>899</v>
      </c>
      <c r="U454" t="s">
        <v>210</v>
      </c>
      <c r="V454" t="s">
        <v>248</v>
      </c>
      <c r="W454">
        <v>1</v>
      </c>
      <c r="X454" t="s">
        <v>31</v>
      </c>
      <c r="Y454">
        <v>77</v>
      </c>
      <c r="Z454" t="s">
        <v>67</v>
      </c>
      <c r="AA454" t="s">
        <v>8</v>
      </c>
      <c r="AC454" t="s">
        <v>32</v>
      </c>
      <c r="AD454">
        <v>449</v>
      </c>
    </row>
    <row r="455" spans="1:30" x14ac:dyDescent="0.3">
      <c r="A455">
        <v>15924100</v>
      </c>
      <c r="B455" s="3">
        <v>45688</v>
      </c>
      <c r="C455">
        <v>2025</v>
      </c>
      <c r="D455">
        <v>1</v>
      </c>
      <c r="E455" t="s">
        <v>1579</v>
      </c>
      <c r="F455" t="s">
        <v>0</v>
      </c>
      <c r="G455" t="s">
        <v>10</v>
      </c>
      <c r="H455" t="b">
        <v>0</v>
      </c>
      <c r="I455" t="b">
        <v>0</v>
      </c>
      <c r="J455" t="b">
        <v>0</v>
      </c>
      <c r="K455" t="b">
        <v>0</v>
      </c>
      <c r="L455" t="s">
        <v>1953</v>
      </c>
      <c r="M455" t="s">
        <v>278</v>
      </c>
      <c r="N455" t="s">
        <v>174</v>
      </c>
      <c r="O455" t="b">
        <v>0</v>
      </c>
      <c r="P455">
        <v>3</v>
      </c>
      <c r="Q455" t="s">
        <v>673</v>
      </c>
      <c r="R455" t="s">
        <v>674</v>
      </c>
      <c r="S455">
        <v>48</v>
      </c>
      <c r="T455" t="s">
        <v>247</v>
      </c>
      <c r="U455" t="s">
        <v>675</v>
      </c>
      <c r="V455" t="s">
        <v>676</v>
      </c>
      <c r="W455">
        <v>16</v>
      </c>
      <c r="X455" t="s">
        <v>6</v>
      </c>
      <c r="Z455" t="s">
        <v>5</v>
      </c>
      <c r="AA455" t="s">
        <v>8</v>
      </c>
      <c r="AC455" t="s">
        <v>101</v>
      </c>
      <c r="AD455">
        <v>421</v>
      </c>
    </row>
    <row r="456" spans="1:30" x14ac:dyDescent="0.3">
      <c r="A456">
        <v>15947858</v>
      </c>
      <c r="B456" s="3">
        <v>45677</v>
      </c>
      <c r="C456">
        <v>2025</v>
      </c>
      <c r="D456">
        <v>1</v>
      </c>
      <c r="E456" t="s">
        <v>1579</v>
      </c>
      <c r="F456" t="s">
        <v>0</v>
      </c>
      <c r="G456" t="s">
        <v>10</v>
      </c>
      <c r="H456" t="b">
        <v>0</v>
      </c>
      <c r="I456" t="b">
        <v>0</v>
      </c>
      <c r="J456" t="b">
        <v>0</v>
      </c>
      <c r="K456" t="b">
        <v>0</v>
      </c>
      <c r="L456" t="s">
        <v>1954</v>
      </c>
      <c r="M456" t="s">
        <v>332</v>
      </c>
      <c r="N456" t="s">
        <v>118</v>
      </c>
      <c r="O456" t="b">
        <v>0</v>
      </c>
      <c r="P456">
        <v>18</v>
      </c>
      <c r="Q456" t="s">
        <v>367</v>
      </c>
      <c r="R456" t="s">
        <v>368</v>
      </c>
      <c r="S456">
        <v>42</v>
      </c>
      <c r="T456" t="s">
        <v>605</v>
      </c>
      <c r="U456" t="s">
        <v>81</v>
      </c>
      <c r="V456" t="s">
        <v>82</v>
      </c>
      <c r="W456">
        <v>2</v>
      </c>
      <c r="X456" t="s">
        <v>14</v>
      </c>
      <c r="Y456">
        <v>56</v>
      </c>
      <c r="Z456" t="s">
        <v>7</v>
      </c>
      <c r="AA456" t="s">
        <v>8</v>
      </c>
      <c r="AC456" t="s">
        <v>32</v>
      </c>
      <c r="AD456">
        <v>432</v>
      </c>
    </row>
    <row r="457" spans="1:30" x14ac:dyDescent="0.3">
      <c r="A457">
        <v>15949859</v>
      </c>
      <c r="B457" s="3">
        <v>45673</v>
      </c>
      <c r="C457">
        <v>2025</v>
      </c>
      <c r="D457">
        <v>1</v>
      </c>
      <c r="E457" t="s">
        <v>1579</v>
      </c>
      <c r="F457" t="s">
        <v>0</v>
      </c>
      <c r="G457" t="s">
        <v>10</v>
      </c>
      <c r="H457" t="b">
        <v>0</v>
      </c>
      <c r="I457" t="b">
        <v>0</v>
      </c>
      <c r="J457" t="b">
        <v>0</v>
      </c>
      <c r="K457" t="b">
        <v>0</v>
      </c>
      <c r="L457" t="s">
        <v>1955</v>
      </c>
      <c r="M457" t="s">
        <v>267</v>
      </c>
      <c r="N457" t="s">
        <v>63</v>
      </c>
      <c r="O457" t="b">
        <v>0</v>
      </c>
      <c r="P457">
        <v>12</v>
      </c>
      <c r="Q457" t="s">
        <v>208</v>
      </c>
      <c r="R457" t="s">
        <v>209</v>
      </c>
      <c r="S457" t="s">
        <v>5</v>
      </c>
      <c r="T457" t="s">
        <v>5</v>
      </c>
      <c r="U457" t="s">
        <v>210</v>
      </c>
      <c r="V457" t="s">
        <v>5</v>
      </c>
      <c r="W457">
        <v>1</v>
      </c>
      <c r="X457" t="s">
        <v>31</v>
      </c>
      <c r="Y457">
        <v>70</v>
      </c>
      <c r="Z457" t="s">
        <v>67</v>
      </c>
      <c r="AA457" t="s">
        <v>8</v>
      </c>
      <c r="AC457" t="s">
        <v>32</v>
      </c>
      <c r="AD457">
        <v>436</v>
      </c>
    </row>
    <row r="458" spans="1:30" x14ac:dyDescent="0.3">
      <c r="A458">
        <v>15950244</v>
      </c>
      <c r="B458" s="3">
        <v>45677</v>
      </c>
      <c r="C458">
        <v>2025</v>
      </c>
      <c r="D458">
        <v>1</v>
      </c>
      <c r="E458" t="s">
        <v>1579</v>
      </c>
      <c r="F458" t="s">
        <v>0</v>
      </c>
      <c r="G458" t="s">
        <v>1</v>
      </c>
      <c r="H458" t="b">
        <v>0</v>
      </c>
      <c r="I458" t="b">
        <v>1</v>
      </c>
      <c r="J458" t="b">
        <v>0</v>
      </c>
      <c r="K458" t="b">
        <v>0</v>
      </c>
      <c r="L458" t="s">
        <v>1956</v>
      </c>
      <c r="M458" t="s">
        <v>1518</v>
      </c>
      <c r="N458" t="s">
        <v>57</v>
      </c>
      <c r="O458" t="b">
        <v>1</v>
      </c>
      <c r="P458">
        <v>22</v>
      </c>
      <c r="Q458" t="s">
        <v>3</v>
      </c>
      <c r="R458" t="s">
        <v>77</v>
      </c>
      <c r="S458">
        <v>30</v>
      </c>
      <c r="T458" t="s">
        <v>110</v>
      </c>
      <c r="U458" t="s">
        <v>4</v>
      </c>
      <c r="V458" t="s">
        <v>5</v>
      </c>
      <c r="W458">
        <v>11</v>
      </c>
      <c r="X458" t="s">
        <v>6</v>
      </c>
      <c r="Y458">
        <v>44</v>
      </c>
      <c r="Z458" t="s">
        <v>7</v>
      </c>
      <c r="AA458" t="s">
        <v>15</v>
      </c>
      <c r="AC458" t="s">
        <v>9</v>
      </c>
      <c r="AD458">
        <v>432</v>
      </c>
    </row>
    <row r="459" spans="1:30" x14ac:dyDescent="0.3">
      <c r="A459">
        <v>15956653</v>
      </c>
      <c r="B459" s="3">
        <v>45670</v>
      </c>
      <c r="C459">
        <v>2025</v>
      </c>
      <c r="D459">
        <v>1</v>
      </c>
      <c r="E459" t="s">
        <v>1579</v>
      </c>
      <c r="F459" t="s">
        <v>0</v>
      </c>
      <c r="G459" t="s">
        <v>1</v>
      </c>
      <c r="H459" t="b">
        <v>0</v>
      </c>
      <c r="I459" t="b">
        <v>1</v>
      </c>
      <c r="J459" t="b">
        <v>0</v>
      </c>
      <c r="K459" t="b">
        <v>0</v>
      </c>
      <c r="L459" t="s">
        <v>1957</v>
      </c>
      <c r="M459" t="s">
        <v>1116</v>
      </c>
      <c r="N459" t="s">
        <v>94</v>
      </c>
      <c r="O459" t="b">
        <v>1</v>
      </c>
      <c r="P459">
        <v>3</v>
      </c>
      <c r="Q459" t="s">
        <v>600</v>
      </c>
      <c r="R459" t="s">
        <v>601</v>
      </c>
      <c r="S459">
        <v>58</v>
      </c>
      <c r="T459" t="s">
        <v>602</v>
      </c>
      <c r="U459" t="s">
        <v>603</v>
      </c>
      <c r="V459" t="s">
        <v>5</v>
      </c>
      <c r="W459">
        <v>4</v>
      </c>
      <c r="X459" t="s">
        <v>40</v>
      </c>
      <c r="Y459">
        <v>55</v>
      </c>
      <c r="Z459" t="s">
        <v>7</v>
      </c>
      <c r="AA459" t="s">
        <v>15</v>
      </c>
      <c r="AC459" t="s">
        <v>20</v>
      </c>
      <c r="AD459">
        <v>439</v>
      </c>
    </row>
    <row r="460" spans="1:30" x14ac:dyDescent="0.3">
      <c r="A460">
        <v>15959367</v>
      </c>
      <c r="B460" s="3">
        <v>45679</v>
      </c>
      <c r="C460">
        <v>2025</v>
      </c>
      <c r="D460">
        <v>1</v>
      </c>
      <c r="E460" t="s">
        <v>1579</v>
      </c>
      <c r="F460" t="s">
        <v>125</v>
      </c>
      <c r="G460" t="s">
        <v>10</v>
      </c>
      <c r="H460" t="b">
        <v>0</v>
      </c>
      <c r="I460" t="b">
        <v>0</v>
      </c>
      <c r="J460" t="b">
        <v>0</v>
      </c>
      <c r="K460" t="b">
        <v>0</v>
      </c>
      <c r="L460" t="s">
        <v>126</v>
      </c>
      <c r="M460" t="s">
        <v>126</v>
      </c>
      <c r="N460" t="s">
        <v>5</v>
      </c>
      <c r="O460" t="b">
        <v>0</v>
      </c>
      <c r="P460">
        <v>1</v>
      </c>
      <c r="Q460" t="s">
        <v>127</v>
      </c>
      <c r="R460" t="s">
        <v>128</v>
      </c>
      <c r="S460">
        <v>65</v>
      </c>
      <c r="T460" t="s">
        <v>83</v>
      </c>
      <c r="U460" t="s">
        <v>129</v>
      </c>
      <c r="V460" t="s">
        <v>130</v>
      </c>
      <c r="W460">
        <v>2</v>
      </c>
      <c r="X460" t="s">
        <v>14</v>
      </c>
      <c r="Y460">
        <v>63</v>
      </c>
      <c r="Z460" t="s">
        <v>7</v>
      </c>
      <c r="AA460" t="s">
        <v>8</v>
      </c>
      <c r="AC460" t="s">
        <v>32</v>
      </c>
      <c r="AD460">
        <v>430</v>
      </c>
    </row>
    <row r="461" spans="1:30" x14ac:dyDescent="0.3">
      <c r="A461">
        <v>15971246</v>
      </c>
      <c r="B461" s="3">
        <v>45670</v>
      </c>
      <c r="C461">
        <v>2025</v>
      </c>
      <c r="D461">
        <v>1</v>
      </c>
      <c r="E461" t="s">
        <v>1579</v>
      </c>
      <c r="F461" t="s">
        <v>0</v>
      </c>
      <c r="G461" t="s">
        <v>1</v>
      </c>
      <c r="H461" t="b">
        <v>0</v>
      </c>
      <c r="I461" t="b">
        <v>1</v>
      </c>
      <c r="J461" t="b">
        <v>0</v>
      </c>
      <c r="K461" t="b">
        <v>0</v>
      </c>
      <c r="L461" t="s">
        <v>1958</v>
      </c>
      <c r="M461" t="s">
        <v>913</v>
      </c>
      <c r="N461" t="s">
        <v>57</v>
      </c>
      <c r="O461" t="b">
        <v>1</v>
      </c>
      <c r="P461">
        <v>9</v>
      </c>
      <c r="Q461" t="s">
        <v>389</v>
      </c>
      <c r="R461" t="s">
        <v>390</v>
      </c>
      <c r="S461">
        <v>65</v>
      </c>
      <c r="T461" t="s">
        <v>1214</v>
      </c>
      <c r="U461" t="s">
        <v>391</v>
      </c>
      <c r="V461" t="s">
        <v>392</v>
      </c>
      <c r="W461">
        <v>12</v>
      </c>
      <c r="X461" t="s">
        <v>6</v>
      </c>
      <c r="Y461">
        <v>31</v>
      </c>
      <c r="Z461" t="s">
        <v>61</v>
      </c>
      <c r="AA461" t="s">
        <v>15</v>
      </c>
      <c r="AC461" t="s">
        <v>284</v>
      </c>
      <c r="AD461">
        <v>439</v>
      </c>
    </row>
    <row r="462" spans="1:30" x14ac:dyDescent="0.3">
      <c r="A462">
        <v>15975194</v>
      </c>
      <c r="B462" s="3">
        <v>45687</v>
      </c>
      <c r="C462">
        <v>2025</v>
      </c>
      <c r="D462">
        <v>1</v>
      </c>
      <c r="E462" t="s">
        <v>1579</v>
      </c>
      <c r="F462" t="s">
        <v>0</v>
      </c>
      <c r="G462" t="s">
        <v>10</v>
      </c>
      <c r="H462" t="b">
        <v>0</v>
      </c>
      <c r="I462" t="b">
        <v>0</v>
      </c>
      <c r="J462" t="b">
        <v>0</v>
      </c>
      <c r="K462" t="b">
        <v>0</v>
      </c>
      <c r="L462" t="s">
        <v>1959</v>
      </c>
      <c r="M462" t="s">
        <v>278</v>
      </c>
      <c r="N462" t="s">
        <v>57</v>
      </c>
      <c r="O462" t="b">
        <v>1</v>
      </c>
      <c r="P462">
        <v>3</v>
      </c>
      <c r="Q462" t="s">
        <v>1202</v>
      </c>
      <c r="R462" t="s">
        <v>5</v>
      </c>
      <c r="S462">
        <v>65</v>
      </c>
      <c r="T462" t="s">
        <v>729</v>
      </c>
      <c r="U462" t="s">
        <v>5</v>
      </c>
      <c r="V462" t="s">
        <v>5</v>
      </c>
      <c r="W462">
        <v>10</v>
      </c>
      <c r="X462" t="s">
        <v>6</v>
      </c>
      <c r="Y462">
        <v>13</v>
      </c>
      <c r="Z462" t="s">
        <v>19</v>
      </c>
      <c r="AA462" t="s">
        <v>15</v>
      </c>
      <c r="AC462" t="s">
        <v>716</v>
      </c>
      <c r="AD462">
        <v>422</v>
      </c>
    </row>
    <row r="463" spans="1:30" x14ac:dyDescent="0.3">
      <c r="A463">
        <v>15976058</v>
      </c>
      <c r="B463" s="3">
        <v>45680</v>
      </c>
      <c r="C463">
        <v>2025</v>
      </c>
      <c r="D463">
        <v>1</v>
      </c>
      <c r="E463" t="s">
        <v>1579</v>
      </c>
      <c r="F463" t="s">
        <v>0</v>
      </c>
      <c r="G463" t="s">
        <v>10</v>
      </c>
      <c r="H463" t="b">
        <v>0</v>
      </c>
      <c r="I463" t="b">
        <v>0</v>
      </c>
      <c r="J463" t="b">
        <v>0</v>
      </c>
      <c r="K463" t="b">
        <v>0</v>
      </c>
      <c r="L463" t="s">
        <v>1960</v>
      </c>
      <c r="M463" t="s">
        <v>797</v>
      </c>
      <c r="N463" t="s">
        <v>57</v>
      </c>
      <c r="O463" t="b">
        <v>1</v>
      </c>
      <c r="P463">
        <v>6</v>
      </c>
      <c r="Q463" t="s">
        <v>119</v>
      </c>
      <c r="R463" t="s">
        <v>120</v>
      </c>
      <c r="S463">
        <v>65</v>
      </c>
      <c r="T463" t="s">
        <v>1160</v>
      </c>
      <c r="U463" t="s">
        <v>121</v>
      </c>
      <c r="V463" t="s">
        <v>5</v>
      </c>
      <c r="W463">
        <v>10</v>
      </c>
      <c r="X463" t="s">
        <v>6</v>
      </c>
      <c r="Y463">
        <v>30</v>
      </c>
      <c r="Z463" t="s">
        <v>61</v>
      </c>
      <c r="AA463" t="s">
        <v>8</v>
      </c>
      <c r="AC463" t="s">
        <v>1009</v>
      </c>
      <c r="AD463">
        <v>429</v>
      </c>
    </row>
    <row r="464" spans="1:30" x14ac:dyDescent="0.3">
      <c r="A464">
        <v>15982884</v>
      </c>
      <c r="B464" s="3">
        <v>45660</v>
      </c>
      <c r="C464">
        <v>2025</v>
      </c>
      <c r="D464">
        <v>1</v>
      </c>
      <c r="E464" t="s">
        <v>1579</v>
      </c>
      <c r="F464" t="s">
        <v>0</v>
      </c>
      <c r="G464" t="s">
        <v>10</v>
      </c>
      <c r="H464" t="b">
        <v>0</v>
      </c>
      <c r="I464" t="b">
        <v>0</v>
      </c>
      <c r="J464" t="b">
        <v>0</v>
      </c>
      <c r="K464" t="b">
        <v>0</v>
      </c>
      <c r="L464" t="s">
        <v>708</v>
      </c>
      <c r="M464" t="s">
        <v>708</v>
      </c>
      <c r="N464" t="s">
        <v>264</v>
      </c>
      <c r="O464" t="b">
        <v>0</v>
      </c>
      <c r="P464">
        <v>1</v>
      </c>
      <c r="Q464" t="s">
        <v>442</v>
      </c>
      <c r="R464" t="s">
        <v>443</v>
      </c>
      <c r="S464" t="s">
        <v>5</v>
      </c>
      <c r="T464" t="s">
        <v>1400</v>
      </c>
      <c r="U464" t="s">
        <v>271</v>
      </c>
      <c r="V464" t="s">
        <v>383</v>
      </c>
      <c r="W464">
        <v>3</v>
      </c>
      <c r="X464" t="s">
        <v>14</v>
      </c>
      <c r="Z464" t="s">
        <v>5</v>
      </c>
      <c r="AA464" t="s">
        <v>8</v>
      </c>
      <c r="AC464" t="s">
        <v>32</v>
      </c>
      <c r="AD464">
        <v>449</v>
      </c>
    </row>
    <row r="465" spans="1:30" x14ac:dyDescent="0.3">
      <c r="A465">
        <v>15983611</v>
      </c>
      <c r="B465" s="3">
        <v>45663</v>
      </c>
      <c r="C465">
        <v>2025</v>
      </c>
      <c r="D465">
        <v>1</v>
      </c>
      <c r="E465" t="s">
        <v>1579</v>
      </c>
      <c r="F465" t="s">
        <v>0</v>
      </c>
      <c r="G465" t="s">
        <v>1</v>
      </c>
      <c r="H465" t="b">
        <v>0</v>
      </c>
      <c r="I465" t="b">
        <v>1</v>
      </c>
      <c r="J465" t="b">
        <v>0</v>
      </c>
      <c r="K465" t="b">
        <v>0</v>
      </c>
      <c r="L465" t="s">
        <v>1961</v>
      </c>
      <c r="M465" t="s">
        <v>244</v>
      </c>
      <c r="N465" t="s">
        <v>2</v>
      </c>
      <c r="O465" t="b">
        <v>1</v>
      </c>
      <c r="P465">
        <v>28</v>
      </c>
      <c r="Q465" t="s">
        <v>367</v>
      </c>
      <c r="R465" t="s">
        <v>368</v>
      </c>
      <c r="S465">
        <v>42</v>
      </c>
      <c r="T465" t="s">
        <v>60</v>
      </c>
      <c r="U465" t="s">
        <v>81</v>
      </c>
      <c r="V465" t="s">
        <v>82</v>
      </c>
      <c r="W465">
        <v>16</v>
      </c>
      <c r="X465" t="s">
        <v>6</v>
      </c>
      <c r="Y465">
        <v>37</v>
      </c>
      <c r="Z465" t="s">
        <v>61</v>
      </c>
      <c r="AA465" t="s">
        <v>8</v>
      </c>
      <c r="AC465" t="s">
        <v>101</v>
      </c>
      <c r="AD465">
        <v>446</v>
      </c>
    </row>
    <row r="466" spans="1:30" x14ac:dyDescent="0.3">
      <c r="A466">
        <v>15988919</v>
      </c>
      <c r="B466" s="3">
        <v>45666</v>
      </c>
      <c r="C466">
        <v>2025</v>
      </c>
      <c r="D466">
        <v>1</v>
      </c>
      <c r="E466" t="s">
        <v>1579</v>
      </c>
      <c r="F466" t="s">
        <v>0</v>
      </c>
      <c r="G466" t="s">
        <v>1</v>
      </c>
      <c r="H466" t="b">
        <v>0</v>
      </c>
      <c r="I466" t="b">
        <v>1</v>
      </c>
      <c r="J466" t="b">
        <v>0</v>
      </c>
      <c r="K466" t="b">
        <v>0</v>
      </c>
      <c r="L466" t="s">
        <v>1962</v>
      </c>
      <c r="M466" t="s">
        <v>1963</v>
      </c>
      <c r="N466" t="s">
        <v>70</v>
      </c>
      <c r="O466" t="b">
        <v>0</v>
      </c>
      <c r="P466">
        <v>32</v>
      </c>
      <c r="Q466" t="s">
        <v>367</v>
      </c>
      <c r="R466" t="s">
        <v>368</v>
      </c>
      <c r="S466">
        <v>42</v>
      </c>
      <c r="T466" t="s">
        <v>60</v>
      </c>
      <c r="U466" t="s">
        <v>81</v>
      </c>
      <c r="V466" t="s">
        <v>82</v>
      </c>
      <c r="W466">
        <v>13</v>
      </c>
      <c r="X466" t="s">
        <v>6</v>
      </c>
      <c r="Y466">
        <v>49</v>
      </c>
      <c r="Z466" t="s">
        <v>7</v>
      </c>
      <c r="AA466" t="s">
        <v>8</v>
      </c>
      <c r="AB466">
        <v>58</v>
      </c>
      <c r="AC466" t="s">
        <v>101</v>
      </c>
      <c r="AD466">
        <v>443</v>
      </c>
    </row>
    <row r="467" spans="1:30" x14ac:dyDescent="0.3">
      <c r="A467">
        <v>15989631</v>
      </c>
      <c r="B467" s="3">
        <v>45663</v>
      </c>
      <c r="C467">
        <v>2025</v>
      </c>
      <c r="D467">
        <v>1</v>
      </c>
      <c r="E467" t="s">
        <v>1579</v>
      </c>
      <c r="F467" t="s">
        <v>125</v>
      </c>
      <c r="G467" t="s">
        <v>10</v>
      </c>
      <c r="H467" t="b">
        <v>0</v>
      </c>
      <c r="I467" t="b">
        <v>0</v>
      </c>
      <c r="J467" t="b">
        <v>0</v>
      </c>
      <c r="K467" t="b">
        <v>0</v>
      </c>
      <c r="L467" t="s">
        <v>1473</v>
      </c>
      <c r="M467" t="s">
        <v>192</v>
      </c>
      <c r="N467" t="s">
        <v>5</v>
      </c>
      <c r="O467" t="b">
        <v>0</v>
      </c>
      <c r="P467">
        <v>2</v>
      </c>
      <c r="Q467" t="s">
        <v>226</v>
      </c>
      <c r="R467" t="s">
        <v>227</v>
      </c>
      <c r="S467" t="s">
        <v>5</v>
      </c>
      <c r="T467" t="s">
        <v>5</v>
      </c>
      <c r="U467" t="s">
        <v>228</v>
      </c>
      <c r="V467" t="s">
        <v>5</v>
      </c>
      <c r="W467">
        <v>1</v>
      </c>
      <c r="X467" t="s">
        <v>31</v>
      </c>
      <c r="Y467">
        <v>71</v>
      </c>
      <c r="Z467" t="s">
        <v>67</v>
      </c>
      <c r="AA467" t="s">
        <v>8</v>
      </c>
      <c r="AC467" t="s">
        <v>32</v>
      </c>
      <c r="AD467">
        <v>446</v>
      </c>
    </row>
    <row r="468" spans="1:30" x14ac:dyDescent="0.3">
      <c r="A468">
        <v>15992814</v>
      </c>
      <c r="B468" s="3">
        <v>45671</v>
      </c>
      <c r="C468">
        <v>2025</v>
      </c>
      <c r="D468">
        <v>1</v>
      </c>
      <c r="E468" t="s">
        <v>1579</v>
      </c>
      <c r="F468" t="s">
        <v>0</v>
      </c>
      <c r="G468" t="s">
        <v>10</v>
      </c>
      <c r="H468" t="b">
        <v>0</v>
      </c>
      <c r="I468" t="b">
        <v>0</v>
      </c>
      <c r="J468" t="b">
        <v>0</v>
      </c>
      <c r="K468" t="b">
        <v>0</v>
      </c>
      <c r="L468" t="s">
        <v>1964</v>
      </c>
      <c r="M468" t="s">
        <v>838</v>
      </c>
      <c r="N468" t="s">
        <v>12</v>
      </c>
      <c r="O468" t="b">
        <v>1</v>
      </c>
      <c r="P468">
        <v>6</v>
      </c>
      <c r="Q468" t="s">
        <v>922</v>
      </c>
      <c r="R468" t="s">
        <v>5</v>
      </c>
      <c r="S468">
        <v>42</v>
      </c>
      <c r="T468" t="s">
        <v>281</v>
      </c>
      <c r="U468" t="s">
        <v>5</v>
      </c>
      <c r="V468" t="s">
        <v>5</v>
      </c>
      <c r="W468">
        <v>2</v>
      </c>
      <c r="X468" t="s">
        <v>14</v>
      </c>
      <c r="Y468">
        <v>0.33333333333333298</v>
      </c>
      <c r="Z468" t="s">
        <v>219</v>
      </c>
      <c r="AA468" t="s">
        <v>8</v>
      </c>
      <c r="AC468" t="s">
        <v>9</v>
      </c>
      <c r="AD468">
        <v>438</v>
      </c>
    </row>
    <row r="469" spans="1:30" x14ac:dyDescent="0.3">
      <c r="A469">
        <v>15996029</v>
      </c>
      <c r="B469" s="3">
        <v>45659</v>
      </c>
      <c r="C469">
        <v>2025</v>
      </c>
      <c r="D469">
        <v>1</v>
      </c>
      <c r="E469" t="s">
        <v>1579</v>
      </c>
      <c r="F469" t="s">
        <v>0</v>
      </c>
      <c r="G469" t="s">
        <v>10</v>
      </c>
      <c r="H469" t="b">
        <v>0</v>
      </c>
      <c r="I469" t="b">
        <v>0</v>
      </c>
      <c r="J469" t="b">
        <v>0</v>
      </c>
      <c r="K469" t="b">
        <v>0</v>
      </c>
      <c r="L469" t="s">
        <v>206</v>
      </c>
      <c r="M469" t="s">
        <v>206</v>
      </c>
      <c r="N469" t="s">
        <v>5</v>
      </c>
      <c r="O469" t="b">
        <v>0</v>
      </c>
      <c r="P469">
        <v>1</v>
      </c>
      <c r="Q469" t="s">
        <v>1189</v>
      </c>
      <c r="R469" t="s">
        <v>1190</v>
      </c>
      <c r="S469" t="s">
        <v>5</v>
      </c>
      <c r="T469" t="s">
        <v>335</v>
      </c>
      <c r="U469" t="s">
        <v>447</v>
      </c>
      <c r="V469" t="s">
        <v>5</v>
      </c>
      <c r="W469">
        <v>1</v>
      </c>
      <c r="X469" t="s">
        <v>31</v>
      </c>
      <c r="Y469">
        <v>68</v>
      </c>
      <c r="Z469" t="s">
        <v>67</v>
      </c>
      <c r="AA469" t="s">
        <v>15</v>
      </c>
      <c r="AC469" t="s">
        <v>32</v>
      </c>
      <c r="AD469">
        <v>450</v>
      </c>
    </row>
    <row r="470" spans="1:30" x14ac:dyDescent="0.3">
      <c r="A470">
        <v>15999404</v>
      </c>
      <c r="B470" s="3">
        <v>45673</v>
      </c>
      <c r="C470">
        <v>2025</v>
      </c>
      <c r="D470">
        <v>1</v>
      </c>
      <c r="E470" t="s">
        <v>1579</v>
      </c>
      <c r="F470" t="s">
        <v>0</v>
      </c>
      <c r="G470" t="s">
        <v>1</v>
      </c>
      <c r="H470" t="b">
        <v>0</v>
      </c>
      <c r="I470" t="b">
        <v>1</v>
      </c>
      <c r="J470" t="b">
        <v>0</v>
      </c>
      <c r="K470" t="b">
        <v>0</v>
      </c>
      <c r="L470" t="s">
        <v>1965</v>
      </c>
      <c r="M470" t="s">
        <v>308</v>
      </c>
      <c r="N470" t="s">
        <v>70</v>
      </c>
      <c r="O470" t="b">
        <v>0</v>
      </c>
      <c r="P470">
        <v>12</v>
      </c>
      <c r="Q470" t="s">
        <v>208</v>
      </c>
      <c r="R470" t="s">
        <v>286</v>
      </c>
      <c r="S470">
        <v>48</v>
      </c>
      <c r="T470" t="s">
        <v>80</v>
      </c>
      <c r="U470" t="s">
        <v>210</v>
      </c>
      <c r="V470" t="s">
        <v>5</v>
      </c>
      <c r="W470">
        <v>21</v>
      </c>
      <c r="X470" t="s">
        <v>6</v>
      </c>
      <c r="Y470">
        <v>66</v>
      </c>
      <c r="Z470" t="s">
        <v>67</v>
      </c>
      <c r="AA470" t="s">
        <v>8</v>
      </c>
      <c r="AB470">
        <v>71.668999999999997</v>
      </c>
      <c r="AC470" t="s">
        <v>32</v>
      </c>
      <c r="AD470">
        <v>436</v>
      </c>
    </row>
    <row r="471" spans="1:30" x14ac:dyDescent="0.3">
      <c r="A471">
        <v>16003956</v>
      </c>
      <c r="B471" s="3">
        <v>45688</v>
      </c>
      <c r="C471">
        <v>2025</v>
      </c>
      <c r="D471">
        <v>1</v>
      </c>
      <c r="E471" t="s">
        <v>1579</v>
      </c>
      <c r="F471" t="s">
        <v>0</v>
      </c>
      <c r="G471" t="s">
        <v>10</v>
      </c>
      <c r="H471" t="b">
        <v>0</v>
      </c>
      <c r="I471" t="b">
        <v>0</v>
      </c>
      <c r="J471" t="b">
        <v>0</v>
      </c>
      <c r="K471" t="b">
        <v>0</v>
      </c>
      <c r="L471" t="s">
        <v>1966</v>
      </c>
      <c r="M471" t="s">
        <v>11</v>
      </c>
      <c r="N471" t="s">
        <v>70</v>
      </c>
      <c r="O471" t="b">
        <v>0</v>
      </c>
      <c r="P471">
        <v>20</v>
      </c>
      <c r="Q471" t="s">
        <v>494</v>
      </c>
      <c r="R471" t="s">
        <v>494</v>
      </c>
      <c r="S471">
        <v>48</v>
      </c>
      <c r="T471" t="s">
        <v>83</v>
      </c>
      <c r="U471" t="s">
        <v>495</v>
      </c>
      <c r="V471" t="s">
        <v>5</v>
      </c>
      <c r="W471">
        <v>4</v>
      </c>
      <c r="X471" t="s">
        <v>40</v>
      </c>
      <c r="Y471">
        <v>38</v>
      </c>
      <c r="Z471" t="s">
        <v>61</v>
      </c>
      <c r="AA471" t="s">
        <v>15</v>
      </c>
      <c r="AC471" t="s">
        <v>412</v>
      </c>
      <c r="AD471">
        <v>421</v>
      </c>
    </row>
    <row r="472" spans="1:30" x14ac:dyDescent="0.3">
      <c r="A472">
        <v>16006913</v>
      </c>
      <c r="B472" s="3">
        <v>45671</v>
      </c>
      <c r="C472">
        <v>2025</v>
      </c>
      <c r="D472">
        <v>1</v>
      </c>
      <c r="E472" t="s">
        <v>1579</v>
      </c>
      <c r="F472" t="s">
        <v>125</v>
      </c>
      <c r="G472" t="s">
        <v>10</v>
      </c>
      <c r="H472" t="b">
        <v>0</v>
      </c>
      <c r="I472" t="b">
        <v>0</v>
      </c>
      <c r="J472" t="b">
        <v>0</v>
      </c>
      <c r="K472" t="b">
        <v>0</v>
      </c>
      <c r="L472" t="s">
        <v>1967</v>
      </c>
      <c r="M472" t="s">
        <v>464</v>
      </c>
      <c r="N472" t="s">
        <v>5</v>
      </c>
      <c r="O472" t="b">
        <v>0</v>
      </c>
      <c r="P472">
        <v>3</v>
      </c>
      <c r="Q472" t="s">
        <v>1014</v>
      </c>
      <c r="R472" t="s">
        <v>1015</v>
      </c>
      <c r="S472">
        <v>48</v>
      </c>
      <c r="T472" t="s">
        <v>428</v>
      </c>
      <c r="U472" t="s">
        <v>1016</v>
      </c>
      <c r="V472" t="s">
        <v>5</v>
      </c>
      <c r="W472">
        <v>1</v>
      </c>
      <c r="X472" t="s">
        <v>31</v>
      </c>
      <c r="Z472" t="s">
        <v>5</v>
      </c>
      <c r="AA472" t="s">
        <v>8</v>
      </c>
      <c r="AC472" t="s">
        <v>32</v>
      </c>
      <c r="AD472">
        <v>438</v>
      </c>
    </row>
    <row r="473" spans="1:30" x14ac:dyDescent="0.3">
      <c r="A473">
        <v>16008561</v>
      </c>
      <c r="B473" s="3">
        <v>45678</v>
      </c>
      <c r="C473">
        <v>2025</v>
      </c>
      <c r="D473">
        <v>1</v>
      </c>
      <c r="E473" t="s">
        <v>1579</v>
      </c>
      <c r="F473" t="s">
        <v>0</v>
      </c>
      <c r="G473" t="s">
        <v>50</v>
      </c>
      <c r="H473" t="b">
        <v>1</v>
      </c>
      <c r="I473" t="b">
        <v>0</v>
      </c>
      <c r="J473" t="b">
        <v>0</v>
      </c>
      <c r="K473" t="b">
        <v>0</v>
      </c>
      <c r="L473" t="s">
        <v>1968</v>
      </c>
      <c r="M473" t="s">
        <v>50</v>
      </c>
      <c r="N473" t="s">
        <v>63</v>
      </c>
      <c r="O473" t="b">
        <v>0</v>
      </c>
      <c r="P473">
        <v>3</v>
      </c>
      <c r="Q473" t="s">
        <v>158</v>
      </c>
      <c r="R473" t="s">
        <v>1554</v>
      </c>
      <c r="S473" t="s">
        <v>5</v>
      </c>
      <c r="T473" t="s">
        <v>5</v>
      </c>
      <c r="U473" t="s">
        <v>72</v>
      </c>
      <c r="V473" t="s">
        <v>160</v>
      </c>
      <c r="W473">
        <v>1</v>
      </c>
      <c r="X473" t="s">
        <v>31</v>
      </c>
      <c r="Z473" t="s">
        <v>5</v>
      </c>
      <c r="AA473" t="s">
        <v>5</v>
      </c>
      <c r="AC473" t="s">
        <v>32</v>
      </c>
      <c r="AD473">
        <v>431</v>
      </c>
    </row>
    <row r="474" spans="1:30" x14ac:dyDescent="0.3">
      <c r="A474">
        <v>16011746</v>
      </c>
      <c r="B474" s="3">
        <v>45687</v>
      </c>
      <c r="C474">
        <v>2025</v>
      </c>
      <c r="D474">
        <v>1</v>
      </c>
      <c r="E474" t="s">
        <v>1579</v>
      </c>
      <c r="F474" t="s">
        <v>0</v>
      </c>
      <c r="G474" t="s">
        <v>1</v>
      </c>
      <c r="H474" t="b">
        <v>0</v>
      </c>
      <c r="I474" t="b">
        <v>1</v>
      </c>
      <c r="J474" t="b">
        <v>0</v>
      </c>
      <c r="K474" t="b">
        <v>0</v>
      </c>
      <c r="L474" t="s">
        <v>1969</v>
      </c>
      <c r="M474" t="s">
        <v>552</v>
      </c>
      <c r="N474" t="s">
        <v>5</v>
      </c>
      <c r="O474" t="b">
        <v>0</v>
      </c>
      <c r="P474">
        <v>4</v>
      </c>
      <c r="Q474" t="s">
        <v>208</v>
      </c>
      <c r="R474" t="s">
        <v>286</v>
      </c>
      <c r="S474" t="s">
        <v>5</v>
      </c>
      <c r="T474" t="s">
        <v>5</v>
      </c>
      <c r="U474" t="s">
        <v>210</v>
      </c>
      <c r="V474" t="s">
        <v>5</v>
      </c>
      <c r="W474">
        <v>1</v>
      </c>
      <c r="X474" t="s">
        <v>31</v>
      </c>
      <c r="Y474">
        <v>76</v>
      </c>
      <c r="Z474" t="s">
        <v>67</v>
      </c>
      <c r="AA474" t="s">
        <v>8</v>
      </c>
      <c r="AC474" t="s">
        <v>32</v>
      </c>
      <c r="AD474">
        <v>422</v>
      </c>
    </row>
    <row r="475" spans="1:30" x14ac:dyDescent="0.3">
      <c r="A475">
        <v>16023056</v>
      </c>
      <c r="B475" s="3">
        <v>45684</v>
      </c>
      <c r="C475">
        <v>2025</v>
      </c>
      <c r="D475">
        <v>1</v>
      </c>
      <c r="E475" t="s">
        <v>1579</v>
      </c>
      <c r="F475" t="s">
        <v>125</v>
      </c>
      <c r="G475" t="s">
        <v>10</v>
      </c>
      <c r="H475" t="b">
        <v>0</v>
      </c>
      <c r="I475" t="b">
        <v>0</v>
      </c>
      <c r="J475" t="b">
        <v>0</v>
      </c>
      <c r="K475" t="b">
        <v>0</v>
      </c>
      <c r="L475" t="s">
        <v>1970</v>
      </c>
      <c r="M475" t="s">
        <v>1104</v>
      </c>
      <c r="N475" t="s">
        <v>5</v>
      </c>
      <c r="O475" t="b">
        <v>0</v>
      </c>
      <c r="P475">
        <v>2</v>
      </c>
      <c r="Q475" t="s">
        <v>187</v>
      </c>
      <c r="R475" t="s">
        <v>5</v>
      </c>
      <c r="S475" t="s">
        <v>5</v>
      </c>
      <c r="T475" t="s">
        <v>335</v>
      </c>
      <c r="U475" t="s">
        <v>5</v>
      </c>
      <c r="V475" t="s">
        <v>5</v>
      </c>
      <c r="W475">
        <v>3</v>
      </c>
      <c r="X475" t="s">
        <v>14</v>
      </c>
      <c r="Z475" t="s">
        <v>5</v>
      </c>
      <c r="AA475" t="s">
        <v>15</v>
      </c>
      <c r="AC475" t="s">
        <v>32</v>
      </c>
      <c r="AD475">
        <v>425</v>
      </c>
    </row>
    <row r="476" spans="1:30" x14ac:dyDescent="0.3">
      <c r="A476">
        <v>16024676</v>
      </c>
      <c r="B476" s="3">
        <v>45663</v>
      </c>
      <c r="C476">
        <v>2025</v>
      </c>
      <c r="D476">
        <v>1</v>
      </c>
      <c r="E476" t="s">
        <v>1579</v>
      </c>
      <c r="F476" t="s">
        <v>0</v>
      </c>
      <c r="G476" t="s">
        <v>16</v>
      </c>
      <c r="H476" t="b">
        <v>0</v>
      </c>
      <c r="I476" t="b">
        <v>1</v>
      </c>
      <c r="J476" t="b">
        <v>1</v>
      </c>
      <c r="K476" t="b">
        <v>0</v>
      </c>
      <c r="L476" t="s">
        <v>1971</v>
      </c>
      <c r="M476" t="s">
        <v>385</v>
      </c>
      <c r="N476" t="s">
        <v>21</v>
      </c>
      <c r="O476" t="b">
        <v>0</v>
      </c>
      <c r="P476">
        <v>3</v>
      </c>
      <c r="Q476" t="s">
        <v>175</v>
      </c>
      <c r="R476" t="s">
        <v>176</v>
      </c>
      <c r="S476">
        <v>50</v>
      </c>
      <c r="T476" t="s">
        <v>150</v>
      </c>
      <c r="U476" t="s">
        <v>177</v>
      </c>
      <c r="V476" t="s">
        <v>178</v>
      </c>
      <c r="W476">
        <v>21</v>
      </c>
      <c r="X476" t="s">
        <v>6</v>
      </c>
      <c r="Y476">
        <v>64</v>
      </c>
      <c r="Z476" t="s">
        <v>7</v>
      </c>
      <c r="AA476" t="s">
        <v>8</v>
      </c>
      <c r="AC476" t="s">
        <v>32</v>
      </c>
      <c r="AD476">
        <v>446</v>
      </c>
    </row>
    <row r="477" spans="1:30" x14ac:dyDescent="0.3">
      <c r="A477">
        <v>16036831</v>
      </c>
      <c r="B477" s="3">
        <v>45681</v>
      </c>
      <c r="C477">
        <v>2025</v>
      </c>
      <c r="D477">
        <v>1</v>
      </c>
      <c r="E477" t="s">
        <v>1579</v>
      </c>
      <c r="F477" t="s">
        <v>0</v>
      </c>
      <c r="G477" t="s">
        <v>1</v>
      </c>
      <c r="H477" t="b">
        <v>0</v>
      </c>
      <c r="I477" t="b">
        <v>1</v>
      </c>
      <c r="J477" t="b">
        <v>0</v>
      </c>
      <c r="K477" t="b">
        <v>0</v>
      </c>
      <c r="L477" t="s">
        <v>1972</v>
      </c>
      <c r="M477" t="s">
        <v>843</v>
      </c>
      <c r="N477" t="s">
        <v>57</v>
      </c>
      <c r="O477" t="b">
        <v>1</v>
      </c>
      <c r="P477">
        <v>7</v>
      </c>
      <c r="Q477" t="s">
        <v>1024</v>
      </c>
      <c r="R477" t="s">
        <v>1025</v>
      </c>
      <c r="S477">
        <v>58</v>
      </c>
      <c r="T477" t="s">
        <v>80</v>
      </c>
      <c r="U477" t="s">
        <v>447</v>
      </c>
      <c r="V477" t="s">
        <v>1026</v>
      </c>
      <c r="W477">
        <v>2</v>
      </c>
      <c r="X477" t="s">
        <v>14</v>
      </c>
      <c r="Y477">
        <v>57</v>
      </c>
      <c r="Z477" t="s">
        <v>7</v>
      </c>
      <c r="AA477" t="s">
        <v>8</v>
      </c>
      <c r="AC477" t="s">
        <v>32</v>
      </c>
      <c r="AD477">
        <v>428</v>
      </c>
    </row>
    <row r="478" spans="1:30" x14ac:dyDescent="0.3">
      <c r="A478">
        <v>16045931</v>
      </c>
      <c r="B478" s="3">
        <v>45670</v>
      </c>
      <c r="C478">
        <v>2025</v>
      </c>
      <c r="D478">
        <v>1</v>
      </c>
      <c r="E478" t="s">
        <v>1579</v>
      </c>
      <c r="F478" t="s">
        <v>0</v>
      </c>
      <c r="G478" t="s">
        <v>10</v>
      </c>
      <c r="H478" t="b">
        <v>0</v>
      </c>
      <c r="I478" t="b">
        <v>0</v>
      </c>
      <c r="J478" t="b">
        <v>0</v>
      </c>
      <c r="K478" t="b">
        <v>0</v>
      </c>
      <c r="L478" t="s">
        <v>1973</v>
      </c>
      <c r="M478" t="s">
        <v>1974</v>
      </c>
      <c r="N478" t="s">
        <v>57</v>
      </c>
      <c r="O478" t="b">
        <v>1</v>
      </c>
      <c r="P478">
        <v>9</v>
      </c>
      <c r="Q478" t="s">
        <v>450</v>
      </c>
      <c r="R478" t="s">
        <v>451</v>
      </c>
      <c r="S478">
        <v>65</v>
      </c>
      <c r="T478" t="s">
        <v>272</v>
      </c>
      <c r="U478" t="s">
        <v>453</v>
      </c>
      <c r="V478" t="s">
        <v>211</v>
      </c>
      <c r="W478">
        <v>4</v>
      </c>
      <c r="X478" t="s">
        <v>40</v>
      </c>
      <c r="Y478">
        <v>33</v>
      </c>
      <c r="Z478" t="s">
        <v>61</v>
      </c>
      <c r="AA478" t="s">
        <v>8</v>
      </c>
      <c r="AC478" t="s">
        <v>284</v>
      </c>
      <c r="AD478">
        <v>439</v>
      </c>
    </row>
    <row r="479" spans="1:30" x14ac:dyDescent="0.3">
      <c r="A479">
        <v>16049920</v>
      </c>
      <c r="B479" s="3">
        <v>45685</v>
      </c>
      <c r="C479">
        <v>2025</v>
      </c>
      <c r="D479">
        <v>1</v>
      </c>
      <c r="E479" t="s">
        <v>1579</v>
      </c>
      <c r="F479" t="s">
        <v>0</v>
      </c>
      <c r="G479" t="s">
        <v>1</v>
      </c>
      <c r="H479" t="b">
        <v>0</v>
      </c>
      <c r="I479" t="b">
        <v>1</v>
      </c>
      <c r="J479" t="b">
        <v>0</v>
      </c>
      <c r="K479" t="b">
        <v>0</v>
      </c>
      <c r="L479" t="s">
        <v>1975</v>
      </c>
      <c r="M479" t="s">
        <v>1341</v>
      </c>
      <c r="N479" t="s">
        <v>118</v>
      </c>
      <c r="O479" t="b">
        <v>0</v>
      </c>
      <c r="P479">
        <v>32</v>
      </c>
      <c r="Q479" t="s">
        <v>135</v>
      </c>
      <c r="R479" t="s">
        <v>136</v>
      </c>
      <c r="S479">
        <v>58</v>
      </c>
      <c r="T479" t="s">
        <v>62</v>
      </c>
      <c r="U479" t="s">
        <v>81</v>
      </c>
      <c r="V479" t="s">
        <v>137</v>
      </c>
      <c r="W479">
        <v>33</v>
      </c>
      <c r="X479" t="s">
        <v>6</v>
      </c>
      <c r="Y479">
        <v>56</v>
      </c>
      <c r="Z479" t="s">
        <v>7</v>
      </c>
      <c r="AA479" t="s">
        <v>8</v>
      </c>
      <c r="AB479">
        <v>81</v>
      </c>
      <c r="AC479" t="s">
        <v>9</v>
      </c>
      <c r="AD479">
        <v>424</v>
      </c>
    </row>
    <row r="480" spans="1:30" x14ac:dyDescent="0.3">
      <c r="A480">
        <v>16055996</v>
      </c>
      <c r="B480" s="3">
        <v>45659</v>
      </c>
      <c r="C480">
        <v>2025</v>
      </c>
      <c r="D480">
        <v>1</v>
      </c>
      <c r="E480" t="s">
        <v>1579</v>
      </c>
      <c r="F480" t="s">
        <v>0</v>
      </c>
      <c r="G480" t="s">
        <v>10</v>
      </c>
      <c r="H480" t="b">
        <v>0</v>
      </c>
      <c r="I480" t="b">
        <v>0</v>
      </c>
      <c r="J480" t="b">
        <v>0</v>
      </c>
      <c r="K480" t="b">
        <v>0</v>
      </c>
      <c r="L480" t="s">
        <v>1976</v>
      </c>
      <c r="M480" t="s">
        <v>365</v>
      </c>
      <c r="N480" t="s">
        <v>57</v>
      </c>
      <c r="O480" t="b">
        <v>1</v>
      </c>
      <c r="P480">
        <v>3</v>
      </c>
      <c r="Q480" t="s">
        <v>681</v>
      </c>
      <c r="R480" t="s">
        <v>5</v>
      </c>
      <c r="S480">
        <v>42</v>
      </c>
      <c r="T480" t="s">
        <v>490</v>
      </c>
      <c r="U480" t="s">
        <v>5</v>
      </c>
      <c r="V480" t="s">
        <v>5</v>
      </c>
      <c r="W480">
        <v>3</v>
      </c>
      <c r="X480" t="s">
        <v>14</v>
      </c>
      <c r="Z480" t="s">
        <v>5</v>
      </c>
      <c r="AA480" t="s">
        <v>5</v>
      </c>
      <c r="AC480" t="s">
        <v>32</v>
      </c>
      <c r="AD480">
        <v>450</v>
      </c>
    </row>
    <row r="481" spans="1:30" x14ac:dyDescent="0.3">
      <c r="A481">
        <v>16070939</v>
      </c>
      <c r="B481" s="3">
        <v>45663</v>
      </c>
      <c r="C481">
        <v>2025</v>
      </c>
      <c r="D481">
        <v>1</v>
      </c>
      <c r="E481" t="s">
        <v>1579</v>
      </c>
      <c r="F481" t="s">
        <v>0</v>
      </c>
      <c r="G481" t="s">
        <v>10</v>
      </c>
      <c r="H481" t="b">
        <v>0</v>
      </c>
      <c r="I481" t="b">
        <v>0</v>
      </c>
      <c r="J481" t="b">
        <v>0</v>
      </c>
      <c r="K481" t="b">
        <v>0</v>
      </c>
      <c r="L481" t="s">
        <v>1977</v>
      </c>
      <c r="M481" t="s">
        <v>225</v>
      </c>
      <c r="N481" t="s">
        <v>57</v>
      </c>
      <c r="O481" t="b">
        <v>1</v>
      </c>
      <c r="P481">
        <v>10</v>
      </c>
      <c r="Q481" t="s">
        <v>1039</v>
      </c>
      <c r="R481" t="s">
        <v>1040</v>
      </c>
      <c r="S481">
        <v>65</v>
      </c>
      <c r="T481" t="s">
        <v>83</v>
      </c>
      <c r="U481" t="s">
        <v>1041</v>
      </c>
      <c r="V481" t="s">
        <v>5</v>
      </c>
      <c r="W481">
        <v>13</v>
      </c>
      <c r="X481" t="s">
        <v>6</v>
      </c>
      <c r="Y481">
        <v>75</v>
      </c>
      <c r="Z481" t="s">
        <v>67</v>
      </c>
      <c r="AA481" t="s">
        <v>8</v>
      </c>
      <c r="AC481" t="s">
        <v>254</v>
      </c>
      <c r="AD481">
        <v>446</v>
      </c>
    </row>
    <row r="482" spans="1:30" x14ac:dyDescent="0.3">
      <c r="A482">
        <v>16076615</v>
      </c>
      <c r="B482" s="3">
        <v>45660</v>
      </c>
      <c r="C482">
        <v>2025</v>
      </c>
      <c r="D482">
        <v>1</v>
      </c>
      <c r="E482" t="s">
        <v>1579</v>
      </c>
      <c r="F482" t="s">
        <v>0</v>
      </c>
      <c r="G482" t="s">
        <v>10</v>
      </c>
      <c r="H482" t="b">
        <v>0</v>
      </c>
      <c r="I482" t="b">
        <v>0</v>
      </c>
      <c r="J482" t="b">
        <v>0</v>
      </c>
      <c r="K482" t="b">
        <v>0</v>
      </c>
      <c r="L482" t="s">
        <v>1978</v>
      </c>
      <c r="M482" t="s">
        <v>165</v>
      </c>
      <c r="N482" t="s">
        <v>2</v>
      </c>
      <c r="O482" t="b">
        <v>1</v>
      </c>
      <c r="P482">
        <v>8</v>
      </c>
      <c r="Q482" t="s">
        <v>320</v>
      </c>
      <c r="R482" t="s">
        <v>321</v>
      </c>
      <c r="S482">
        <v>58</v>
      </c>
      <c r="T482" t="s">
        <v>237</v>
      </c>
      <c r="U482" t="s">
        <v>4</v>
      </c>
      <c r="V482" t="s">
        <v>322</v>
      </c>
      <c r="W482">
        <v>13</v>
      </c>
      <c r="X482" t="s">
        <v>6</v>
      </c>
      <c r="Y482">
        <v>70</v>
      </c>
      <c r="Z482" t="s">
        <v>67</v>
      </c>
      <c r="AA482" t="s">
        <v>8</v>
      </c>
      <c r="AC482" t="s">
        <v>9</v>
      </c>
      <c r="AD482">
        <v>449</v>
      </c>
    </row>
    <row r="483" spans="1:30" x14ac:dyDescent="0.3">
      <c r="A483">
        <v>16076875</v>
      </c>
      <c r="B483" s="3">
        <v>45666</v>
      </c>
      <c r="C483">
        <v>2025</v>
      </c>
      <c r="D483">
        <v>1</v>
      </c>
      <c r="E483" t="s">
        <v>1579</v>
      </c>
      <c r="F483" t="s">
        <v>125</v>
      </c>
      <c r="G483" t="s">
        <v>10</v>
      </c>
      <c r="H483" t="b">
        <v>0</v>
      </c>
      <c r="I483" t="b">
        <v>0</v>
      </c>
      <c r="J483" t="b">
        <v>0</v>
      </c>
      <c r="K483" t="b">
        <v>0</v>
      </c>
      <c r="L483" t="s">
        <v>1979</v>
      </c>
      <c r="M483" t="s">
        <v>1335</v>
      </c>
      <c r="N483" t="s">
        <v>5</v>
      </c>
      <c r="O483" t="b">
        <v>0</v>
      </c>
      <c r="P483">
        <v>2</v>
      </c>
      <c r="Q483" t="s">
        <v>418</v>
      </c>
      <c r="R483" t="s">
        <v>419</v>
      </c>
      <c r="S483">
        <v>50</v>
      </c>
      <c r="T483" t="s">
        <v>150</v>
      </c>
      <c r="U483" t="s">
        <v>177</v>
      </c>
      <c r="V483" t="s">
        <v>5</v>
      </c>
      <c r="W483">
        <v>1</v>
      </c>
      <c r="X483" t="s">
        <v>31</v>
      </c>
      <c r="Z483" t="s">
        <v>5</v>
      </c>
      <c r="AA483" t="s">
        <v>15</v>
      </c>
      <c r="AC483" t="s">
        <v>32</v>
      </c>
      <c r="AD483">
        <v>443</v>
      </c>
    </row>
    <row r="484" spans="1:30" x14ac:dyDescent="0.3">
      <c r="A484">
        <v>16087490</v>
      </c>
      <c r="B484" s="3">
        <v>45671</v>
      </c>
      <c r="C484">
        <v>2025</v>
      </c>
      <c r="D484">
        <v>1</v>
      </c>
      <c r="E484" t="s">
        <v>1579</v>
      </c>
      <c r="F484" t="s">
        <v>125</v>
      </c>
      <c r="G484" t="s">
        <v>10</v>
      </c>
      <c r="H484" t="b">
        <v>0</v>
      </c>
      <c r="I484" t="b">
        <v>0</v>
      </c>
      <c r="J484" t="b">
        <v>0</v>
      </c>
      <c r="K484" t="b">
        <v>0</v>
      </c>
      <c r="L484" t="s">
        <v>550</v>
      </c>
      <c r="M484" t="s">
        <v>550</v>
      </c>
      <c r="N484" t="s">
        <v>5</v>
      </c>
      <c r="O484" t="b">
        <v>0</v>
      </c>
      <c r="P484">
        <v>1</v>
      </c>
      <c r="Q484" t="s">
        <v>835</v>
      </c>
      <c r="R484" t="s">
        <v>836</v>
      </c>
      <c r="S484">
        <v>65</v>
      </c>
      <c r="T484" t="s">
        <v>427</v>
      </c>
      <c r="U484" t="s">
        <v>837</v>
      </c>
      <c r="V484" t="s">
        <v>540</v>
      </c>
      <c r="W484">
        <v>2</v>
      </c>
      <c r="X484" t="s">
        <v>14</v>
      </c>
      <c r="Z484" t="s">
        <v>5</v>
      </c>
      <c r="AA484" t="s">
        <v>8</v>
      </c>
      <c r="AC484" t="s">
        <v>803</v>
      </c>
      <c r="AD484">
        <v>438</v>
      </c>
    </row>
    <row r="485" spans="1:30" x14ac:dyDescent="0.3">
      <c r="A485">
        <v>16104538</v>
      </c>
      <c r="B485" s="3">
        <v>45660</v>
      </c>
      <c r="C485">
        <v>2025</v>
      </c>
      <c r="D485">
        <v>1</v>
      </c>
      <c r="E485" t="s">
        <v>1579</v>
      </c>
      <c r="F485" t="s">
        <v>0</v>
      </c>
      <c r="G485" t="s">
        <v>10</v>
      </c>
      <c r="H485" t="b">
        <v>0</v>
      </c>
      <c r="I485" t="b">
        <v>0</v>
      </c>
      <c r="J485" t="b">
        <v>0</v>
      </c>
      <c r="K485" t="b">
        <v>0</v>
      </c>
      <c r="L485" t="s">
        <v>1980</v>
      </c>
      <c r="M485" t="s">
        <v>474</v>
      </c>
      <c r="N485" t="s">
        <v>70</v>
      </c>
      <c r="O485" t="b">
        <v>0</v>
      </c>
      <c r="P485">
        <v>48</v>
      </c>
      <c r="Q485" t="s">
        <v>367</v>
      </c>
      <c r="R485" t="s">
        <v>368</v>
      </c>
      <c r="S485">
        <v>42</v>
      </c>
      <c r="T485" t="s">
        <v>758</v>
      </c>
      <c r="U485" t="s">
        <v>81</v>
      </c>
      <c r="V485" t="s">
        <v>82</v>
      </c>
      <c r="W485">
        <v>25</v>
      </c>
      <c r="X485" t="s">
        <v>6</v>
      </c>
      <c r="Y485">
        <v>60</v>
      </c>
      <c r="Z485" t="s">
        <v>7</v>
      </c>
      <c r="AA485" t="s">
        <v>15</v>
      </c>
      <c r="AC485" t="s">
        <v>101</v>
      </c>
      <c r="AD485">
        <v>449</v>
      </c>
    </row>
    <row r="486" spans="1:30" x14ac:dyDescent="0.3">
      <c r="A486">
        <v>16106475</v>
      </c>
      <c r="B486" s="3">
        <v>45680</v>
      </c>
      <c r="C486">
        <v>2025</v>
      </c>
      <c r="D486">
        <v>1</v>
      </c>
      <c r="E486" t="s">
        <v>1579</v>
      </c>
      <c r="F486" t="s">
        <v>0</v>
      </c>
      <c r="G486" t="s">
        <v>1</v>
      </c>
      <c r="H486" t="b">
        <v>0</v>
      </c>
      <c r="I486" t="b">
        <v>1</v>
      </c>
      <c r="J486" t="b">
        <v>0</v>
      </c>
      <c r="K486" t="b">
        <v>0</v>
      </c>
      <c r="L486" t="s">
        <v>1981</v>
      </c>
      <c r="M486" t="s">
        <v>1161</v>
      </c>
      <c r="N486" t="s">
        <v>12</v>
      </c>
      <c r="O486" t="b">
        <v>1</v>
      </c>
      <c r="P486">
        <v>11</v>
      </c>
      <c r="Q486" t="s">
        <v>389</v>
      </c>
      <c r="R486" t="s">
        <v>390</v>
      </c>
      <c r="S486">
        <v>48</v>
      </c>
      <c r="T486" t="s">
        <v>252</v>
      </c>
      <c r="U486" t="s">
        <v>391</v>
      </c>
      <c r="V486" t="s">
        <v>392</v>
      </c>
      <c r="W486">
        <v>3</v>
      </c>
      <c r="X486" t="s">
        <v>14</v>
      </c>
      <c r="Y486">
        <v>3</v>
      </c>
      <c r="Z486" t="s">
        <v>46</v>
      </c>
      <c r="AA486" t="s">
        <v>8</v>
      </c>
      <c r="AB486">
        <v>11</v>
      </c>
      <c r="AC486" t="s">
        <v>101</v>
      </c>
      <c r="AD486">
        <v>429</v>
      </c>
    </row>
    <row r="487" spans="1:30" x14ac:dyDescent="0.3">
      <c r="A487">
        <v>16111505</v>
      </c>
      <c r="B487" s="3">
        <v>45678</v>
      </c>
      <c r="C487">
        <v>2025</v>
      </c>
      <c r="D487">
        <v>1</v>
      </c>
      <c r="E487" t="s">
        <v>1579</v>
      </c>
      <c r="F487" t="s">
        <v>0</v>
      </c>
      <c r="G487" t="s">
        <v>50</v>
      </c>
      <c r="H487" t="b">
        <v>1</v>
      </c>
      <c r="I487" t="b">
        <v>0</v>
      </c>
      <c r="J487" t="b">
        <v>0</v>
      </c>
      <c r="K487" t="b">
        <v>0</v>
      </c>
      <c r="L487" t="s">
        <v>50</v>
      </c>
      <c r="M487" t="s">
        <v>50</v>
      </c>
      <c r="N487" t="s">
        <v>5</v>
      </c>
      <c r="O487" t="b">
        <v>0</v>
      </c>
      <c r="P487">
        <v>1</v>
      </c>
      <c r="Q487" t="s">
        <v>169</v>
      </c>
      <c r="R487" t="s">
        <v>170</v>
      </c>
      <c r="S487" t="s">
        <v>5</v>
      </c>
      <c r="T487" t="s">
        <v>446</v>
      </c>
      <c r="U487" t="s">
        <v>106</v>
      </c>
      <c r="V487" t="s">
        <v>172</v>
      </c>
      <c r="W487">
        <v>1</v>
      </c>
      <c r="X487" t="s">
        <v>31</v>
      </c>
      <c r="Z487" t="s">
        <v>5</v>
      </c>
      <c r="AA487" t="s">
        <v>5</v>
      </c>
      <c r="AC487" t="s">
        <v>1053</v>
      </c>
      <c r="AD487">
        <v>431</v>
      </c>
    </row>
    <row r="488" spans="1:30" x14ac:dyDescent="0.3">
      <c r="A488">
        <v>16123058</v>
      </c>
      <c r="B488" s="3">
        <v>45670</v>
      </c>
      <c r="C488">
        <v>2025</v>
      </c>
      <c r="D488">
        <v>1</v>
      </c>
      <c r="E488" t="s">
        <v>1579</v>
      </c>
      <c r="F488" t="s">
        <v>0</v>
      </c>
      <c r="G488" t="s">
        <v>50</v>
      </c>
      <c r="H488" t="b">
        <v>1</v>
      </c>
      <c r="I488" t="b">
        <v>0</v>
      </c>
      <c r="J488" t="b">
        <v>0</v>
      </c>
      <c r="K488" t="b">
        <v>0</v>
      </c>
      <c r="L488" t="s">
        <v>1982</v>
      </c>
      <c r="M488" t="s">
        <v>240</v>
      </c>
      <c r="N488" t="s">
        <v>5</v>
      </c>
      <c r="O488" t="b">
        <v>0</v>
      </c>
      <c r="P488">
        <v>3</v>
      </c>
      <c r="Q488" t="s">
        <v>1342</v>
      </c>
      <c r="R488" t="s">
        <v>5</v>
      </c>
      <c r="S488" t="s">
        <v>5</v>
      </c>
      <c r="T488" t="s">
        <v>800</v>
      </c>
      <c r="U488" t="s">
        <v>5</v>
      </c>
      <c r="V488" t="s">
        <v>5</v>
      </c>
      <c r="W488">
        <v>4</v>
      </c>
      <c r="X488" t="s">
        <v>40</v>
      </c>
      <c r="Y488">
        <v>62</v>
      </c>
      <c r="Z488" t="s">
        <v>7</v>
      </c>
      <c r="AA488" t="s">
        <v>15</v>
      </c>
      <c r="AC488" t="s">
        <v>101</v>
      </c>
      <c r="AD488">
        <v>439</v>
      </c>
    </row>
    <row r="489" spans="1:30" x14ac:dyDescent="0.3">
      <c r="A489">
        <v>16123082</v>
      </c>
      <c r="B489" s="3">
        <v>45678</v>
      </c>
      <c r="C489">
        <v>2025</v>
      </c>
      <c r="D489">
        <v>1</v>
      </c>
      <c r="E489" t="s">
        <v>1579</v>
      </c>
      <c r="F489" t="s">
        <v>0</v>
      </c>
      <c r="G489" t="s">
        <v>50</v>
      </c>
      <c r="H489" t="b">
        <v>1</v>
      </c>
      <c r="I489" t="b">
        <v>0</v>
      </c>
      <c r="J489" t="b">
        <v>0</v>
      </c>
      <c r="K489" t="b">
        <v>0</v>
      </c>
      <c r="L489" t="s">
        <v>50</v>
      </c>
      <c r="M489" t="s">
        <v>50</v>
      </c>
      <c r="N489" t="s">
        <v>5</v>
      </c>
      <c r="O489" t="b">
        <v>0</v>
      </c>
      <c r="P489">
        <v>1</v>
      </c>
      <c r="Q489" t="s">
        <v>169</v>
      </c>
      <c r="R489" t="s">
        <v>170</v>
      </c>
      <c r="S489" t="s">
        <v>5</v>
      </c>
      <c r="T489" t="s">
        <v>446</v>
      </c>
      <c r="U489" t="s">
        <v>106</v>
      </c>
      <c r="V489" t="s">
        <v>172</v>
      </c>
      <c r="W489">
        <v>1</v>
      </c>
      <c r="X489" t="s">
        <v>31</v>
      </c>
      <c r="Z489" t="s">
        <v>5</v>
      </c>
      <c r="AA489" t="s">
        <v>5</v>
      </c>
      <c r="AC489" t="s">
        <v>1053</v>
      </c>
      <c r="AD489">
        <v>431</v>
      </c>
    </row>
    <row r="490" spans="1:30" x14ac:dyDescent="0.3">
      <c r="A490">
        <v>16134752</v>
      </c>
      <c r="B490" s="3">
        <v>45678</v>
      </c>
      <c r="C490">
        <v>2025</v>
      </c>
      <c r="D490">
        <v>1</v>
      </c>
      <c r="E490" t="s">
        <v>1579</v>
      </c>
      <c r="F490" t="s">
        <v>0</v>
      </c>
      <c r="G490" t="s">
        <v>50</v>
      </c>
      <c r="H490" t="b">
        <v>1</v>
      </c>
      <c r="I490" t="b">
        <v>0</v>
      </c>
      <c r="J490" t="b">
        <v>0</v>
      </c>
      <c r="K490" t="b">
        <v>0</v>
      </c>
      <c r="L490" t="s">
        <v>50</v>
      </c>
      <c r="M490" t="s">
        <v>50</v>
      </c>
      <c r="N490" t="s">
        <v>5</v>
      </c>
      <c r="O490" t="b">
        <v>0</v>
      </c>
      <c r="P490">
        <v>1</v>
      </c>
      <c r="Q490" t="s">
        <v>169</v>
      </c>
      <c r="R490" t="s">
        <v>170</v>
      </c>
      <c r="S490" t="s">
        <v>5</v>
      </c>
      <c r="T490" t="s">
        <v>446</v>
      </c>
      <c r="U490" t="s">
        <v>106</v>
      </c>
      <c r="V490" t="s">
        <v>172</v>
      </c>
      <c r="W490">
        <v>1</v>
      </c>
      <c r="X490" t="s">
        <v>31</v>
      </c>
      <c r="Z490" t="s">
        <v>5</v>
      </c>
      <c r="AA490" t="s">
        <v>5</v>
      </c>
      <c r="AC490" t="s">
        <v>1053</v>
      </c>
      <c r="AD490">
        <v>431</v>
      </c>
    </row>
    <row r="491" spans="1:30" x14ac:dyDescent="0.3">
      <c r="A491">
        <v>16137058</v>
      </c>
      <c r="B491" s="3">
        <v>45678</v>
      </c>
      <c r="C491">
        <v>2025</v>
      </c>
      <c r="D491">
        <v>1</v>
      </c>
      <c r="E491" t="s">
        <v>1579</v>
      </c>
      <c r="F491" t="s">
        <v>0</v>
      </c>
      <c r="G491" t="s">
        <v>50</v>
      </c>
      <c r="H491" t="b">
        <v>1</v>
      </c>
      <c r="I491" t="b">
        <v>0</v>
      </c>
      <c r="J491" t="b">
        <v>0</v>
      </c>
      <c r="K491" t="b">
        <v>0</v>
      </c>
      <c r="L491" t="s">
        <v>50</v>
      </c>
      <c r="M491" t="s">
        <v>50</v>
      </c>
      <c r="N491" t="s">
        <v>5</v>
      </c>
      <c r="O491" t="b">
        <v>0</v>
      </c>
      <c r="P491">
        <v>1</v>
      </c>
      <c r="Q491" t="s">
        <v>169</v>
      </c>
      <c r="R491" t="s">
        <v>170</v>
      </c>
      <c r="S491" t="s">
        <v>5</v>
      </c>
      <c r="T491" t="s">
        <v>446</v>
      </c>
      <c r="U491" t="s">
        <v>106</v>
      </c>
      <c r="V491" t="s">
        <v>172</v>
      </c>
      <c r="W491">
        <v>1</v>
      </c>
      <c r="X491" t="s">
        <v>31</v>
      </c>
      <c r="Z491" t="s">
        <v>5</v>
      </c>
      <c r="AA491" t="s">
        <v>5</v>
      </c>
      <c r="AC491" t="s">
        <v>1053</v>
      </c>
      <c r="AD491">
        <v>431</v>
      </c>
    </row>
    <row r="492" spans="1:30" x14ac:dyDescent="0.3">
      <c r="A492">
        <v>16139043</v>
      </c>
      <c r="B492" s="3">
        <v>45677</v>
      </c>
      <c r="C492">
        <v>2025</v>
      </c>
      <c r="D492">
        <v>1</v>
      </c>
      <c r="E492" t="s">
        <v>1579</v>
      </c>
      <c r="F492" t="s">
        <v>0</v>
      </c>
      <c r="G492" t="s">
        <v>1</v>
      </c>
      <c r="H492" t="b">
        <v>0</v>
      </c>
      <c r="I492" t="b">
        <v>1</v>
      </c>
      <c r="J492" t="b">
        <v>0</v>
      </c>
      <c r="K492" t="b">
        <v>0</v>
      </c>
      <c r="L492" t="s">
        <v>1983</v>
      </c>
      <c r="M492" t="s">
        <v>416</v>
      </c>
      <c r="N492" t="s">
        <v>118</v>
      </c>
      <c r="O492" t="b">
        <v>0</v>
      </c>
      <c r="P492">
        <v>19</v>
      </c>
      <c r="Q492" t="s">
        <v>537</v>
      </c>
      <c r="R492" t="s">
        <v>538</v>
      </c>
      <c r="S492">
        <v>42</v>
      </c>
      <c r="T492" t="s">
        <v>566</v>
      </c>
      <c r="U492" t="s">
        <v>539</v>
      </c>
      <c r="V492" t="s">
        <v>540</v>
      </c>
      <c r="W492">
        <v>14</v>
      </c>
      <c r="X492" t="s">
        <v>6</v>
      </c>
      <c r="Y492">
        <v>76</v>
      </c>
      <c r="Z492" t="s">
        <v>67</v>
      </c>
      <c r="AA492" t="s">
        <v>15</v>
      </c>
      <c r="AB492">
        <v>77</v>
      </c>
      <c r="AC492" t="s">
        <v>359</v>
      </c>
      <c r="AD492">
        <v>432</v>
      </c>
    </row>
    <row r="493" spans="1:30" x14ac:dyDescent="0.3">
      <c r="A493">
        <v>16152651</v>
      </c>
      <c r="B493" s="3">
        <v>45677</v>
      </c>
      <c r="C493">
        <v>2025</v>
      </c>
      <c r="D493">
        <v>1</v>
      </c>
      <c r="E493" t="s">
        <v>1579</v>
      </c>
      <c r="F493" t="s">
        <v>125</v>
      </c>
      <c r="G493" t="s">
        <v>10</v>
      </c>
      <c r="H493" t="b">
        <v>0</v>
      </c>
      <c r="I493" t="b">
        <v>0</v>
      </c>
      <c r="J493" t="b">
        <v>0</v>
      </c>
      <c r="K493" t="b">
        <v>0</v>
      </c>
      <c r="L493" t="s">
        <v>1984</v>
      </c>
      <c r="M493" t="s">
        <v>1143</v>
      </c>
      <c r="N493" t="s">
        <v>5</v>
      </c>
      <c r="O493" t="b">
        <v>0</v>
      </c>
      <c r="P493">
        <v>4</v>
      </c>
      <c r="Q493" t="s">
        <v>455</v>
      </c>
      <c r="R493" t="s">
        <v>456</v>
      </c>
      <c r="S493">
        <v>58</v>
      </c>
      <c r="T493" t="s">
        <v>457</v>
      </c>
      <c r="U493" t="s">
        <v>23</v>
      </c>
      <c r="V493" t="s">
        <v>458</v>
      </c>
      <c r="W493">
        <v>2</v>
      </c>
      <c r="X493" t="s">
        <v>14</v>
      </c>
      <c r="Y493">
        <v>18</v>
      </c>
      <c r="Z493" t="s">
        <v>19</v>
      </c>
      <c r="AA493" t="s">
        <v>8</v>
      </c>
      <c r="AC493" t="s">
        <v>32</v>
      </c>
      <c r="AD493">
        <v>432</v>
      </c>
    </row>
    <row r="494" spans="1:30" x14ac:dyDescent="0.3">
      <c r="A494">
        <v>16156946</v>
      </c>
      <c r="B494" s="3">
        <v>45671</v>
      </c>
      <c r="C494">
        <v>2025</v>
      </c>
      <c r="D494">
        <v>1</v>
      </c>
      <c r="E494" t="s">
        <v>1579</v>
      </c>
      <c r="F494" t="s">
        <v>0</v>
      </c>
      <c r="G494" t="s">
        <v>10</v>
      </c>
      <c r="H494" t="b">
        <v>0</v>
      </c>
      <c r="I494" t="b">
        <v>0</v>
      </c>
      <c r="J494" t="b">
        <v>0</v>
      </c>
      <c r="K494" t="b">
        <v>0</v>
      </c>
      <c r="L494" t="s">
        <v>1985</v>
      </c>
      <c r="M494" t="s">
        <v>1523</v>
      </c>
      <c r="N494" t="s">
        <v>70</v>
      </c>
      <c r="O494" t="b">
        <v>0</v>
      </c>
      <c r="P494">
        <v>26</v>
      </c>
      <c r="Q494" t="s">
        <v>367</v>
      </c>
      <c r="R494" t="s">
        <v>368</v>
      </c>
      <c r="S494">
        <v>42</v>
      </c>
      <c r="T494" t="s">
        <v>60</v>
      </c>
      <c r="U494" t="s">
        <v>81</v>
      </c>
      <c r="V494" t="s">
        <v>82</v>
      </c>
      <c r="W494">
        <v>4</v>
      </c>
      <c r="X494" t="s">
        <v>40</v>
      </c>
      <c r="Y494">
        <v>44</v>
      </c>
      <c r="Z494" t="s">
        <v>7</v>
      </c>
      <c r="AA494" t="s">
        <v>8</v>
      </c>
      <c r="AC494" t="s">
        <v>101</v>
      </c>
      <c r="AD494">
        <v>438</v>
      </c>
    </row>
    <row r="495" spans="1:30" x14ac:dyDescent="0.3">
      <c r="A495">
        <v>16169706</v>
      </c>
      <c r="B495" s="3">
        <v>45679</v>
      </c>
      <c r="C495">
        <v>2025</v>
      </c>
      <c r="D495">
        <v>1</v>
      </c>
      <c r="E495" t="s">
        <v>1579</v>
      </c>
      <c r="F495" t="s">
        <v>0</v>
      </c>
      <c r="G495" t="s">
        <v>10</v>
      </c>
      <c r="H495" t="b">
        <v>0</v>
      </c>
      <c r="I495" t="b">
        <v>0</v>
      </c>
      <c r="J495" t="b">
        <v>0</v>
      </c>
      <c r="K495" t="b">
        <v>0</v>
      </c>
      <c r="L495" t="s">
        <v>1549</v>
      </c>
      <c r="M495" t="s">
        <v>1281</v>
      </c>
      <c r="N495" t="s">
        <v>63</v>
      </c>
      <c r="O495" t="b">
        <v>0</v>
      </c>
      <c r="P495">
        <v>3</v>
      </c>
      <c r="Q495" t="s">
        <v>1242</v>
      </c>
      <c r="R495" t="s">
        <v>1243</v>
      </c>
      <c r="S495">
        <v>48</v>
      </c>
      <c r="T495" t="s">
        <v>83</v>
      </c>
      <c r="U495" t="s">
        <v>1244</v>
      </c>
      <c r="V495" t="s">
        <v>5</v>
      </c>
      <c r="W495">
        <v>4</v>
      </c>
      <c r="X495" t="s">
        <v>40</v>
      </c>
      <c r="Y495">
        <v>36</v>
      </c>
      <c r="Z495" t="s">
        <v>61</v>
      </c>
      <c r="AA495" t="s">
        <v>8</v>
      </c>
      <c r="AC495" t="s">
        <v>199</v>
      </c>
      <c r="AD495">
        <v>430</v>
      </c>
    </row>
    <row r="496" spans="1:30" x14ac:dyDescent="0.3">
      <c r="A496">
        <v>16175083</v>
      </c>
      <c r="B496" s="3">
        <v>45685</v>
      </c>
      <c r="C496">
        <v>2025</v>
      </c>
      <c r="D496">
        <v>1</v>
      </c>
      <c r="E496" t="s">
        <v>1579</v>
      </c>
      <c r="F496" t="s">
        <v>0</v>
      </c>
      <c r="G496" t="s">
        <v>1</v>
      </c>
      <c r="H496" t="b">
        <v>0</v>
      </c>
      <c r="I496" t="b">
        <v>1</v>
      </c>
      <c r="J496" t="b">
        <v>0</v>
      </c>
      <c r="K496" t="b">
        <v>0</v>
      </c>
      <c r="L496" t="s">
        <v>1986</v>
      </c>
      <c r="M496" t="s">
        <v>777</v>
      </c>
      <c r="N496" t="s">
        <v>63</v>
      </c>
      <c r="O496" t="b">
        <v>0</v>
      </c>
      <c r="P496">
        <v>12</v>
      </c>
      <c r="Q496" t="s">
        <v>187</v>
      </c>
      <c r="R496" t="s">
        <v>5</v>
      </c>
      <c r="S496" t="s">
        <v>5</v>
      </c>
      <c r="T496" t="s">
        <v>335</v>
      </c>
      <c r="U496" t="s">
        <v>5</v>
      </c>
      <c r="V496" t="s">
        <v>5</v>
      </c>
      <c r="W496">
        <v>18</v>
      </c>
      <c r="X496" t="s">
        <v>6</v>
      </c>
      <c r="Y496">
        <v>55</v>
      </c>
      <c r="Z496" t="s">
        <v>7</v>
      </c>
      <c r="AA496" t="s">
        <v>15</v>
      </c>
      <c r="AB496">
        <v>132</v>
      </c>
      <c r="AC496" t="s">
        <v>32</v>
      </c>
      <c r="AD496">
        <v>424</v>
      </c>
    </row>
    <row r="497" spans="1:30" x14ac:dyDescent="0.3">
      <c r="A497">
        <v>16183172</v>
      </c>
      <c r="B497" s="3">
        <v>45670</v>
      </c>
      <c r="C497">
        <v>2025</v>
      </c>
      <c r="D497">
        <v>1</v>
      </c>
      <c r="E497" t="s">
        <v>1579</v>
      </c>
      <c r="F497" t="s">
        <v>0</v>
      </c>
      <c r="G497" t="s">
        <v>10</v>
      </c>
      <c r="H497" t="b">
        <v>0</v>
      </c>
      <c r="I497" t="b">
        <v>0</v>
      </c>
      <c r="J497" t="b">
        <v>0</v>
      </c>
      <c r="K497" t="b">
        <v>0</v>
      </c>
      <c r="L497" t="s">
        <v>1987</v>
      </c>
      <c r="M497" t="s">
        <v>1482</v>
      </c>
      <c r="N497" t="s">
        <v>12</v>
      </c>
      <c r="O497" t="b">
        <v>1</v>
      </c>
      <c r="P497">
        <v>4</v>
      </c>
      <c r="Q497" t="s">
        <v>499</v>
      </c>
      <c r="R497" t="s">
        <v>559</v>
      </c>
      <c r="S497" t="s">
        <v>5</v>
      </c>
      <c r="T497" t="s">
        <v>594</v>
      </c>
      <c r="U497" t="s">
        <v>560</v>
      </c>
      <c r="V497" t="s">
        <v>130</v>
      </c>
      <c r="W497">
        <v>4</v>
      </c>
      <c r="X497" t="s">
        <v>40</v>
      </c>
      <c r="Z497" t="s">
        <v>5</v>
      </c>
      <c r="AA497" t="s">
        <v>5</v>
      </c>
      <c r="AC497" t="s">
        <v>116</v>
      </c>
      <c r="AD497">
        <v>439</v>
      </c>
    </row>
    <row r="498" spans="1:30" x14ac:dyDescent="0.3">
      <c r="A498">
        <v>16184982</v>
      </c>
      <c r="B498" s="3">
        <v>45685</v>
      </c>
      <c r="C498">
        <v>2025</v>
      </c>
      <c r="D498">
        <v>1</v>
      </c>
      <c r="E498" t="s">
        <v>1579</v>
      </c>
      <c r="F498" t="s">
        <v>125</v>
      </c>
      <c r="G498" t="s">
        <v>10</v>
      </c>
      <c r="H498" t="b">
        <v>0</v>
      </c>
      <c r="I498" t="b">
        <v>0</v>
      </c>
      <c r="J498" t="b">
        <v>0</v>
      </c>
      <c r="K498" t="b">
        <v>0</v>
      </c>
      <c r="L498" t="s">
        <v>1988</v>
      </c>
      <c r="M498" t="s">
        <v>361</v>
      </c>
      <c r="N498" t="s">
        <v>5</v>
      </c>
      <c r="O498" t="b">
        <v>0</v>
      </c>
      <c r="P498">
        <v>2</v>
      </c>
      <c r="Q498" t="s">
        <v>333</v>
      </c>
      <c r="R498" t="s">
        <v>334</v>
      </c>
      <c r="S498">
        <v>48</v>
      </c>
      <c r="T498" t="s">
        <v>1495</v>
      </c>
      <c r="U498" t="s">
        <v>210</v>
      </c>
      <c r="V498" t="s">
        <v>5</v>
      </c>
      <c r="W498">
        <v>6</v>
      </c>
      <c r="X498" t="s">
        <v>6</v>
      </c>
      <c r="Y498">
        <v>67</v>
      </c>
      <c r="Z498" t="s">
        <v>67</v>
      </c>
      <c r="AA498" t="s">
        <v>15</v>
      </c>
      <c r="AC498" t="s">
        <v>32</v>
      </c>
      <c r="AD498">
        <v>424</v>
      </c>
    </row>
    <row r="499" spans="1:30" x14ac:dyDescent="0.3">
      <c r="A499">
        <v>16217447</v>
      </c>
      <c r="B499" s="3">
        <v>45665</v>
      </c>
      <c r="C499">
        <v>2025</v>
      </c>
      <c r="D499">
        <v>1</v>
      </c>
      <c r="E499" t="s">
        <v>1579</v>
      </c>
      <c r="F499" t="s">
        <v>125</v>
      </c>
      <c r="G499" t="s">
        <v>10</v>
      </c>
      <c r="H499" t="b">
        <v>0</v>
      </c>
      <c r="I499" t="b">
        <v>0</v>
      </c>
      <c r="J499" t="b">
        <v>0</v>
      </c>
      <c r="K499" t="b">
        <v>0</v>
      </c>
      <c r="L499" t="s">
        <v>1989</v>
      </c>
      <c r="M499" t="s">
        <v>159</v>
      </c>
      <c r="N499" t="s">
        <v>5</v>
      </c>
      <c r="O499" t="b">
        <v>0</v>
      </c>
      <c r="P499">
        <v>9</v>
      </c>
      <c r="Q499" t="s">
        <v>245</v>
      </c>
      <c r="R499" t="s">
        <v>246</v>
      </c>
      <c r="S499">
        <v>48</v>
      </c>
      <c r="T499" t="s">
        <v>426</v>
      </c>
      <c r="U499" t="s">
        <v>210</v>
      </c>
      <c r="V499" t="s">
        <v>248</v>
      </c>
      <c r="W499">
        <v>3</v>
      </c>
      <c r="X499" t="s">
        <v>14</v>
      </c>
      <c r="Y499">
        <v>72</v>
      </c>
      <c r="Z499" t="s">
        <v>67</v>
      </c>
      <c r="AA499" t="s">
        <v>8</v>
      </c>
      <c r="AC499" t="s">
        <v>32</v>
      </c>
      <c r="AD499">
        <v>444</v>
      </c>
    </row>
    <row r="500" spans="1:30" x14ac:dyDescent="0.3">
      <c r="A500">
        <v>16222884</v>
      </c>
      <c r="B500" s="3">
        <v>45666</v>
      </c>
      <c r="C500">
        <v>2025</v>
      </c>
      <c r="D500">
        <v>1</v>
      </c>
      <c r="E500" t="s">
        <v>1579</v>
      </c>
      <c r="F500" t="s">
        <v>125</v>
      </c>
      <c r="G500" t="s">
        <v>10</v>
      </c>
      <c r="H500" t="b">
        <v>0</v>
      </c>
      <c r="I500" t="b">
        <v>0</v>
      </c>
      <c r="J500" t="b">
        <v>0</v>
      </c>
      <c r="K500" t="b">
        <v>0</v>
      </c>
      <c r="L500" t="s">
        <v>972</v>
      </c>
      <c r="M500" t="s">
        <v>972</v>
      </c>
      <c r="N500" t="s">
        <v>5</v>
      </c>
      <c r="O500" t="b">
        <v>0</v>
      </c>
      <c r="P500">
        <v>1</v>
      </c>
      <c r="Q500" t="s">
        <v>333</v>
      </c>
      <c r="R500" t="s">
        <v>334</v>
      </c>
      <c r="S500" t="s">
        <v>5</v>
      </c>
      <c r="T500" t="s">
        <v>335</v>
      </c>
      <c r="U500" t="s">
        <v>210</v>
      </c>
      <c r="V500" t="s">
        <v>5</v>
      </c>
      <c r="W500">
        <v>4</v>
      </c>
      <c r="X500" t="s">
        <v>40</v>
      </c>
      <c r="Y500">
        <v>61</v>
      </c>
      <c r="Z500" t="s">
        <v>7</v>
      </c>
      <c r="AA500" t="s">
        <v>8</v>
      </c>
      <c r="AC500" t="s">
        <v>32</v>
      </c>
      <c r="AD500">
        <v>443</v>
      </c>
    </row>
    <row r="501" spans="1:30" x14ac:dyDescent="0.3">
      <c r="A501">
        <v>16240261</v>
      </c>
      <c r="B501" s="3">
        <v>45659</v>
      </c>
      <c r="C501">
        <v>2025</v>
      </c>
      <c r="D501">
        <v>1</v>
      </c>
      <c r="E501" t="s">
        <v>1579</v>
      </c>
      <c r="F501" t="s">
        <v>0</v>
      </c>
      <c r="G501" t="s">
        <v>10</v>
      </c>
      <c r="H501" t="b">
        <v>0</v>
      </c>
      <c r="I501" t="b">
        <v>0</v>
      </c>
      <c r="J501" t="b">
        <v>0</v>
      </c>
      <c r="K501" t="b">
        <v>0</v>
      </c>
      <c r="L501" t="s">
        <v>1990</v>
      </c>
      <c r="M501" t="s">
        <v>551</v>
      </c>
      <c r="N501" t="s">
        <v>5</v>
      </c>
      <c r="O501" t="b">
        <v>0</v>
      </c>
      <c r="P501">
        <v>2</v>
      </c>
      <c r="Q501" t="s">
        <v>169</v>
      </c>
      <c r="R501" t="s">
        <v>170</v>
      </c>
      <c r="S501" t="s">
        <v>5</v>
      </c>
      <c r="T501" t="s">
        <v>1339</v>
      </c>
      <c r="U501" t="s">
        <v>106</v>
      </c>
      <c r="V501" t="s">
        <v>172</v>
      </c>
      <c r="W501">
        <v>1</v>
      </c>
      <c r="X501" t="s">
        <v>31</v>
      </c>
      <c r="Z501" t="s">
        <v>5</v>
      </c>
      <c r="AA501" t="s">
        <v>5</v>
      </c>
      <c r="AC501" t="s">
        <v>25</v>
      </c>
      <c r="AD501">
        <v>450</v>
      </c>
    </row>
    <row r="502" spans="1:30" x14ac:dyDescent="0.3">
      <c r="A502">
        <v>16241174</v>
      </c>
      <c r="B502" s="3">
        <v>45674</v>
      </c>
      <c r="C502">
        <v>2025</v>
      </c>
      <c r="D502">
        <v>1</v>
      </c>
      <c r="E502" t="s">
        <v>1579</v>
      </c>
      <c r="F502" t="s">
        <v>0</v>
      </c>
      <c r="G502" t="s">
        <v>151</v>
      </c>
      <c r="H502" t="b">
        <v>0</v>
      </c>
      <c r="I502" t="b">
        <v>1</v>
      </c>
      <c r="J502" t="b">
        <v>0</v>
      </c>
      <c r="K502" t="b">
        <v>1</v>
      </c>
      <c r="L502" t="s">
        <v>1991</v>
      </c>
      <c r="M502" t="s">
        <v>610</v>
      </c>
      <c r="N502" t="s">
        <v>12</v>
      </c>
      <c r="O502" t="b">
        <v>1</v>
      </c>
      <c r="P502">
        <v>2</v>
      </c>
      <c r="Q502" t="s">
        <v>181</v>
      </c>
      <c r="R502" t="s">
        <v>182</v>
      </c>
      <c r="S502">
        <v>58</v>
      </c>
      <c r="T502" t="s">
        <v>291</v>
      </c>
      <c r="U502" t="s">
        <v>184</v>
      </c>
      <c r="V502" t="s">
        <v>5</v>
      </c>
      <c r="W502">
        <v>21</v>
      </c>
      <c r="X502" t="s">
        <v>6</v>
      </c>
      <c r="Y502">
        <v>16</v>
      </c>
      <c r="Z502" t="s">
        <v>19</v>
      </c>
      <c r="AA502" t="s">
        <v>8</v>
      </c>
      <c r="AB502">
        <v>55</v>
      </c>
      <c r="AC502" t="s">
        <v>32</v>
      </c>
      <c r="AD502">
        <v>435</v>
      </c>
    </row>
    <row r="503" spans="1:30" x14ac:dyDescent="0.3">
      <c r="A503">
        <v>16250701</v>
      </c>
      <c r="B503" s="3">
        <v>45688</v>
      </c>
      <c r="C503">
        <v>2025</v>
      </c>
      <c r="D503">
        <v>1</v>
      </c>
      <c r="E503" t="s">
        <v>1579</v>
      </c>
      <c r="F503" t="s">
        <v>0</v>
      </c>
      <c r="G503" t="s">
        <v>384</v>
      </c>
      <c r="H503" t="b">
        <v>1</v>
      </c>
      <c r="I503" t="b">
        <v>1</v>
      </c>
      <c r="J503" t="b">
        <v>1</v>
      </c>
      <c r="K503" t="b">
        <v>0</v>
      </c>
      <c r="L503" t="s">
        <v>1992</v>
      </c>
      <c r="M503" t="s">
        <v>1263</v>
      </c>
      <c r="N503" t="s">
        <v>5</v>
      </c>
      <c r="O503" t="b">
        <v>0</v>
      </c>
      <c r="P503">
        <v>23</v>
      </c>
      <c r="Q503" t="s">
        <v>386</v>
      </c>
      <c r="R503" t="s">
        <v>387</v>
      </c>
      <c r="S503">
        <v>48</v>
      </c>
      <c r="T503" t="s">
        <v>649</v>
      </c>
      <c r="U503" t="s">
        <v>388</v>
      </c>
      <c r="V503" t="s">
        <v>111</v>
      </c>
      <c r="W503">
        <v>32</v>
      </c>
      <c r="X503" t="s">
        <v>6</v>
      </c>
      <c r="Y503">
        <v>60</v>
      </c>
      <c r="Z503" t="s">
        <v>7</v>
      </c>
      <c r="AA503" t="s">
        <v>15</v>
      </c>
      <c r="AC503" t="s">
        <v>9</v>
      </c>
      <c r="AD503">
        <v>421</v>
      </c>
    </row>
    <row r="504" spans="1:30" x14ac:dyDescent="0.3">
      <c r="A504">
        <v>16256117</v>
      </c>
      <c r="B504" s="3">
        <v>45660</v>
      </c>
      <c r="C504">
        <v>2025</v>
      </c>
      <c r="D504">
        <v>1</v>
      </c>
      <c r="E504" t="s">
        <v>1579</v>
      </c>
      <c r="F504" t="s">
        <v>0</v>
      </c>
      <c r="G504" t="s">
        <v>16</v>
      </c>
      <c r="H504" t="b">
        <v>0</v>
      </c>
      <c r="I504" t="b">
        <v>1</v>
      </c>
      <c r="J504" t="b">
        <v>1</v>
      </c>
      <c r="K504" t="b">
        <v>0</v>
      </c>
      <c r="L504" t="s">
        <v>1993</v>
      </c>
      <c r="M504" t="s">
        <v>234</v>
      </c>
      <c r="N504" t="s">
        <v>5</v>
      </c>
      <c r="O504" t="b">
        <v>0</v>
      </c>
      <c r="P504">
        <v>6</v>
      </c>
      <c r="Q504" t="s">
        <v>1198</v>
      </c>
      <c r="R504" t="s">
        <v>1199</v>
      </c>
      <c r="S504">
        <v>37</v>
      </c>
      <c r="T504" t="s">
        <v>1233</v>
      </c>
      <c r="U504" t="s">
        <v>1200</v>
      </c>
      <c r="V504" t="s">
        <v>1201</v>
      </c>
      <c r="W504">
        <v>2</v>
      </c>
      <c r="X504" t="s">
        <v>14</v>
      </c>
      <c r="Y504">
        <v>68</v>
      </c>
      <c r="Z504" t="s">
        <v>67</v>
      </c>
      <c r="AA504" t="s">
        <v>8</v>
      </c>
      <c r="AC504" t="s">
        <v>32</v>
      </c>
      <c r="AD504">
        <v>449</v>
      </c>
    </row>
    <row r="505" spans="1:30" x14ac:dyDescent="0.3">
      <c r="A505">
        <v>16257597</v>
      </c>
      <c r="B505" s="3">
        <v>45673</v>
      </c>
      <c r="C505">
        <v>2025</v>
      </c>
      <c r="D505">
        <v>1</v>
      </c>
      <c r="E505" t="s">
        <v>1579</v>
      </c>
      <c r="F505" t="s">
        <v>0</v>
      </c>
      <c r="G505" t="s">
        <v>1</v>
      </c>
      <c r="H505" t="b">
        <v>0</v>
      </c>
      <c r="I505" t="b">
        <v>1</v>
      </c>
      <c r="J505" t="b">
        <v>0</v>
      </c>
      <c r="K505" t="b">
        <v>0</v>
      </c>
      <c r="L505" t="s">
        <v>1994</v>
      </c>
      <c r="M505" t="s">
        <v>1275</v>
      </c>
      <c r="N505" t="s">
        <v>57</v>
      </c>
      <c r="O505" t="b">
        <v>1</v>
      </c>
      <c r="P505">
        <v>11</v>
      </c>
      <c r="Q505" t="s">
        <v>818</v>
      </c>
      <c r="R505" t="s">
        <v>818</v>
      </c>
      <c r="S505" t="s">
        <v>5</v>
      </c>
      <c r="T505" t="s">
        <v>1181</v>
      </c>
      <c r="U505" t="s">
        <v>819</v>
      </c>
      <c r="V505" t="s">
        <v>489</v>
      </c>
      <c r="W505">
        <v>9</v>
      </c>
      <c r="X505" t="s">
        <v>6</v>
      </c>
      <c r="Z505" t="s">
        <v>5</v>
      </c>
      <c r="AA505" t="s">
        <v>15</v>
      </c>
      <c r="AC505" t="s">
        <v>558</v>
      </c>
      <c r="AD505">
        <v>436</v>
      </c>
    </row>
    <row r="506" spans="1:30" x14ac:dyDescent="0.3">
      <c r="A506">
        <v>16262599</v>
      </c>
      <c r="B506" s="3">
        <v>45667</v>
      </c>
      <c r="C506">
        <v>2025</v>
      </c>
      <c r="D506">
        <v>1</v>
      </c>
      <c r="E506" t="s">
        <v>1579</v>
      </c>
      <c r="F506" t="s">
        <v>0</v>
      </c>
      <c r="G506" t="s">
        <v>1</v>
      </c>
      <c r="H506" t="b">
        <v>0</v>
      </c>
      <c r="I506" t="b">
        <v>1</v>
      </c>
      <c r="J506" t="b">
        <v>0</v>
      </c>
      <c r="K506" t="b">
        <v>0</v>
      </c>
      <c r="L506" t="s">
        <v>1995</v>
      </c>
      <c r="M506" t="s">
        <v>180</v>
      </c>
      <c r="N506" t="s">
        <v>5</v>
      </c>
      <c r="O506" t="b">
        <v>0</v>
      </c>
      <c r="P506">
        <v>2</v>
      </c>
      <c r="Q506" t="s">
        <v>289</v>
      </c>
      <c r="R506" t="s">
        <v>290</v>
      </c>
      <c r="S506" t="s">
        <v>5</v>
      </c>
      <c r="T506" t="s">
        <v>183</v>
      </c>
      <c r="U506" t="s">
        <v>271</v>
      </c>
      <c r="V506" t="s">
        <v>292</v>
      </c>
      <c r="W506">
        <v>8</v>
      </c>
      <c r="X506" t="s">
        <v>6</v>
      </c>
      <c r="Y506">
        <v>44</v>
      </c>
      <c r="Z506" t="s">
        <v>7</v>
      </c>
      <c r="AA506" t="s">
        <v>8</v>
      </c>
      <c r="AC506" t="s">
        <v>9</v>
      </c>
      <c r="AD506">
        <v>442</v>
      </c>
    </row>
    <row r="507" spans="1:30" x14ac:dyDescent="0.3">
      <c r="A507">
        <v>16277363</v>
      </c>
      <c r="B507" s="3">
        <v>45685</v>
      </c>
      <c r="C507">
        <v>2025</v>
      </c>
      <c r="D507">
        <v>1</v>
      </c>
      <c r="E507" t="s">
        <v>1579</v>
      </c>
      <c r="F507" t="s">
        <v>0</v>
      </c>
      <c r="G507" t="s">
        <v>16</v>
      </c>
      <c r="H507" t="b">
        <v>0</v>
      </c>
      <c r="I507" t="b">
        <v>1</v>
      </c>
      <c r="J507" t="b">
        <v>1</v>
      </c>
      <c r="K507" t="b">
        <v>0</v>
      </c>
      <c r="L507" t="s">
        <v>1996</v>
      </c>
      <c r="M507" t="s">
        <v>278</v>
      </c>
      <c r="N507" t="s">
        <v>17</v>
      </c>
      <c r="O507" t="b">
        <v>0</v>
      </c>
      <c r="P507">
        <v>7</v>
      </c>
      <c r="Q507" t="s">
        <v>226</v>
      </c>
      <c r="R507" t="s">
        <v>227</v>
      </c>
      <c r="S507" t="s">
        <v>5</v>
      </c>
      <c r="T507" t="s">
        <v>213</v>
      </c>
      <c r="U507" t="s">
        <v>228</v>
      </c>
      <c r="V507" t="s">
        <v>5</v>
      </c>
      <c r="W507">
        <v>5</v>
      </c>
      <c r="X507" t="s">
        <v>40</v>
      </c>
      <c r="Y507">
        <v>4</v>
      </c>
      <c r="Z507" t="s">
        <v>46</v>
      </c>
      <c r="AA507" t="s">
        <v>15</v>
      </c>
      <c r="AC507" t="s">
        <v>32</v>
      </c>
      <c r="AD507">
        <v>424</v>
      </c>
    </row>
    <row r="508" spans="1:30" x14ac:dyDescent="0.3">
      <c r="A508">
        <v>16277580</v>
      </c>
      <c r="B508" s="3">
        <v>45685</v>
      </c>
      <c r="C508">
        <v>2025</v>
      </c>
      <c r="D508">
        <v>1</v>
      </c>
      <c r="E508" t="s">
        <v>1579</v>
      </c>
      <c r="F508" t="s">
        <v>0</v>
      </c>
      <c r="G508" t="s">
        <v>16</v>
      </c>
      <c r="H508" t="b">
        <v>0</v>
      </c>
      <c r="I508" t="b">
        <v>1</v>
      </c>
      <c r="J508" t="b">
        <v>1</v>
      </c>
      <c r="K508" t="b">
        <v>0</v>
      </c>
      <c r="L508" t="s">
        <v>1997</v>
      </c>
      <c r="M508" t="s">
        <v>613</v>
      </c>
      <c r="N508" t="s">
        <v>17</v>
      </c>
      <c r="O508" t="b">
        <v>0</v>
      </c>
      <c r="P508">
        <v>9</v>
      </c>
      <c r="Q508" t="s">
        <v>226</v>
      </c>
      <c r="R508" t="s">
        <v>227</v>
      </c>
      <c r="S508" t="s">
        <v>5</v>
      </c>
      <c r="T508" t="s">
        <v>213</v>
      </c>
      <c r="U508" t="s">
        <v>228</v>
      </c>
      <c r="V508" t="s">
        <v>5</v>
      </c>
      <c r="W508">
        <v>5</v>
      </c>
      <c r="X508" t="s">
        <v>40</v>
      </c>
      <c r="Y508">
        <v>17</v>
      </c>
      <c r="Z508" t="s">
        <v>19</v>
      </c>
      <c r="AA508" t="s">
        <v>15</v>
      </c>
      <c r="AC508" t="s">
        <v>32</v>
      </c>
      <c r="AD508">
        <v>424</v>
      </c>
    </row>
    <row r="509" spans="1:30" x14ac:dyDescent="0.3">
      <c r="A509">
        <v>16277920</v>
      </c>
      <c r="B509" s="3">
        <v>45681</v>
      </c>
      <c r="C509">
        <v>2025</v>
      </c>
      <c r="D509">
        <v>1</v>
      </c>
      <c r="E509" t="s">
        <v>1579</v>
      </c>
      <c r="F509" t="s">
        <v>0</v>
      </c>
      <c r="G509" t="s">
        <v>16</v>
      </c>
      <c r="H509" t="b">
        <v>0</v>
      </c>
      <c r="I509" t="b">
        <v>1</v>
      </c>
      <c r="J509" t="b">
        <v>1</v>
      </c>
      <c r="K509" t="b">
        <v>0</v>
      </c>
      <c r="L509" t="s">
        <v>1998</v>
      </c>
      <c r="M509" t="s">
        <v>278</v>
      </c>
      <c r="N509" t="s">
        <v>17</v>
      </c>
      <c r="O509" t="b">
        <v>0</v>
      </c>
      <c r="P509">
        <v>7</v>
      </c>
      <c r="Q509" t="s">
        <v>226</v>
      </c>
      <c r="R509" t="s">
        <v>227</v>
      </c>
      <c r="S509" t="s">
        <v>5</v>
      </c>
      <c r="T509" t="s">
        <v>213</v>
      </c>
      <c r="U509" t="s">
        <v>228</v>
      </c>
      <c r="V509" t="s">
        <v>5</v>
      </c>
      <c r="W509">
        <v>3</v>
      </c>
      <c r="X509" t="s">
        <v>14</v>
      </c>
      <c r="Y509">
        <v>7</v>
      </c>
      <c r="Z509" t="s">
        <v>46</v>
      </c>
      <c r="AA509" t="s">
        <v>15</v>
      </c>
      <c r="AC509" t="s">
        <v>32</v>
      </c>
      <c r="AD509">
        <v>428</v>
      </c>
    </row>
    <row r="510" spans="1:30" x14ac:dyDescent="0.3">
      <c r="A510">
        <v>16280584</v>
      </c>
      <c r="B510" s="3">
        <v>45681</v>
      </c>
      <c r="C510">
        <v>2025</v>
      </c>
      <c r="D510">
        <v>1</v>
      </c>
      <c r="E510" t="s">
        <v>1579</v>
      </c>
      <c r="F510" t="s">
        <v>0</v>
      </c>
      <c r="G510" t="s">
        <v>50</v>
      </c>
      <c r="H510" t="b">
        <v>1</v>
      </c>
      <c r="I510" t="b">
        <v>0</v>
      </c>
      <c r="J510" t="b">
        <v>0</v>
      </c>
      <c r="K510" t="b">
        <v>0</v>
      </c>
      <c r="L510" t="s">
        <v>1999</v>
      </c>
      <c r="M510" t="s">
        <v>50</v>
      </c>
      <c r="N510" t="s">
        <v>5</v>
      </c>
      <c r="O510" t="b">
        <v>0</v>
      </c>
      <c r="P510">
        <v>3</v>
      </c>
      <c r="Q510" t="s">
        <v>169</v>
      </c>
      <c r="R510" t="s">
        <v>170</v>
      </c>
      <c r="S510" t="s">
        <v>5</v>
      </c>
      <c r="T510" t="s">
        <v>921</v>
      </c>
      <c r="U510" t="s">
        <v>106</v>
      </c>
      <c r="V510" t="s">
        <v>172</v>
      </c>
      <c r="W510">
        <v>3</v>
      </c>
      <c r="X510" t="s">
        <v>14</v>
      </c>
      <c r="Z510" t="s">
        <v>5</v>
      </c>
      <c r="AA510" t="s">
        <v>5</v>
      </c>
      <c r="AC510" t="s">
        <v>101</v>
      </c>
      <c r="AD510">
        <v>428</v>
      </c>
    </row>
    <row r="511" spans="1:30" x14ac:dyDescent="0.3">
      <c r="A511">
        <v>16281364</v>
      </c>
      <c r="B511" s="3">
        <v>45678</v>
      </c>
      <c r="C511">
        <v>2025</v>
      </c>
      <c r="D511">
        <v>1</v>
      </c>
      <c r="E511" t="s">
        <v>1579</v>
      </c>
      <c r="F511" t="s">
        <v>0</v>
      </c>
      <c r="G511" t="s">
        <v>10</v>
      </c>
      <c r="H511" t="b">
        <v>0</v>
      </c>
      <c r="I511" t="b">
        <v>0</v>
      </c>
      <c r="J511" t="b">
        <v>0</v>
      </c>
      <c r="K511" t="b">
        <v>0</v>
      </c>
      <c r="L511" t="s">
        <v>1020</v>
      </c>
      <c r="M511" t="s">
        <v>1020</v>
      </c>
      <c r="N511" t="s">
        <v>5</v>
      </c>
      <c r="O511" t="b">
        <v>0</v>
      </c>
      <c r="P511">
        <v>1</v>
      </c>
      <c r="Q511" t="s">
        <v>169</v>
      </c>
      <c r="R511" t="s">
        <v>170</v>
      </c>
      <c r="S511" t="s">
        <v>5</v>
      </c>
      <c r="T511" t="s">
        <v>921</v>
      </c>
      <c r="U511" t="s">
        <v>106</v>
      </c>
      <c r="V511" t="s">
        <v>172</v>
      </c>
      <c r="W511">
        <v>3</v>
      </c>
      <c r="X511" t="s">
        <v>14</v>
      </c>
      <c r="Z511" t="s">
        <v>5</v>
      </c>
      <c r="AA511" t="s">
        <v>5</v>
      </c>
      <c r="AC511" t="s">
        <v>101</v>
      </c>
      <c r="AD511">
        <v>431</v>
      </c>
    </row>
    <row r="512" spans="1:30" x14ac:dyDescent="0.3">
      <c r="A512">
        <v>16281382</v>
      </c>
      <c r="B512" s="3">
        <v>45685</v>
      </c>
      <c r="C512">
        <v>2025</v>
      </c>
      <c r="D512">
        <v>1</v>
      </c>
      <c r="E512" t="s">
        <v>1579</v>
      </c>
      <c r="F512" t="s">
        <v>0</v>
      </c>
      <c r="G512" t="s">
        <v>16</v>
      </c>
      <c r="H512" t="b">
        <v>0</v>
      </c>
      <c r="I512" t="b">
        <v>1</v>
      </c>
      <c r="J512" t="b">
        <v>1</v>
      </c>
      <c r="K512" t="b">
        <v>0</v>
      </c>
      <c r="L512" t="s">
        <v>2000</v>
      </c>
      <c r="M512" t="s">
        <v>107</v>
      </c>
      <c r="N512" t="s">
        <v>17</v>
      </c>
      <c r="O512" t="b">
        <v>0</v>
      </c>
      <c r="P512">
        <v>6</v>
      </c>
      <c r="Q512" t="s">
        <v>226</v>
      </c>
      <c r="R512" t="s">
        <v>227</v>
      </c>
      <c r="S512" t="s">
        <v>5</v>
      </c>
      <c r="T512" t="s">
        <v>213</v>
      </c>
      <c r="U512" t="s">
        <v>228</v>
      </c>
      <c r="V512" t="s">
        <v>5</v>
      </c>
      <c r="W512">
        <v>3</v>
      </c>
      <c r="X512" t="s">
        <v>14</v>
      </c>
      <c r="Y512">
        <v>19</v>
      </c>
      <c r="Z512" t="s">
        <v>61</v>
      </c>
      <c r="AA512" t="s">
        <v>8</v>
      </c>
      <c r="AC512" t="s">
        <v>32</v>
      </c>
      <c r="AD512">
        <v>424</v>
      </c>
    </row>
    <row r="513" spans="1:30" x14ac:dyDescent="0.3">
      <c r="A513">
        <v>16289757</v>
      </c>
      <c r="B513" s="3">
        <v>45678</v>
      </c>
      <c r="C513">
        <v>2025</v>
      </c>
      <c r="D513">
        <v>1</v>
      </c>
      <c r="E513" t="s">
        <v>1579</v>
      </c>
      <c r="F513" t="s">
        <v>0</v>
      </c>
      <c r="G513" t="s">
        <v>10</v>
      </c>
      <c r="H513" t="b">
        <v>0</v>
      </c>
      <c r="I513" t="b">
        <v>0</v>
      </c>
      <c r="J513" t="b">
        <v>0</v>
      </c>
      <c r="K513" t="b">
        <v>0</v>
      </c>
      <c r="L513" t="s">
        <v>1534</v>
      </c>
      <c r="M513" t="s">
        <v>1534</v>
      </c>
      <c r="N513" t="s">
        <v>5</v>
      </c>
      <c r="O513" t="b">
        <v>0</v>
      </c>
      <c r="P513">
        <v>1</v>
      </c>
      <c r="Q513" t="s">
        <v>169</v>
      </c>
      <c r="R513" t="s">
        <v>170</v>
      </c>
      <c r="S513" t="s">
        <v>5</v>
      </c>
      <c r="T513" t="s">
        <v>921</v>
      </c>
      <c r="U513" t="s">
        <v>106</v>
      </c>
      <c r="V513" t="s">
        <v>172</v>
      </c>
      <c r="W513">
        <v>3</v>
      </c>
      <c r="X513" t="s">
        <v>14</v>
      </c>
      <c r="Z513" t="s">
        <v>5</v>
      </c>
      <c r="AA513" t="s">
        <v>5</v>
      </c>
      <c r="AC513" t="s">
        <v>101</v>
      </c>
      <c r="AD513">
        <v>431</v>
      </c>
    </row>
    <row r="514" spans="1:30" x14ac:dyDescent="0.3">
      <c r="A514">
        <v>16290816</v>
      </c>
      <c r="B514" s="3">
        <v>45673</v>
      </c>
      <c r="C514">
        <v>2025</v>
      </c>
      <c r="D514">
        <v>1</v>
      </c>
      <c r="E514" t="s">
        <v>1579</v>
      </c>
      <c r="F514" t="s">
        <v>125</v>
      </c>
      <c r="G514" t="s">
        <v>10</v>
      </c>
      <c r="H514" t="b">
        <v>0</v>
      </c>
      <c r="I514" t="b">
        <v>0</v>
      </c>
      <c r="J514" t="b">
        <v>0</v>
      </c>
      <c r="K514" t="b">
        <v>0</v>
      </c>
      <c r="L514" t="s">
        <v>2001</v>
      </c>
      <c r="M514" t="s">
        <v>126</v>
      </c>
      <c r="N514" t="s">
        <v>5</v>
      </c>
      <c r="O514" t="b">
        <v>0</v>
      </c>
      <c r="P514">
        <v>3</v>
      </c>
      <c r="Q514" t="s">
        <v>208</v>
      </c>
      <c r="R514" t="s">
        <v>286</v>
      </c>
      <c r="S514" t="s">
        <v>5</v>
      </c>
      <c r="T514" t="s">
        <v>5</v>
      </c>
      <c r="U514" t="s">
        <v>210</v>
      </c>
      <c r="V514" t="s">
        <v>5</v>
      </c>
      <c r="W514">
        <v>1</v>
      </c>
      <c r="X514" t="s">
        <v>31</v>
      </c>
      <c r="Y514">
        <v>65</v>
      </c>
      <c r="Z514" t="s">
        <v>7</v>
      </c>
      <c r="AA514" t="s">
        <v>15</v>
      </c>
      <c r="AC514" t="s">
        <v>32</v>
      </c>
      <c r="AD514">
        <v>436</v>
      </c>
    </row>
    <row r="515" spans="1:30" x14ac:dyDescent="0.3">
      <c r="A515">
        <v>16298190</v>
      </c>
      <c r="B515" s="3">
        <v>45660</v>
      </c>
      <c r="C515">
        <v>2025</v>
      </c>
      <c r="D515">
        <v>1</v>
      </c>
      <c r="E515" t="s">
        <v>1579</v>
      </c>
      <c r="F515" t="s">
        <v>0</v>
      </c>
      <c r="G515" t="s">
        <v>10</v>
      </c>
      <c r="H515" t="b">
        <v>0</v>
      </c>
      <c r="I515" t="b">
        <v>0</v>
      </c>
      <c r="J515" t="b">
        <v>0</v>
      </c>
      <c r="K515" t="b">
        <v>0</v>
      </c>
      <c r="L515" t="s">
        <v>2002</v>
      </c>
      <c r="M515" t="s">
        <v>755</v>
      </c>
      <c r="N515" t="s">
        <v>21</v>
      </c>
      <c r="O515" t="b">
        <v>0</v>
      </c>
      <c r="P515">
        <v>19</v>
      </c>
      <c r="Q515" t="s">
        <v>1437</v>
      </c>
      <c r="R515" t="s">
        <v>1438</v>
      </c>
      <c r="S515">
        <v>65</v>
      </c>
      <c r="T515" t="s">
        <v>83</v>
      </c>
      <c r="U515" t="s">
        <v>1439</v>
      </c>
      <c r="V515" t="s">
        <v>75</v>
      </c>
      <c r="W515">
        <v>23</v>
      </c>
      <c r="X515" t="s">
        <v>6</v>
      </c>
      <c r="Y515">
        <v>63</v>
      </c>
      <c r="Z515" t="s">
        <v>7</v>
      </c>
      <c r="AA515" t="s">
        <v>15</v>
      </c>
      <c r="AB515">
        <v>61</v>
      </c>
      <c r="AC515" t="s">
        <v>9</v>
      </c>
      <c r="AD515">
        <v>449</v>
      </c>
    </row>
    <row r="516" spans="1:30" x14ac:dyDescent="0.3">
      <c r="A516">
        <v>16316314</v>
      </c>
      <c r="B516" s="3">
        <v>45685</v>
      </c>
      <c r="C516">
        <v>2025</v>
      </c>
      <c r="D516">
        <v>1</v>
      </c>
      <c r="E516" t="s">
        <v>1579</v>
      </c>
      <c r="F516" t="s">
        <v>0</v>
      </c>
      <c r="G516" t="s">
        <v>10</v>
      </c>
      <c r="H516" t="b">
        <v>0</v>
      </c>
      <c r="I516" t="b">
        <v>0</v>
      </c>
      <c r="J516" t="b">
        <v>0</v>
      </c>
      <c r="K516" t="b">
        <v>0</v>
      </c>
      <c r="L516" t="s">
        <v>2003</v>
      </c>
      <c r="M516" t="s">
        <v>1740</v>
      </c>
      <c r="N516" t="s">
        <v>12</v>
      </c>
      <c r="O516" t="b">
        <v>1</v>
      </c>
      <c r="P516">
        <v>3</v>
      </c>
      <c r="Q516" t="s">
        <v>2004</v>
      </c>
      <c r="R516" t="s">
        <v>2005</v>
      </c>
      <c r="S516">
        <v>64</v>
      </c>
      <c r="T516" t="s">
        <v>5</v>
      </c>
      <c r="U516" t="s">
        <v>2006</v>
      </c>
      <c r="V516" t="s">
        <v>5</v>
      </c>
      <c r="W516">
        <v>5</v>
      </c>
      <c r="X516" t="s">
        <v>40</v>
      </c>
      <c r="Z516" t="s">
        <v>5</v>
      </c>
      <c r="AA516" t="s">
        <v>5</v>
      </c>
      <c r="AC516" t="s">
        <v>32</v>
      </c>
      <c r="AD516">
        <v>424</v>
      </c>
    </row>
    <row r="517" spans="1:30" x14ac:dyDescent="0.3">
      <c r="A517">
        <v>16320317</v>
      </c>
      <c r="B517" s="3">
        <v>45680</v>
      </c>
      <c r="C517">
        <v>2025</v>
      </c>
      <c r="D517">
        <v>1</v>
      </c>
      <c r="E517" t="s">
        <v>1579</v>
      </c>
      <c r="F517" t="s">
        <v>0</v>
      </c>
      <c r="G517" t="s">
        <v>1</v>
      </c>
      <c r="H517" t="b">
        <v>0</v>
      </c>
      <c r="I517" t="b">
        <v>1</v>
      </c>
      <c r="J517" t="b">
        <v>0</v>
      </c>
      <c r="K517" t="b">
        <v>0</v>
      </c>
      <c r="L517" t="s">
        <v>2007</v>
      </c>
      <c r="M517" t="s">
        <v>929</v>
      </c>
      <c r="N517" t="s">
        <v>57</v>
      </c>
      <c r="O517" t="b">
        <v>1</v>
      </c>
      <c r="P517">
        <v>8</v>
      </c>
      <c r="Q517" t="s">
        <v>208</v>
      </c>
      <c r="R517" t="s">
        <v>209</v>
      </c>
      <c r="S517" t="s">
        <v>5</v>
      </c>
      <c r="T517" t="s">
        <v>5</v>
      </c>
      <c r="U517" t="s">
        <v>210</v>
      </c>
      <c r="V517" t="s">
        <v>5</v>
      </c>
      <c r="W517">
        <v>4</v>
      </c>
      <c r="X517" t="s">
        <v>40</v>
      </c>
      <c r="Y517">
        <v>69</v>
      </c>
      <c r="Z517" t="s">
        <v>67</v>
      </c>
      <c r="AA517" t="s">
        <v>8</v>
      </c>
      <c r="AC517" t="s">
        <v>32</v>
      </c>
      <c r="AD517">
        <v>429</v>
      </c>
    </row>
    <row r="518" spans="1:30" x14ac:dyDescent="0.3">
      <c r="A518">
        <v>16342992</v>
      </c>
      <c r="B518" s="3">
        <v>45667</v>
      </c>
      <c r="C518">
        <v>2025</v>
      </c>
      <c r="D518">
        <v>1</v>
      </c>
      <c r="E518" t="s">
        <v>1579</v>
      </c>
      <c r="F518" t="s">
        <v>0</v>
      </c>
      <c r="G518" t="s">
        <v>1</v>
      </c>
      <c r="H518" t="b">
        <v>0</v>
      </c>
      <c r="I518" t="b">
        <v>1</v>
      </c>
      <c r="J518" t="b">
        <v>0</v>
      </c>
      <c r="K518" t="b">
        <v>0</v>
      </c>
      <c r="L518" t="s">
        <v>2008</v>
      </c>
      <c r="M518" t="s">
        <v>459</v>
      </c>
      <c r="N518" t="s">
        <v>5</v>
      </c>
      <c r="O518" t="b">
        <v>0</v>
      </c>
      <c r="P518">
        <v>14</v>
      </c>
      <c r="Q518" t="s">
        <v>230</v>
      </c>
      <c r="R518" t="s">
        <v>268</v>
      </c>
      <c r="S518">
        <v>48</v>
      </c>
      <c r="T518" t="s">
        <v>1311</v>
      </c>
      <c r="U518" t="s">
        <v>231</v>
      </c>
      <c r="V518" t="s">
        <v>232</v>
      </c>
      <c r="W518">
        <v>14</v>
      </c>
      <c r="X518" t="s">
        <v>6</v>
      </c>
      <c r="Z518" t="s">
        <v>5</v>
      </c>
      <c r="AA518" t="s">
        <v>5</v>
      </c>
      <c r="AC518" t="s">
        <v>32</v>
      </c>
      <c r="AD518">
        <v>442</v>
      </c>
    </row>
    <row r="519" spans="1:30" x14ac:dyDescent="0.3">
      <c r="A519">
        <v>16344202</v>
      </c>
      <c r="B519" s="3">
        <v>45674</v>
      </c>
      <c r="C519">
        <v>2025</v>
      </c>
      <c r="D519">
        <v>1</v>
      </c>
      <c r="E519" t="s">
        <v>1579</v>
      </c>
      <c r="F519" t="s">
        <v>0</v>
      </c>
      <c r="G519" t="s">
        <v>1</v>
      </c>
      <c r="H519" t="b">
        <v>0</v>
      </c>
      <c r="I519" t="b">
        <v>1</v>
      </c>
      <c r="J519" t="b">
        <v>0</v>
      </c>
      <c r="K519" t="b">
        <v>0</v>
      </c>
      <c r="L519" t="s">
        <v>2009</v>
      </c>
      <c r="M519" t="s">
        <v>274</v>
      </c>
      <c r="N519" t="s">
        <v>5</v>
      </c>
      <c r="O519" t="b">
        <v>0</v>
      </c>
      <c r="P519">
        <v>5</v>
      </c>
      <c r="Q519" t="s">
        <v>497</v>
      </c>
      <c r="R519" t="s">
        <v>498</v>
      </c>
      <c r="S519">
        <v>64</v>
      </c>
      <c r="T519" t="s">
        <v>393</v>
      </c>
      <c r="U519" t="s">
        <v>88</v>
      </c>
      <c r="V519" t="s">
        <v>5</v>
      </c>
      <c r="W519">
        <v>2</v>
      </c>
      <c r="X519" t="s">
        <v>14</v>
      </c>
      <c r="Z519" t="s">
        <v>5</v>
      </c>
      <c r="AA519" t="s">
        <v>5</v>
      </c>
      <c r="AC519" t="s">
        <v>716</v>
      </c>
      <c r="AD519">
        <v>435</v>
      </c>
    </row>
    <row r="520" spans="1:30" x14ac:dyDescent="0.3">
      <c r="A520">
        <v>16345153</v>
      </c>
      <c r="B520" s="3">
        <v>45671</v>
      </c>
      <c r="C520">
        <v>2025</v>
      </c>
      <c r="D520">
        <v>1</v>
      </c>
      <c r="E520" t="s">
        <v>1579</v>
      </c>
      <c r="F520" t="s">
        <v>0</v>
      </c>
      <c r="G520" t="s">
        <v>10</v>
      </c>
      <c r="H520" t="b">
        <v>0</v>
      </c>
      <c r="I520" t="b">
        <v>0</v>
      </c>
      <c r="J520" t="b">
        <v>0</v>
      </c>
      <c r="K520" t="b">
        <v>0</v>
      </c>
      <c r="L520" t="s">
        <v>2010</v>
      </c>
      <c r="M520" t="s">
        <v>740</v>
      </c>
      <c r="N520" t="s">
        <v>5</v>
      </c>
      <c r="O520" t="b">
        <v>0</v>
      </c>
      <c r="P520">
        <v>3</v>
      </c>
      <c r="Q520" t="s">
        <v>588</v>
      </c>
      <c r="R520" t="s">
        <v>589</v>
      </c>
      <c r="S520">
        <v>42</v>
      </c>
      <c r="T520" t="s">
        <v>977</v>
      </c>
      <c r="U520" t="s">
        <v>591</v>
      </c>
      <c r="V520" t="s">
        <v>592</v>
      </c>
      <c r="W520">
        <v>1</v>
      </c>
      <c r="X520" t="s">
        <v>31</v>
      </c>
      <c r="Z520" t="s">
        <v>5</v>
      </c>
      <c r="AA520" t="s">
        <v>8</v>
      </c>
      <c r="AC520" t="s">
        <v>9</v>
      </c>
      <c r="AD520">
        <v>438</v>
      </c>
    </row>
    <row r="521" spans="1:30" x14ac:dyDescent="0.3">
      <c r="A521">
        <v>16345333</v>
      </c>
      <c r="B521" s="3">
        <v>45671</v>
      </c>
      <c r="C521">
        <v>2025</v>
      </c>
      <c r="D521">
        <v>1</v>
      </c>
      <c r="E521" t="s">
        <v>1579</v>
      </c>
      <c r="F521" t="s">
        <v>0</v>
      </c>
      <c r="G521" t="s">
        <v>10</v>
      </c>
      <c r="H521" t="b">
        <v>0</v>
      </c>
      <c r="I521" t="b">
        <v>0</v>
      </c>
      <c r="J521" t="b">
        <v>0</v>
      </c>
      <c r="K521" t="b">
        <v>0</v>
      </c>
      <c r="L521" t="s">
        <v>2010</v>
      </c>
      <c r="M521" t="s">
        <v>740</v>
      </c>
      <c r="N521" t="s">
        <v>5</v>
      </c>
      <c r="O521" t="b">
        <v>0</v>
      </c>
      <c r="P521">
        <v>3</v>
      </c>
      <c r="Q521" t="s">
        <v>588</v>
      </c>
      <c r="R521" t="s">
        <v>589</v>
      </c>
      <c r="S521">
        <v>42</v>
      </c>
      <c r="T521" t="s">
        <v>977</v>
      </c>
      <c r="U521" t="s">
        <v>591</v>
      </c>
      <c r="V521" t="s">
        <v>592</v>
      </c>
      <c r="W521">
        <v>1</v>
      </c>
      <c r="X521" t="s">
        <v>31</v>
      </c>
      <c r="Z521" t="s">
        <v>5</v>
      </c>
      <c r="AA521" t="s">
        <v>8</v>
      </c>
      <c r="AC521" t="s">
        <v>9</v>
      </c>
      <c r="AD521">
        <v>438</v>
      </c>
    </row>
    <row r="522" spans="1:30" x14ac:dyDescent="0.3">
      <c r="A522">
        <v>16345426</v>
      </c>
      <c r="B522" s="3">
        <v>45671</v>
      </c>
      <c r="C522">
        <v>2025</v>
      </c>
      <c r="D522">
        <v>1</v>
      </c>
      <c r="E522" t="s">
        <v>1579</v>
      </c>
      <c r="F522" t="s">
        <v>0</v>
      </c>
      <c r="G522" t="s">
        <v>10</v>
      </c>
      <c r="H522" t="b">
        <v>0</v>
      </c>
      <c r="I522" t="b">
        <v>0</v>
      </c>
      <c r="J522" t="b">
        <v>0</v>
      </c>
      <c r="K522" t="b">
        <v>0</v>
      </c>
      <c r="L522" t="s">
        <v>2010</v>
      </c>
      <c r="M522" t="s">
        <v>740</v>
      </c>
      <c r="N522" t="s">
        <v>5</v>
      </c>
      <c r="O522" t="b">
        <v>0</v>
      </c>
      <c r="P522">
        <v>3</v>
      </c>
      <c r="Q522" t="s">
        <v>588</v>
      </c>
      <c r="R522" t="s">
        <v>589</v>
      </c>
      <c r="S522">
        <v>42</v>
      </c>
      <c r="T522" t="s">
        <v>977</v>
      </c>
      <c r="U522" t="s">
        <v>591</v>
      </c>
      <c r="V522" t="s">
        <v>592</v>
      </c>
      <c r="W522">
        <v>1</v>
      </c>
      <c r="X522" t="s">
        <v>31</v>
      </c>
      <c r="Z522" t="s">
        <v>5</v>
      </c>
      <c r="AA522" t="s">
        <v>15</v>
      </c>
      <c r="AC522" t="s">
        <v>9</v>
      </c>
      <c r="AD522">
        <v>438</v>
      </c>
    </row>
    <row r="523" spans="1:30" x14ac:dyDescent="0.3">
      <c r="A523">
        <v>16345438</v>
      </c>
      <c r="B523" s="3">
        <v>45671</v>
      </c>
      <c r="C523">
        <v>2025</v>
      </c>
      <c r="D523">
        <v>1</v>
      </c>
      <c r="E523" t="s">
        <v>1579</v>
      </c>
      <c r="F523" t="s">
        <v>0</v>
      </c>
      <c r="G523" t="s">
        <v>10</v>
      </c>
      <c r="H523" t="b">
        <v>0</v>
      </c>
      <c r="I523" t="b">
        <v>0</v>
      </c>
      <c r="J523" t="b">
        <v>0</v>
      </c>
      <c r="K523" t="b">
        <v>0</v>
      </c>
      <c r="L523" t="s">
        <v>2011</v>
      </c>
      <c r="M523" t="s">
        <v>740</v>
      </c>
      <c r="N523" t="s">
        <v>5</v>
      </c>
      <c r="O523" t="b">
        <v>0</v>
      </c>
      <c r="P523">
        <v>2</v>
      </c>
      <c r="Q523" t="s">
        <v>588</v>
      </c>
      <c r="R523" t="s">
        <v>589</v>
      </c>
      <c r="S523">
        <v>42</v>
      </c>
      <c r="T523" t="s">
        <v>977</v>
      </c>
      <c r="U523" t="s">
        <v>591</v>
      </c>
      <c r="V523" t="s">
        <v>592</v>
      </c>
      <c r="W523">
        <v>1</v>
      </c>
      <c r="X523" t="s">
        <v>31</v>
      </c>
      <c r="Z523" t="s">
        <v>5</v>
      </c>
      <c r="AA523" t="s">
        <v>8</v>
      </c>
      <c r="AC523" t="s">
        <v>9</v>
      </c>
      <c r="AD523">
        <v>438</v>
      </c>
    </row>
    <row r="524" spans="1:30" x14ac:dyDescent="0.3">
      <c r="A524">
        <v>16361903</v>
      </c>
      <c r="B524" s="3">
        <v>45679</v>
      </c>
      <c r="C524">
        <v>2025</v>
      </c>
      <c r="D524">
        <v>1</v>
      </c>
      <c r="E524" t="s">
        <v>1579</v>
      </c>
      <c r="F524" t="s">
        <v>0</v>
      </c>
      <c r="G524" t="s">
        <v>1</v>
      </c>
      <c r="H524" t="b">
        <v>0</v>
      </c>
      <c r="I524" t="b">
        <v>1</v>
      </c>
      <c r="J524" t="b">
        <v>0</v>
      </c>
      <c r="K524" t="b">
        <v>0</v>
      </c>
      <c r="L524" t="s">
        <v>2012</v>
      </c>
      <c r="M524" t="s">
        <v>1007</v>
      </c>
      <c r="N524" t="s">
        <v>70</v>
      </c>
      <c r="O524" t="b">
        <v>0</v>
      </c>
      <c r="P524">
        <v>61</v>
      </c>
      <c r="Q524" t="s">
        <v>230</v>
      </c>
      <c r="R524" t="s">
        <v>268</v>
      </c>
      <c r="S524">
        <v>48</v>
      </c>
      <c r="T524" t="s">
        <v>606</v>
      </c>
      <c r="U524" t="s">
        <v>231</v>
      </c>
      <c r="V524" t="s">
        <v>232</v>
      </c>
      <c r="W524">
        <v>17</v>
      </c>
      <c r="X524" t="s">
        <v>6</v>
      </c>
      <c r="Z524" t="s">
        <v>5</v>
      </c>
      <c r="AA524" t="s">
        <v>5</v>
      </c>
      <c r="AC524" t="s">
        <v>32</v>
      </c>
      <c r="AD524">
        <v>430</v>
      </c>
    </row>
    <row r="525" spans="1:30" x14ac:dyDescent="0.3">
      <c r="A525">
        <v>16370073</v>
      </c>
      <c r="B525" s="3">
        <v>45678</v>
      </c>
      <c r="C525">
        <v>2025</v>
      </c>
      <c r="D525">
        <v>1</v>
      </c>
      <c r="E525" t="s">
        <v>1579</v>
      </c>
      <c r="F525" t="s">
        <v>0</v>
      </c>
      <c r="G525" t="s">
        <v>10</v>
      </c>
      <c r="H525" t="b">
        <v>0</v>
      </c>
      <c r="I525" t="b">
        <v>0</v>
      </c>
      <c r="J525" t="b">
        <v>0</v>
      </c>
      <c r="K525" t="b">
        <v>0</v>
      </c>
      <c r="L525" t="s">
        <v>2013</v>
      </c>
      <c r="M525" t="s">
        <v>1235</v>
      </c>
      <c r="N525" t="s">
        <v>63</v>
      </c>
      <c r="O525" t="b">
        <v>0</v>
      </c>
      <c r="P525">
        <v>2</v>
      </c>
      <c r="Q525" t="s">
        <v>1045</v>
      </c>
      <c r="R525" t="s">
        <v>1046</v>
      </c>
      <c r="S525">
        <v>59</v>
      </c>
      <c r="T525" t="s">
        <v>5</v>
      </c>
      <c r="U525" t="s">
        <v>72</v>
      </c>
      <c r="V525" t="s">
        <v>1047</v>
      </c>
      <c r="W525">
        <v>1</v>
      </c>
      <c r="X525" t="s">
        <v>31</v>
      </c>
      <c r="Z525" t="s">
        <v>5</v>
      </c>
      <c r="AA525" t="s">
        <v>8</v>
      </c>
      <c r="AC525" t="s">
        <v>32</v>
      </c>
      <c r="AD525">
        <v>431</v>
      </c>
    </row>
    <row r="526" spans="1:30" x14ac:dyDescent="0.3">
      <c r="A526">
        <v>16372387</v>
      </c>
      <c r="B526" s="3">
        <v>45662</v>
      </c>
      <c r="C526">
        <v>2025</v>
      </c>
      <c r="D526">
        <v>1</v>
      </c>
      <c r="E526" t="s">
        <v>1579</v>
      </c>
      <c r="F526" t="s">
        <v>0</v>
      </c>
      <c r="G526" t="s">
        <v>562</v>
      </c>
      <c r="H526" t="b">
        <v>0</v>
      </c>
      <c r="I526" t="b">
        <v>0</v>
      </c>
      <c r="J526" t="b">
        <v>0</v>
      </c>
      <c r="K526" t="b">
        <v>0</v>
      </c>
      <c r="L526" t="s">
        <v>2014</v>
      </c>
      <c r="M526" t="s">
        <v>2015</v>
      </c>
      <c r="N526" t="s">
        <v>5</v>
      </c>
      <c r="O526" t="b">
        <v>0</v>
      </c>
      <c r="P526">
        <v>3</v>
      </c>
      <c r="Q526" t="s">
        <v>1562</v>
      </c>
      <c r="R526" t="s">
        <v>1563</v>
      </c>
      <c r="S526">
        <v>64</v>
      </c>
      <c r="T526" t="s">
        <v>5</v>
      </c>
      <c r="U526" t="s">
        <v>106</v>
      </c>
      <c r="V526" t="s">
        <v>1564</v>
      </c>
      <c r="W526">
        <v>1</v>
      </c>
      <c r="X526" t="s">
        <v>31</v>
      </c>
      <c r="Z526" t="s">
        <v>5</v>
      </c>
      <c r="AA526" t="s">
        <v>5</v>
      </c>
      <c r="AC526" t="s">
        <v>101</v>
      </c>
      <c r="AD526">
        <v>447</v>
      </c>
    </row>
    <row r="527" spans="1:30" x14ac:dyDescent="0.3">
      <c r="A527">
        <v>16375984</v>
      </c>
      <c r="B527" s="3">
        <v>45686</v>
      </c>
      <c r="C527">
        <v>2025</v>
      </c>
      <c r="D527">
        <v>1</v>
      </c>
      <c r="E527" t="s">
        <v>1579</v>
      </c>
      <c r="F527" t="s">
        <v>0</v>
      </c>
      <c r="G527" t="s">
        <v>10</v>
      </c>
      <c r="H527" t="b">
        <v>0</v>
      </c>
      <c r="I527" t="b">
        <v>0</v>
      </c>
      <c r="J527" t="b">
        <v>0</v>
      </c>
      <c r="K527" t="b">
        <v>0</v>
      </c>
      <c r="L527" t="s">
        <v>2016</v>
      </c>
      <c r="M527" t="s">
        <v>62</v>
      </c>
      <c r="N527" t="s">
        <v>12</v>
      </c>
      <c r="O527" t="b">
        <v>1</v>
      </c>
      <c r="P527">
        <v>18</v>
      </c>
      <c r="Q527" t="s">
        <v>506</v>
      </c>
      <c r="R527" t="s">
        <v>507</v>
      </c>
      <c r="S527">
        <v>65</v>
      </c>
      <c r="T527" t="s">
        <v>1106</v>
      </c>
      <c r="U527" t="s">
        <v>508</v>
      </c>
      <c r="V527" t="s">
        <v>5</v>
      </c>
      <c r="W527">
        <v>56</v>
      </c>
      <c r="X527" t="s">
        <v>6</v>
      </c>
      <c r="Y527">
        <v>60</v>
      </c>
      <c r="Z527" t="s">
        <v>7</v>
      </c>
      <c r="AA527" t="s">
        <v>15</v>
      </c>
      <c r="AC527" t="s">
        <v>9</v>
      </c>
      <c r="AD527">
        <v>423</v>
      </c>
    </row>
    <row r="528" spans="1:30" x14ac:dyDescent="0.3">
      <c r="A528">
        <v>16380151</v>
      </c>
      <c r="B528" s="3">
        <v>45686</v>
      </c>
      <c r="C528">
        <v>2025</v>
      </c>
      <c r="D528">
        <v>1</v>
      </c>
      <c r="E528" t="s">
        <v>1579</v>
      </c>
      <c r="F528" t="s">
        <v>0</v>
      </c>
      <c r="G528" t="s">
        <v>10</v>
      </c>
      <c r="H528" t="b">
        <v>0</v>
      </c>
      <c r="I528" t="b">
        <v>0</v>
      </c>
      <c r="J528" t="b">
        <v>0</v>
      </c>
      <c r="K528" t="b">
        <v>0</v>
      </c>
      <c r="L528" t="s">
        <v>2017</v>
      </c>
      <c r="M528" t="s">
        <v>332</v>
      </c>
      <c r="N528" t="s">
        <v>5</v>
      </c>
      <c r="O528" t="b">
        <v>0</v>
      </c>
      <c r="P528">
        <v>25</v>
      </c>
      <c r="Q528" t="s">
        <v>509</v>
      </c>
      <c r="R528" t="s">
        <v>5</v>
      </c>
      <c r="S528">
        <v>65</v>
      </c>
      <c r="T528" t="s">
        <v>1152</v>
      </c>
      <c r="U528" t="s">
        <v>5</v>
      </c>
      <c r="V528" t="s">
        <v>5</v>
      </c>
      <c r="W528">
        <v>7</v>
      </c>
      <c r="X528" t="s">
        <v>6</v>
      </c>
      <c r="Z528" t="s">
        <v>5</v>
      </c>
      <c r="AA528" t="s">
        <v>8</v>
      </c>
      <c r="AC528" t="s">
        <v>25</v>
      </c>
      <c r="AD528">
        <v>423</v>
      </c>
    </row>
    <row r="529" spans="1:30" x14ac:dyDescent="0.3">
      <c r="A529">
        <v>16383457</v>
      </c>
      <c r="B529" s="3">
        <v>45687</v>
      </c>
      <c r="C529">
        <v>2025</v>
      </c>
      <c r="D529">
        <v>1</v>
      </c>
      <c r="E529" t="s">
        <v>1579</v>
      </c>
      <c r="F529" t="s">
        <v>0</v>
      </c>
      <c r="G529" t="s">
        <v>10</v>
      </c>
      <c r="H529" t="b">
        <v>0</v>
      </c>
      <c r="I529" t="b">
        <v>0</v>
      </c>
      <c r="J529" t="b">
        <v>0</v>
      </c>
      <c r="K529" t="b">
        <v>0</v>
      </c>
      <c r="L529" t="s">
        <v>2018</v>
      </c>
      <c r="M529" t="s">
        <v>1363</v>
      </c>
      <c r="N529" t="s">
        <v>5</v>
      </c>
      <c r="O529" t="b">
        <v>0</v>
      </c>
      <c r="P529">
        <v>32</v>
      </c>
      <c r="Q529" t="s">
        <v>78</v>
      </c>
      <c r="R529" t="s">
        <v>79</v>
      </c>
      <c r="S529">
        <v>40</v>
      </c>
      <c r="T529" t="s">
        <v>961</v>
      </c>
      <c r="U529" t="s">
        <v>81</v>
      </c>
      <c r="V529" t="s">
        <v>82</v>
      </c>
      <c r="W529">
        <v>1</v>
      </c>
      <c r="X529" t="s">
        <v>31</v>
      </c>
      <c r="Z529" t="s">
        <v>5</v>
      </c>
      <c r="AA529" t="s">
        <v>5</v>
      </c>
      <c r="AC529" t="s">
        <v>796</v>
      </c>
      <c r="AD529">
        <v>422</v>
      </c>
    </row>
    <row r="530" spans="1:30" x14ac:dyDescent="0.3">
      <c r="A530">
        <v>16393846</v>
      </c>
      <c r="B530" s="3">
        <v>45667</v>
      </c>
      <c r="C530">
        <v>2025</v>
      </c>
      <c r="D530">
        <v>1</v>
      </c>
      <c r="E530" t="s">
        <v>1579</v>
      </c>
      <c r="F530" t="s">
        <v>125</v>
      </c>
      <c r="G530" t="s">
        <v>10</v>
      </c>
      <c r="H530" t="b">
        <v>0</v>
      </c>
      <c r="I530" t="b">
        <v>0</v>
      </c>
      <c r="J530" t="b">
        <v>0</v>
      </c>
      <c r="K530" t="b">
        <v>0</v>
      </c>
      <c r="L530" t="s">
        <v>2019</v>
      </c>
      <c r="M530" t="s">
        <v>192</v>
      </c>
      <c r="N530" t="s">
        <v>5</v>
      </c>
      <c r="O530" t="b">
        <v>0</v>
      </c>
      <c r="P530">
        <v>3</v>
      </c>
      <c r="Q530" t="s">
        <v>1366</v>
      </c>
      <c r="R530" t="s">
        <v>5</v>
      </c>
      <c r="S530">
        <v>48</v>
      </c>
      <c r="T530" t="s">
        <v>83</v>
      </c>
      <c r="U530" t="s">
        <v>5</v>
      </c>
      <c r="V530" t="s">
        <v>5</v>
      </c>
      <c r="W530">
        <v>1</v>
      </c>
      <c r="X530" t="s">
        <v>31</v>
      </c>
      <c r="Z530" t="s">
        <v>5</v>
      </c>
      <c r="AA530" t="s">
        <v>8</v>
      </c>
      <c r="AB530">
        <v>61</v>
      </c>
      <c r="AC530" t="s">
        <v>32</v>
      </c>
      <c r="AD530">
        <v>442</v>
      </c>
    </row>
    <row r="531" spans="1:30" x14ac:dyDescent="0.3">
      <c r="A531">
        <v>16404293</v>
      </c>
      <c r="B531" s="3">
        <v>45685</v>
      </c>
      <c r="C531">
        <v>2025</v>
      </c>
      <c r="D531">
        <v>1</v>
      </c>
      <c r="E531" t="s">
        <v>1579</v>
      </c>
      <c r="F531" t="s">
        <v>125</v>
      </c>
      <c r="G531" t="s">
        <v>10</v>
      </c>
      <c r="H531" t="b">
        <v>0</v>
      </c>
      <c r="I531" t="b">
        <v>0</v>
      </c>
      <c r="J531" t="b">
        <v>0</v>
      </c>
      <c r="K531" t="b">
        <v>0</v>
      </c>
      <c r="L531" t="s">
        <v>2020</v>
      </c>
      <c r="M531" t="s">
        <v>126</v>
      </c>
      <c r="N531" t="s">
        <v>118</v>
      </c>
      <c r="O531" t="b">
        <v>0</v>
      </c>
      <c r="P531">
        <v>5</v>
      </c>
      <c r="Q531" t="s">
        <v>879</v>
      </c>
      <c r="R531" t="s">
        <v>880</v>
      </c>
      <c r="S531">
        <v>58</v>
      </c>
      <c r="T531" t="s">
        <v>422</v>
      </c>
      <c r="U531" t="s">
        <v>881</v>
      </c>
      <c r="V531" t="s">
        <v>5</v>
      </c>
      <c r="W531">
        <v>5</v>
      </c>
      <c r="X531" t="s">
        <v>40</v>
      </c>
      <c r="Y531">
        <v>39</v>
      </c>
      <c r="Z531" t="s">
        <v>61</v>
      </c>
      <c r="AA531" t="s">
        <v>15</v>
      </c>
      <c r="AC531" t="s">
        <v>32</v>
      </c>
      <c r="AD531">
        <v>424</v>
      </c>
    </row>
    <row r="532" spans="1:30" x14ac:dyDescent="0.3">
      <c r="A532">
        <v>16412830</v>
      </c>
      <c r="B532" s="3">
        <v>45659</v>
      </c>
      <c r="C532">
        <v>2025</v>
      </c>
      <c r="D532">
        <v>1</v>
      </c>
      <c r="E532" t="s">
        <v>1579</v>
      </c>
      <c r="F532" t="s">
        <v>0</v>
      </c>
      <c r="G532" t="s">
        <v>16</v>
      </c>
      <c r="H532" t="b">
        <v>0</v>
      </c>
      <c r="I532" t="b">
        <v>1</v>
      </c>
      <c r="J532" t="b">
        <v>1</v>
      </c>
      <c r="K532" t="b">
        <v>0</v>
      </c>
      <c r="L532" t="s">
        <v>2021</v>
      </c>
      <c r="M532" t="s">
        <v>726</v>
      </c>
      <c r="N532" t="s">
        <v>57</v>
      </c>
      <c r="O532" t="b">
        <v>1</v>
      </c>
      <c r="P532">
        <v>10</v>
      </c>
      <c r="Q532" t="s">
        <v>250</v>
      </c>
      <c r="R532" t="s">
        <v>251</v>
      </c>
      <c r="S532">
        <v>65</v>
      </c>
      <c r="T532" t="s">
        <v>649</v>
      </c>
      <c r="U532" t="s">
        <v>253</v>
      </c>
      <c r="V532" t="s">
        <v>5</v>
      </c>
      <c r="W532">
        <v>17</v>
      </c>
      <c r="X532" t="s">
        <v>6</v>
      </c>
      <c r="Y532">
        <v>58</v>
      </c>
      <c r="Z532" t="s">
        <v>7</v>
      </c>
      <c r="AA532" t="s">
        <v>8</v>
      </c>
      <c r="AC532" t="s">
        <v>254</v>
      </c>
      <c r="AD532">
        <v>450</v>
      </c>
    </row>
    <row r="533" spans="1:30" x14ac:dyDescent="0.3">
      <c r="A533">
        <v>16416738</v>
      </c>
      <c r="B533" s="3">
        <v>45681</v>
      </c>
      <c r="C533">
        <v>2025</v>
      </c>
      <c r="D533">
        <v>1</v>
      </c>
      <c r="E533" t="s">
        <v>1579</v>
      </c>
      <c r="F533" t="s">
        <v>0</v>
      </c>
      <c r="G533" t="s">
        <v>1</v>
      </c>
      <c r="H533" t="b">
        <v>0</v>
      </c>
      <c r="I533" t="b">
        <v>1</v>
      </c>
      <c r="J533" t="b">
        <v>0</v>
      </c>
      <c r="K533" t="b">
        <v>0</v>
      </c>
      <c r="L533" t="s">
        <v>2022</v>
      </c>
      <c r="M533" t="s">
        <v>971</v>
      </c>
      <c r="N533" t="s">
        <v>57</v>
      </c>
      <c r="O533" t="b">
        <v>1</v>
      </c>
      <c r="P533">
        <v>7</v>
      </c>
      <c r="Q533" t="s">
        <v>323</v>
      </c>
      <c r="R533" t="s">
        <v>324</v>
      </c>
      <c r="S533">
        <v>42</v>
      </c>
      <c r="T533" t="s">
        <v>257</v>
      </c>
      <c r="U533" t="s">
        <v>325</v>
      </c>
      <c r="V533" t="s">
        <v>326</v>
      </c>
      <c r="W533">
        <v>5</v>
      </c>
      <c r="X533" t="s">
        <v>40</v>
      </c>
      <c r="Z533" t="s">
        <v>5</v>
      </c>
      <c r="AA533" t="s">
        <v>5</v>
      </c>
      <c r="AC533" t="s">
        <v>154</v>
      </c>
      <c r="AD533">
        <v>428</v>
      </c>
    </row>
    <row r="534" spans="1:30" x14ac:dyDescent="0.3">
      <c r="A534">
        <v>16420425</v>
      </c>
      <c r="B534" s="3">
        <v>45665</v>
      </c>
      <c r="C534">
        <v>2025</v>
      </c>
      <c r="D534">
        <v>1</v>
      </c>
      <c r="E534" t="s">
        <v>1579</v>
      </c>
      <c r="F534" t="s">
        <v>0</v>
      </c>
      <c r="G534" t="s">
        <v>10</v>
      </c>
      <c r="H534" t="b">
        <v>0</v>
      </c>
      <c r="I534" t="b">
        <v>0</v>
      </c>
      <c r="J534" t="b">
        <v>0</v>
      </c>
      <c r="K534" t="b">
        <v>0</v>
      </c>
      <c r="L534" t="s">
        <v>2023</v>
      </c>
      <c r="M534" t="s">
        <v>715</v>
      </c>
      <c r="N534" t="s">
        <v>5</v>
      </c>
      <c r="O534" t="b">
        <v>0</v>
      </c>
      <c r="P534">
        <v>4</v>
      </c>
      <c r="Q534" t="s">
        <v>695</v>
      </c>
      <c r="R534" t="s">
        <v>696</v>
      </c>
      <c r="S534">
        <v>58</v>
      </c>
      <c r="T534" t="s">
        <v>291</v>
      </c>
      <c r="U534" t="s">
        <v>501</v>
      </c>
      <c r="V534" t="s">
        <v>697</v>
      </c>
      <c r="W534">
        <v>1</v>
      </c>
      <c r="X534" t="s">
        <v>31</v>
      </c>
      <c r="Y534">
        <v>33</v>
      </c>
      <c r="Z534" t="s">
        <v>61</v>
      </c>
      <c r="AA534" t="s">
        <v>15</v>
      </c>
      <c r="AC534" t="s">
        <v>284</v>
      </c>
      <c r="AD534">
        <v>444</v>
      </c>
    </row>
    <row r="535" spans="1:30" x14ac:dyDescent="0.3">
      <c r="A535">
        <v>16423216</v>
      </c>
      <c r="B535" s="3">
        <v>45665</v>
      </c>
      <c r="C535">
        <v>2025</v>
      </c>
      <c r="D535">
        <v>1</v>
      </c>
      <c r="E535" t="s">
        <v>1579</v>
      </c>
      <c r="F535" t="s">
        <v>0</v>
      </c>
      <c r="G535" t="s">
        <v>1</v>
      </c>
      <c r="H535" t="b">
        <v>0</v>
      </c>
      <c r="I535" t="b">
        <v>1</v>
      </c>
      <c r="J535" t="b">
        <v>0</v>
      </c>
      <c r="K535" t="b">
        <v>0</v>
      </c>
      <c r="L535" t="s">
        <v>2024</v>
      </c>
      <c r="M535" t="s">
        <v>505</v>
      </c>
      <c r="N535" t="s">
        <v>5</v>
      </c>
      <c r="O535" t="b">
        <v>0</v>
      </c>
      <c r="P535">
        <v>20</v>
      </c>
      <c r="Q535" t="s">
        <v>588</v>
      </c>
      <c r="R535" t="s">
        <v>589</v>
      </c>
      <c r="S535" t="s">
        <v>5</v>
      </c>
      <c r="T535" t="s">
        <v>590</v>
      </c>
      <c r="U535" t="s">
        <v>591</v>
      </c>
      <c r="V535" t="s">
        <v>592</v>
      </c>
      <c r="W535">
        <v>53</v>
      </c>
      <c r="X535" t="s">
        <v>6</v>
      </c>
      <c r="Y535">
        <v>68</v>
      </c>
      <c r="Z535" t="s">
        <v>67</v>
      </c>
      <c r="AA535" t="s">
        <v>8</v>
      </c>
      <c r="AB535">
        <v>60</v>
      </c>
      <c r="AC535" t="s">
        <v>32</v>
      </c>
      <c r="AD535">
        <v>444</v>
      </c>
    </row>
    <row r="536" spans="1:30" x14ac:dyDescent="0.3">
      <c r="A536">
        <v>16425796</v>
      </c>
      <c r="B536" s="3">
        <v>45674</v>
      </c>
      <c r="C536">
        <v>2025</v>
      </c>
      <c r="D536">
        <v>1</v>
      </c>
      <c r="E536" t="s">
        <v>1579</v>
      </c>
      <c r="F536" t="s">
        <v>0</v>
      </c>
      <c r="G536" t="s">
        <v>10</v>
      </c>
      <c r="H536" t="b">
        <v>0</v>
      </c>
      <c r="I536" t="b">
        <v>0</v>
      </c>
      <c r="J536" t="b">
        <v>0</v>
      </c>
      <c r="K536" t="b">
        <v>0</v>
      </c>
      <c r="L536" t="s">
        <v>2025</v>
      </c>
      <c r="M536" t="s">
        <v>545</v>
      </c>
      <c r="N536" t="s">
        <v>174</v>
      </c>
      <c r="O536" t="b">
        <v>0</v>
      </c>
      <c r="P536">
        <v>13</v>
      </c>
      <c r="Q536" t="s">
        <v>786</v>
      </c>
      <c r="R536" t="s">
        <v>5</v>
      </c>
      <c r="S536">
        <v>48</v>
      </c>
      <c r="T536" t="s">
        <v>105</v>
      </c>
      <c r="U536" t="s">
        <v>5</v>
      </c>
      <c r="V536" t="s">
        <v>5</v>
      </c>
      <c r="W536">
        <v>7</v>
      </c>
      <c r="X536" t="s">
        <v>6</v>
      </c>
      <c r="Y536">
        <v>57</v>
      </c>
      <c r="Z536" t="s">
        <v>7</v>
      </c>
      <c r="AA536" t="s">
        <v>15</v>
      </c>
      <c r="AC536" t="s">
        <v>32</v>
      </c>
      <c r="AD536">
        <v>435</v>
      </c>
    </row>
    <row r="537" spans="1:30" x14ac:dyDescent="0.3">
      <c r="A537">
        <v>16436943</v>
      </c>
      <c r="B537" s="3">
        <v>45671</v>
      </c>
      <c r="C537">
        <v>2025</v>
      </c>
      <c r="D537">
        <v>1</v>
      </c>
      <c r="E537" t="s">
        <v>1579</v>
      </c>
      <c r="F537" t="s">
        <v>0</v>
      </c>
      <c r="G537" t="s">
        <v>10</v>
      </c>
      <c r="H537" t="b">
        <v>0</v>
      </c>
      <c r="I537" t="b">
        <v>0</v>
      </c>
      <c r="J537" t="b">
        <v>0</v>
      </c>
      <c r="K537" t="b">
        <v>0</v>
      </c>
      <c r="L537" t="s">
        <v>2026</v>
      </c>
      <c r="M537" t="s">
        <v>1156</v>
      </c>
      <c r="N537" t="s">
        <v>70</v>
      </c>
      <c r="O537" t="b">
        <v>0</v>
      </c>
      <c r="P537">
        <v>21</v>
      </c>
      <c r="Q537" t="s">
        <v>141</v>
      </c>
      <c r="R537" t="s">
        <v>142</v>
      </c>
      <c r="S537">
        <v>48</v>
      </c>
      <c r="T537" t="s">
        <v>143</v>
      </c>
      <c r="U537" t="s">
        <v>144</v>
      </c>
      <c r="V537" t="s">
        <v>5</v>
      </c>
      <c r="W537">
        <v>31</v>
      </c>
      <c r="X537" t="s">
        <v>6</v>
      </c>
      <c r="Z537" t="s">
        <v>5</v>
      </c>
      <c r="AA537" t="s">
        <v>8</v>
      </c>
      <c r="AC537" t="s">
        <v>32</v>
      </c>
      <c r="AD537">
        <v>438</v>
      </c>
    </row>
    <row r="538" spans="1:30" x14ac:dyDescent="0.3">
      <c r="A538">
        <v>16443526</v>
      </c>
      <c r="B538" s="3">
        <v>45673</v>
      </c>
      <c r="C538">
        <v>2025</v>
      </c>
      <c r="D538">
        <v>1</v>
      </c>
      <c r="E538" t="s">
        <v>1579</v>
      </c>
      <c r="F538" t="s">
        <v>125</v>
      </c>
      <c r="G538" t="s">
        <v>10</v>
      </c>
      <c r="H538" t="b">
        <v>0</v>
      </c>
      <c r="I538" t="b">
        <v>0</v>
      </c>
      <c r="J538" t="b">
        <v>0</v>
      </c>
      <c r="K538" t="b">
        <v>0</v>
      </c>
      <c r="L538" t="s">
        <v>2027</v>
      </c>
      <c r="M538" t="s">
        <v>757</v>
      </c>
      <c r="N538" t="s">
        <v>63</v>
      </c>
      <c r="O538" t="b">
        <v>0</v>
      </c>
      <c r="P538">
        <v>3</v>
      </c>
      <c r="Q538" t="s">
        <v>175</v>
      </c>
      <c r="R538" t="s">
        <v>176</v>
      </c>
      <c r="S538">
        <v>50</v>
      </c>
      <c r="T538" t="s">
        <v>150</v>
      </c>
      <c r="U538" t="s">
        <v>177</v>
      </c>
      <c r="V538" t="s">
        <v>178</v>
      </c>
      <c r="W538">
        <v>4</v>
      </c>
      <c r="X538" t="s">
        <v>40</v>
      </c>
      <c r="Z538" t="s">
        <v>5</v>
      </c>
      <c r="AA538" t="s">
        <v>8</v>
      </c>
      <c r="AC538" t="s">
        <v>32</v>
      </c>
      <c r="AD538">
        <v>436</v>
      </c>
    </row>
    <row r="539" spans="1:30" x14ac:dyDescent="0.3">
      <c r="A539">
        <v>16455277</v>
      </c>
      <c r="B539" s="3">
        <v>45673</v>
      </c>
      <c r="C539">
        <v>2025</v>
      </c>
      <c r="D539">
        <v>1</v>
      </c>
      <c r="E539" t="s">
        <v>1579</v>
      </c>
      <c r="F539" t="s">
        <v>0</v>
      </c>
      <c r="G539" t="s">
        <v>1</v>
      </c>
      <c r="H539" t="b">
        <v>0</v>
      </c>
      <c r="I539" t="b">
        <v>1</v>
      </c>
      <c r="J539" t="b">
        <v>0</v>
      </c>
      <c r="K539" t="b">
        <v>0</v>
      </c>
      <c r="L539" t="s">
        <v>2028</v>
      </c>
      <c r="M539" t="s">
        <v>1272</v>
      </c>
      <c r="N539" t="s">
        <v>118</v>
      </c>
      <c r="O539" t="b">
        <v>0</v>
      </c>
      <c r="P539">
        <v>40</v>
      </c>
      <c r="Q539" t="s">
        <v>611</v>
      </c>
      <c r="R539" t="s">
        <v>612</v>
      </c>
      <c r="S539">
        <v>42</v>
      </c>
      <c r="T539" t="s">
        <v>183</v>
      </c>
      <c r="U539" t="s">
        <v>29</v>
      </c>
      <c r="V539" t="s">
        <v>130</v>
      </c>
      <c r="W539">
        <v>72</v>
      </c>
      <c r="X539" t="s">
        <v>6</v>
      </c>
      <c r="Z539" t="s">
        <v>5</v>
      </c>
      <c r="AA539" t="s">
        <v>5</v>
      </c>
      <c r="AC539" t="s">
        <v>9</v>
      </c>
      <c r="AD539">
        <v>436</v>
      </c>
    </row>
    <row r="540" spans="1:30" x14ac:dyDescent="0.3">
      <c r="A540">
        <v>16456221</v>
      </c>
      <c r="B540" s="3">
        <v>45687</v>
      </c>
      <c r="C540">
        <v>2025</v>
      </c>
      <c r="D540">
        <v>1</v>
      </c>
      <c r="E540" t="s">
        <v>1579</v>
      </c>
      <c r="F540" t="s">
        <v>0</v>
      </c>
      <c r="G540" t="s">
        <v>1</v>
      </c>
      <c r="H540" t="b">
        <v>0</v>
      </c>
      <c r="I540" t="b">
        <v>1</v>
      </c>
      <c r="J540" t="b">
        <v>0</v>
      </c>
      <c r="K540" t="b">
        <v>0</v>
      </c>
      <c r="L540" t="s">
        <v>2029</v>
      </c>
      <c r="M540" t="s">
        <v>2030</v>
      </c>
      <c r="N540" t="s">
        <v>118</v>
      </c>
      <c r="O540" t="b">
        <v>0</v>
      </c>
      <c r="P540">
        <v>52</v>
      </c>
      <c r="Q540" t="s">
        <v>379</v>
      </c>
      <c r="R540" t="s">
        <v>380</v>
      </c>
      <c r="S540">
        <v>48</v>
      </c>
      <c r="T540" t="s">
        <v>335</v>
      </c>
      <c r="U540" t="s">
        <v>4</v>
      </c>
      <c r="V540" t="s">
        <v>5</v>
      </c>
      <c r="W540">
        <v>16</v>
      </c>
      <c r="X540" t="s">
        <v>6</v>
      </c>
      <c r="Z540" t="s">
        <v>5</v>
      </c>
      <c r="AA540" t="s">
        <v>8</v>
      </c>
      <c r="AB540">
        <v>74</v>
      </c>
      <c r="AC540" t="s">
        <v>377</v>
      </c>
      <c r="AD540">
        <v>422</v>
      </c>
    </row>
    <row r="541" spans="1:30" x14ac:dyDescent="0.3">
      <c r="A541">
        <v>16468869</v>
      </c>
      <c r="B541" s="3">
        <v>45659</v>
      </c>
      <c r="C541">
        <v>2025</v>
      </c>
      <c r="D541">
        <v>1</v>
      </c>
      <c r="E541" t="s">
        <v>1579</v>
      </c>
      <c r="F541" t="s">
        <v>125</v>
      </c>
      <c r="G541" t="s">
        <v>10</v>
      </c>
      <c r="H541" t="b">
        <v>0</v>
      </c>
      <c r="I541" t="b">
        <v>0</v>
      </c>
      <c r="J541" t="b">
        <v>0</v>
      </c>
      <c r="K541" t="b">
        <v>0</v>
      </c>
      <c r="L541" t="s">
        <v>2031</v>
      </c>
      <c r="M541" t="s">
        <v>526</v>
      </c>
      <c r="N541" t="s">
        <v>63</v>
      </c>
      <c r="O541" t="b">
        <v>0</v>
      </c>
      <c r="P541">
        <v>4</v>
      </c>
      <c r="Q541" t="s">
        <v>333</v>
      </c>
      <c r="R541" t="s">
        <v>334</v>
      </c>
      <c r="S541">
        <v>48</v>
      </c>
      <c r="T541" t="s">
        <v>1264</v>
      </c>
      <c r="U541" t="s">
        <v>210</v>
      </c>
      <c r="V541" t="s">
        <v>5</v>
      </c>
      <c r="W541">
        <v>3</v>
      </c>
      <c r="X541" t="s">
        <v>14</v>
      </c>
      <c r="Y541">
        <v>75</v>
      </c>
      <c r="Z541" t="s">
        <v>67</v>
      </c>
      <c r="AA541" t="s">
        <v>8</v>
      </c>
      <c r="AC541" t="s">
        <v>32</v>
      </c>
      <c r="AD541">
        <v>450</v>
      </c>
    </row>
    <row r="542" spans="1:30" x14ac:dyDescent="0.3">
      <c r="A542">
        <v>16523093</v>
      </c>
      <c r="B542" s="3">
        <v>45660</v>
      </c>
      <c r="C542">
        <v>2025</v>
      </c>
      <c r="D542">
        <v>1</v>
      </c>
      <c r="E542" t="s">
        <v>1579</v>
      </c>
      <c r="F542" t="s">
        <v>0</v>
      </c>
      <c r="G542" t="s">
        <v>1</v>
      </c>
      <c r="H542" t="b">
        <v>0</v>
      </c>
      <c r="I542" t="b">
        <v>1</v>
      </c>
      <c r="J542" t="b">
        <v>0</v>
      </c>
      <c r="K542" t="b">
        <v>0</v>
      </c>
      <c r="L542" t="s">
        <v>648</v>
      </c>
      <c r="M542" t="s">
        <v>648</v>
      </c>
      <c r="N542" t="s">
        <v>12</v>
      </c>
      <c r="O542" t="b">
        <v>1</v>
      </c>
      <c r="P542">
        <v>1</v>
      </c>
      <c r="Q542" t="s">
        <v>181</v>
      </c>
      <c r="R542" t="s">
        <v>182</v>
      </c>
      <c r="S542">
        <v>58</v>
      </c>
      <c r="T542" t="s">
        <v>291</v>
      </c>
      <c r="U542" t="s">
        <v>184</v>
      </c>
      <c r="V542" t="s">
        <v>5</v>
      </c>
      <c r="W542">
        <v>2</v>
      </c>
      <c r="X542" t="s">
        <v>14</v>
      </c>
      <c r="Y542">
        <v>18</v>
      </c>
      <c r="Z542" t="s">
        <v>19</v>
      </c>
      <c r="AA542" t="s">
        <v>15</v>
      </c>
      <c r="AB542">
        <v>163</v>
      </c>
      <c r="AC542" t="s">
        <v>32</v>
      </c>
      <c r="AD542">
        <v>449</v>
      </c>
    </row>
    <row r="543" spans="1:30" x14ac:dyDescent="0.3">
      <c r="A543">
        <v>16523964</v>
      </c>
      <c r="B543" s="3">
        <v>45680</v>
      </c>
      <c r="C543">
        <v>2025</v>
      </c>
      <c r="D543">
        <v>1</v>
      </c>
      <c r="E543" t="s">
        <v>1579</v>
      </c>
      <c r="F543" t="s">
        <v>125</v>
      </c>
      <c r="G543" t="s">
        <v>10</v>
      </c>
      <c r="H543" t="b">
        <v>0</v>
      </c>
      <c r="I543" t="b">
        <v>0</v>
      </c>
      <c r="J543" t="b">
        <v>0</v>
      </c>
      <c r="K543" t="b">
        <v>0</v>
      </c>
      <c r="L543" t="s">
        <v>2032</v>
      </c>
      <c r="M543" t="s">
        <v>1259</v>
      </c>
      <c r="N543" t="s">
        <v>70</v>
      </c>
      <c r="O543" t="b">
        <v>0</v>
      </c>
      <c r="P543">
        <v>14</v>
      </c>
      <c r="Q543" t="s">
        <v>573</v>
      </c>
      <c r="R543" t="s">
        <v>595</v>
      </c>
      <c r="S543">
        <v>58</v>
      </c>
      <c r="T543" t="s">
        <v>596</v>
      </c>
      <c r="U543" t="s">
        <v>574</v>
      </c>
      <c r="V543" t="s">
        <v>575</v>
      </c>
      <c r="W543">
        <v>9</v>
      </c>
      <c r="X543" t="s">
        <v>6</v>
      </c>
      <c r="Y543">
        <v>76</v>
      </c>
      <c r="Z543" t="s">
        <v>67</v>
      </c>
      <c r="AA543" t="s">
        <v>8</v>
      </c>
      <c r="AB543">
        <v>58.957000000000001</v>
      </c>
      <c r="AC543" t="s">
        <v>32</v>
      </c>
      <c r="AD543">
        <v>429</v>
      </c>
    </row>
    <row r="544" spans="1:30" x14ac:dyDescent="0.3">
      <c r="A544">
        <v>16529950</v>
      </c>
      <c r="B544" s="3">
        <v>45688</v>
      </c>
      <c r="C544">
        <v>2025</v>
      </c>
      <c r="D544">
        <v>1</v>
      </c>
      <c r="E544" t="s">
        <v>1579</v>
      </c>
      <c r="F544" t="s">
        <v>0</v>
      </c>
      <c r="G544" t="s">
        <v>1</v>
      </c>
      <c r="H544" t="b">
        <v>0</v>
      </c>
      <c r="I544" t="b">
        <v>1</v>
      </c>
      <c r="J544" t="b">
        <v>0</v>
      </c>
      <c r="K544" t="b">
        <v>0</v>
      </c>
      <c r="L544" t="s">
        <v>2033</v>
      </c>
      <c r="M544" t="s">
        <v>814</v>
      </c>
      <c r="N544" t="s">
        <v>17</v>
      </c>
      <c r="O544" t="b">
        <v>0</v>
      </c>
      <c r="P544">
        <v>4</v>
      </c>
      <c r="Q544" t="s">
        <v>820</v>
      </c>
      <c r="R544" t="s">
        <v>821</v>
      </c>
      <c r="S544" t="s">
        <v>5</v>
      </c>
      <c r="T544" t="s">
        <v>822</v>
      </c>
      <c r="U544" t="s">
        <v>271</v>
      </c>
      <c r="V544" t="s">
        <v>823</v>
      </c>
      <c r="W544">
        <v>4</v>
      </c>
      <c r="X544" t="s">
        <v>40</v>
      </c>
      <c r="Z544" t="s">
        <v>5</v>
      </c>
      <c r="AA544" t="s">
        <v>15</v>
      </c>
      <c r="AC544" t="s">
        <v>32</v>
      </c>
      <c r="AD544">
        <v>421</v>
      </c>
    </row>
    <row r="545" spans="1:30" x14ac:dyDescent="0.3">
      <c r="A545">
        <v>16562380</v>
      </c>
      <c r="B545" s="3">
        <v>45674</v>
      </c>
      <c r="C545">
        <v>2025</v>
      </c>
      <c r="D545">
        <v>1</v>
      </c>
      <c r="E545" t="s">
        <v>1579</v>
      </c>
      <c r="F545" t="s">
        <v>0</v>
      </c>
      <c r="G545" t="s">
        <v>1</v>
      </c>
      <c r="H545" t="b">
        <v>0</v>
      </c>
      <c r="I545" t="b">
        <v>1</v>
      </c>
      <c r="J545" t="b">
        <v>0</v>
      </c>
      <c r="K545" t="b">
        <v>0</v>
      </c>
      <c r="L545" t="s">
        <v>2034</v>
      </c>
      <c r="M545" t="s">
        <v>859</v>
      </c>
      <c r="N545" t="s">
        <v>63</v>
      </c>
      <c r="O545" t="b">
        <v>0</v>
      </c>
      <c r="P545">
        <v>3</v>
      </c>
      <c r="Q545" t="s">
        <v>660</v>
      </c>
      <c r="R545" t="s">
        <v>661</v>
      </c>
      <c r="S545">
        <v>48</v>
      </c>
      <c r="T545" t="s">
        <v>773</v>
      </c>
      <c r="U545" t="s">
        <v>662</v>
      </c>
      <c r="V545" t="s">
        <v>663</v>
      </c>
      <c r="W545">
        <v>1</v>
      </c>
      <c r="X545" t="s">
        <v>31</v>
      </c>
      <c r="Y545">
        <v>81</v>
      </c>
      <c r="Z545" t="s">
        <v>196</v>
      </c>
      <c r="AA545" t="s">
        <v>15</v>
      </c>
      <c r="AC545" t="s">
        <v>32</v>
      </c>
      <c r="AD545">
        <v>435</v>
      </c>
    </row>
    <row r="546" spans="1:30" x14ac:dyDescent="0.3">
      <c r="A546">
        <v>16564335</v>
      </c>
      <c r="B546" s="3">
        <v>45673</v>
      </c>
      <c r="C546">
        <v>2025</v>
      </c>
      <c r="D546">
        <v>1</v>
      </c>
      <c r="E546" t="s">
        <v>1579</v>
      </c>
      <c r="F546" t="s">
        <v>0</v>
      </c>
      <c r="G546" t="s">
        <v>562</v>
      </c>
      <c r="H546" t="b">
        <v>0</v>
      </c>
      <c r="I546" t="b">
        <v>0</v>
      </c>
      <c r="J546" t="b">
        <v>0</v>
      </c>
      <c r="K546" t="b">
        <v>0</v>
      </c>
      <c r="L546" t="s">
        <v>2035</v>
      </c>
      <c r="M546" t="s">
        <v>2036</v>
      </c>
      <c r="N546" t="s">
        <v>5</v>
      </c>
      <c r="O546" t="b">
        <v>0</v>
      </c>
      <c r="P546">
        <v>6</v>
      </c>
      <c r="Q546" t="s">
        <v>1171</v>
      </c>
      <c r="R546" t="s">
        <v>1172</v>
      </c>
      <c r="S546">
        <v>64</v>
      </c>
      <c r="T546" t="s">
        <v>83</v>
      </c>
      <c r="U546" t="s">
        <v>1173</v>
      </c>
      <c r="V546" t="s">
        <v>5</v>
      </c>
      <c r="W546">
        <v>9</v>
      </c>
      <c r="X546" t="s">
        <v>6</v>
      </c>
      <c r="Z546" t="s">
        <v>5</v>
      </c>
      <c r="AA546" t="s">
        <v>8</v>
      </c>
      <c r="AC546" t="s">
        <v>199</v>
      </c>
      <c r="AD546">
        <v>436</v>
      </c>
    </row>
    <row r="547" spans="1:30" x14ac:dyDescent="0.3">
      <c r="A547">
        <v>16571758</v>
      </c>
      <c r="B547" s="3">
        <v>45686</v>
      </c>
      <c r="C547">
        <v>2025</v>
      </c>
      <c r="D547">
        <v>1</v>
      </c>
      <c r="E547" t="s">
        <v>1579</v>
      </c>
      <c r="F547" t="s">
        <v>125</v>
      </c>
      <c r="G547" t="s">
        <v>10</v>
      </c>
      <c r="H547" t="b">
        <v>0</v>
      </c>
      <c r="I547" t="b">
        <v>0</v>
      </c>
      <c r="J547" t="b">
        <v>0</v>
      </c>
      <c r="K547" t="b">
        <v>0</v>
      </c>
      <c r="L547" t="s">
        <v>417</v>
      </c>
      <c r="M547" t="s">
        <v>417</v>
      </c>
      <c r="N547" t="s">
        <v>5</v>
      </c>
      <c r="O547" t="b">
        <v>0</v>
      </c>
      <c r="P547">
        <v>1</v>
      </c>
      <c r="Q547" t="s">
        <v>208</v>
      </c>
      <c r="R547" t="s">
        <v>286</v>
      </c>
      <c r="S547" t="s">
        <v>5</v>
      </c>
      <c r="T547" t="s">
        <v>5</v>
      </c>
      <c r="U547" t="s">
        <v>210</v>
      </c>
      <c r="V547" t="s">
        <v>5</v>
      </c>
      <c r="W547">
        <v>1</v>
      </c>
      <c r="X547" t="s">
        <v>31</v>
      </c>
      <c r="Y547">
        <v>81</v>
      </c>
      <c r="Z547" t="s">
        <v>196</v>
      </c>
      <c r="AA547" t="s">
        <v>8</v>
      </c>
      <c r="AC547" t="s">
        <v>32</v>
      </c>
      <c r="AD547">
        <v>423</v>
      </c>
    </row>
    <row r="548" spans="1:30" x14ac:dyDescent="0.3">
      <c r="A548">
        <v>16600082</v>
      </c>
      <c r="B548" s="3">
        <v>45663</v>
      </c>
      <c r="C548">
        <v>2025</v>
      </c>
      <c r="D548">
        <v>1</v>
      </c>
      <c r="E548" t="s">
        <v>1579</v>
      </c>
      <c r="F548" t="s">
        <v>0</v>
      </c>
      <c r="G548" t="s">
        <v>10</v>
      </c>
      <c r="H548" t="b">
        <v>0</v>
      </c>
      <c r="I548" t="b">
        <v>0</v>
      </c>
      <c r="J548" t="b">
        <v>0</v>
      </c>
      <c r="K548" t="b">
        <v>0</v>
      </c>
      <c r="L548" t="s">
        <v>2037</v>
      </c>
      <c r="M548" t="s">
        <v>990</v>
      </c>
      <c r="N548" t="s">
        <v>118</v>
      </c>
      <c r="O548" t="b">
        <v>0</v>
      </c>
      <c r="P548">
        <v>12</v>
      </c>
      <c r="Q548" t="s">
        <v>1039</v>
      </c>
      <c r="R548" t="s">
        <v>1040</v>
      </c>
      <c r="S548">
        <v>65</v>
      </c>
      <c r="T548" t="s">
        <v>83</v>
      </c>
      <c r="U548" t="s">
        <v>1041</v>
      </c>
      <c r="V548" t="s">
        <v>5</v>
      </c>
      <c r="W548">
        <v>18</v>
      </c>
      <c r="X548" t="s">
        <v>6</v>
      </c>
      <c r="Y548">
        <v>75</v>
      </c>
      <c r="Z548" t="s">
        <v>67</v>
      </c>
      <c r="AA548" t="s">
        <v>8</v>
      </c>
      <c r="AC548" t="s">
        <v>254</v>
      </c>
      <c r="AD548">
        <v>446</v>
      </c>
    </row>
    <row r="549" spans="1:30" x14ac:dyDescent="0.3">
      <c r="A549">
        <v>16601747</v>
      </c>
      <c r="B549" s="3">
        <v>45686</v>
      </c>
      <c r="C549">
        <v>2025</v>
      </c>
      <c r="D549">
        <v>1</v>
      </c>
      <c r="E549" t="s">
        <v>1579</v>
      </c>
      <c r="F549" t="s">
        <v>0</v>
      </c>
      <c r="G549" t="s">
        <v>1</v>
      </c>
      <c r="H549" t="b">
        <v>0</v>
      </c>
      <c r="I549" t="b">
        <v>1</v>
      </c>
      <c r="J549" t="b">
        <v>0</v>
      </c>
      <c r="K549" t="b">
        <v>0</v>
      </c>
      <c r="L549" t="s">
        <v>2038</v>
      </c>
      <c r="M549" t="s">
        <v>62</v>
      </c>
      <c r="N549" t="s">
        <v>5</v>
      </c>
      <c r="O549" t="b">
        <v>0</v>
      </c>
      <c r="P549">
        <v>16</v>
      </c>
      <c r="Q549" t="s">
        <v>502</v>
      </c>
      <c r="R549" t="s">
        <v>503</v>
      </c>
      <c r="S549">
        <v>42</v>
      </c>
      <c r="T549" t="s">
        <v>62</v>
      </c>
      <c r="U549" t="s">
        <v>325</v>
      </c>
      <c r="V549" t="s">
        <v>504</v>
      </c>
      <c r="W549">
        <v>73</v>
      </c>
      <c r="X549" t="s">
        <v>6</v>
      </c>
      <c r="Z549" t="s">
        <v>5</v>
      </c>
      <c r="AA549" t="s">
        <v>5</v>
      </c>
      <c r="AC549" t="s">
        <v>9</v>
      </c>
      <c r="AD549">
        <v>423</v>
      </c>
    </row>
    <row r="550" spans="1:30" x14ac:dyDescent="0.3">
      <c r="A550">
        <v>16601852</v>
      </c>
      <c r="B550" s="3">
        <v>45681</v>
      </c>
      <c r="C550">
        <v>2025</v>
      </c>
      <c r="D550">
        <v>1</v>
      </c>
      <c r="E550" t="s">
        <v>1579</v>
      </c>
      <c r="F550" t="s">
        <v>0</v>
      </c>
      <c r="G550" t="s">
        <v>10</v>
      </c>
      <c r="H550" t="b">
        <v>0</v>
      </c>
      <c r="I550" t="b">
        <v>0</v>
      </c>
      <c r="J550" t="b">
        <v>0</v>
      </c>
      <c r="K550" t="b">
        <v>0</v>
      </c>
      <c r="L550" t="s">
        <v>2039</v>
      </c>
      <c r="M550" t="s">
        <v>1401</v>
      </c>
      <c r="N550" t="s">
        <v>12</v>
      </c>
      <c r="O550" t="b">
        <v>1</v>
      </c>
      <c r="P550">
        <v>4</v>
      </c>
      <c r="Q550" t="s">
        <v>942</v>
      </c>
      <c r="R550" t="s">
        <v>943</v>
      </c>
      <c r="S550">
        <v>58</v>
      </c>
      <c r="T550" t="s">
        <v>83</v>
      </c>
      <c r="U550" t="s">
        <v>763</v>
      </c>
      <c r="V550" t="s">
        <v>944</v>
      </c>
      <c r="W550">
        <v>1</v>
      </c>
      <c r="X550" t="s">
        <v>31</v>
      </c>
      <c r="Z550" t="s">
        <v>5</v>
      </c>
      <c r="AA550" t="s">
        <v>5</v>
      </c>
      <c r="AC550" t="s">
        <v>32</v>
      </c>
      <c r="AD550">
        <v>428</v>
      </c>
    </row>
    <row r="551" spans="1:30" x14ac:dyDescent="0.3">
      <c r="A551">
        <v>16616363</v>
      </c>
      <c r="B551" s="3">
        <v>45671</v>
      </c>
      <c r="C551">
        <v>2025</v>
      </c>
      <c r="D551">
        <v>1</v>
      </c>
      <c r="E551" t="s">
        <v>1579</v>
      </c>
      <c r="F551" t="s">
        <v>125</v>
      </c>
      <c r="G551" t="s">
        <v>10</v>
      </c>
      <c r="H551" t="b">
        <v>0</v>
      </c>
      <c r="I551" t="b">
        <v>0</v>
      </c>
      <c r="J551" t="b">
        <v>0</v>
      </c>
      <c r="K551" t="b">
        <v>0</v>
      </c>
      <c r="L551" t="s">
        <v>2040</v>
      </c>
      <c r="M551" t="s">
        <v>599</v>
      </c>
      <c r="N551" t="s">
        <v>17</v>
      </c>
      <c r="O551" t="b">
        <v>0</v>
      </c>
      <c r="P551">
        <v>2</v>
      </c>
      <c r="Q551" t="s">
        <v>1158</v>
      </c>
      <c r="R551" t="s">
        <v>5</v>
      </c>
      <c r="S551" t="s">
        <v>5</v>
      </c>
      <c r="T551" t="s">
        <v>283</v>
      </c>
      <c r="U551" t="s">
        <v>5</v>
      </c>
      <c r="V551" t="s">
        <v>5</v>
      </c>
      <c r="W551">
        <v>3</v>
      </c>
      <c r="X551" t="s">
        <v>14</v>
      </c>
      <c r="Z551" t="s">
        <v>5</v>
      </c>
      <c r="AA551" t="s">
        <v>8</v>
      </c>
      <c r="AC551" t="s">
        <v>32</v>
      </c>
      <c r="AD551">
        <v>438</v>
      </c>
    </row>
    <row r="552" spans="1:30" x14ac:dyDescent="0.3">
      <c r="A552">
        <v>16617135</v>
      </c>
      <c r="B552" s="3">
        <v>45667</v>
      </c>
      <c r="C552">
        <v>2025</v>
      </c>
      <c r="D552">
        <v>1</v>
      </c>
      <c r="E552" t="s">
        <v>1579</v>
      </c>
      <c r="F552" t="s">
        <v>0</v>
      </c>
      <c r="G552" t="s">
        <v>10</v>
      </c>
      <c r="H552" t="b">
        <v>0</v>
      </c>
      <c r="I552" t="b">
        <v>0</v>
      </c>
      <c r="J552" t="b">
        <v>0</v>
      </c>
      <c r="K552" t="b">
        <v>0</v>
      </c>
      <c r="L552" t="s">
        <v>856</v>
      </c>
      <c r="M552" t="s">
        <v>856</v>
      </c>
      <c r="N552" t="s">
        <v>5</v>
      </c>
      <c r="O552" t="b">
        <v>0</v>
      </c>
      <c r="P552">
        <v>1</v>
      </c>
      <c r="Q552" t="s">
        <v>1560</v>
      </c>
      <c r="R552" t="s">
        <v>1561</v>
      </c>
      <c r="S552">
        <v>42</v>
      </c>
      <c r="T552" t="s">
        <v>5</v>
      </c>
      <c r="U552" t="s">
        <v>106</v>
      </c>
      <c r="V552" t="s">
        <v>5</v>
      </c>
      <c r="W552">
        <v>1</v>
      </c>
      <c r="X552" t="s">
        <v>31</v>
      </c>
      <c r="Z552" t="s">
        <v>5</v>
      </c>
      <c r="AA552" t="s">
        <v>5</v>
      </c>
      <c r="AC552" t="s">
        <v>20</v>
      </c>
      <c r="AD552">
        <v>442</v>
      </c>
    </row>
    <row r="553" spans="1:30" x14ac:dyDescent="0.3">
      <c r="A553">
        <v>16623347</v>
      </c>
      <c r="B553" s="3">
        <v>45664</v>
      </c>
      <c r="C553">
        <v>2025</v>
      </c>
      <c r="D553">
        <v>1</v>
      </c>
      <c r="E553" t="s">
        <v>1579</v>
      </c>
      <c r="F553" t="s">
        <v>0</v>
      </c>
      <c r="G553" t="s">
        <v>1</v>
      </c>
      <c r="H553" t="b">
        <v>0</v>
      </c>
      <c r="I553" t="b">
        <v>1</v>
      </c>
      <c r="J553" t="b">
        <v>0</v>
      </c>
      <c r="K553" t="b">
        <v>0</v>
      </c>
      <c r="L553" t="s">
        <v>2041</v>
      </c>
      <c r="M553" t="s">
        <v>712</v>
      </c>
      <c r="N553" t="s">
        <v>63</v>
      </c>
      <c r="O553" t="b">
        <v>0</v>
      </c>
      <c r="P553">
        <v>3</v>
      </c>
      <c r="Q553" t="s">
        <v>1158</v>
      </c>
      <c r="R553" t="s">
        <v>5</v>
      </c>
      <c r="S553" t="s">
        <v>5</v>
      </c>
      <c r="T553" t="s">
        <v>283</v>
      </c>
      <c r="U553" t="s">
        <v>5</v>
      </c>
      <c r="V553" t="s">
        <v>5</v>
      </c>
      <c r="W553">
        <v>2</v>
      </c>
      <c r="X553" t="s">
        <v>14</v>
      </c>
      <c r="Y553">
        <v>69</v>
      </c>
      <c r="Z553" t="s">
        <v>67</v>
      </c>
      <c r="AA553" t="s">
        <v>8</v>
      </c>
      <c r="AB553">
        <v>66.667000000000002</v>
      </c>
      <c r="AC553" t="s">
        <v>32</v>
      </c>
      <c r="AD553">
        <v>445</v>
      </c>
    </row>
    <row r="554" spans="1:30" x14ac:dyDescent="0.3">
      <c r="A554">
        <v>16624523</v>
      </c>
      <c r="B554" s="3">
        <v>45678</v>
      </c>
      <c r="C554">
        <v>2025</v>
      </c>
      <c r="D554">
        <v>1</v>
      </c>
      <c r="E554" t="s">
        <v>1579</v>
      </c>
      <c r="F554" t="s">
        <v>125</v>
      </c>
      <c r="G554" t="s">
        <v>10</v>
      </c>
      <c r="H554" t="b">
        <v>0</v>
      </c>
      <c r="I554" t="b">
        <v>0</v>
      </c>
      <c r="J554" t="b">
        <v>0</v>
      </c>
      <c r="K554" t="b">
        <v>0</v>
      </c>
      <c r="L554" t="s">
        <v>2042</v>
      </c>
      <c r="M554" t="s">
        <v>682</v>
      </c>
      <c r="N554" t="s">
        <v>5</v>
      </c>
      <c r="O554" t="b">
        <v>0</v>
      </c>
      <c r="P554">
        <v>3</v>
      </c>
      <c r="Q554" t="s">
        <v>853</v>
      </c>
      <c r="R554" t="s">
        <v>854</v>
      </c>
      <c r="S554">
        <v>58</v>
      </c>
      <c r="T554" t="s">
        <v>855</v>
      </c>
      <c r="U554" t="s">
        <v>834</v>
      </c>
      <c r="V554" t="s">
        <v>5</v>
      </c>
      <c r="W554">
        <v>6</v>
      </c>
      <c r="X554" t="s">
        <v>6</v>
      </c>
      <c r="Z554" t="s">
        <v>5</v>
      </c>
      <c r="AA554" t="s">
        <v>5</v>
      </c>
      <c r="AC554" t="s">
        <v>32</v>
      </c>
      <c r="AD554">
        <v>431</v>
      </c>
    </row>
    <row r="555" spans="1:30" x14ac:dyDescent="0.3">
      <c r="A555">
        <v>16630995</v>
      </c>
      <c r="B555" s="3">
        <v>45674</v>
      </c>
      <c r="C555">
        <v>2025</v>
      </c>
      <c r="D555">
        <v>1</v>
      </c>
      <c r="E555" t="s">
        <v>1579</v>
      </c>
      <c r="F555" t="s">
        <v>0</v>
      </c>
      <c r="G555" t="s">
        <v>16</v>
      </c>
      <c r="H555" t="b">
        <v>0</v>
      </c>
      <c r="I555" t="b">
        <v>1</v>
      </c>
      <c r="J555" t="b">
        <v>1</v>
      </c>
      <c r="K555" t="b">
        <v>0</v>
      </c>
      <c r="L555" t="s">
        <v>2043</v>
      </c>
      <c r="M555" t="s">
        <v>545</v>
      </c>
      <c r="N555" t="s">
        <v>70</v>
      </c>
      <c r="O555" t="b">
        <v>0</v>
      </c>
      <c r="P555">
        <v>40</v>
      </c>
      <c r="Q555" t="s">
        <v>815</v>
      </c>
      <c r="R555" t="s">
        <v>816</v>
      </c>
      <c r="S555">
        <v>48</v>
      </c>
      <c r="T555" t="s">
        <v>1120</v>
      </c>
      <c r="U555" t="s">
        <v>4</v>
      </c>
      <c r="V555" t="s">
        <v>5</v>
      </c>
      <c r="W555">
        <v>22</v>
      </c>
      <c r="X555" t="s">
        <v>6</v>
      </c>
      <c r="Y555">
        <v>79</v>
      </c>
      <c r="Z555" t="s">
        <v>67</v>
      </c>
      <c r="AA555" t="s">
        <v>8</v>
      </c>
      <c r="AB555">
        <v>55</v>
      </c>
      <c r="AC555" t="s">
        <v>101</v>
      </c>
      <c r="AD555">
        <v>435</v>
      </c>
    </row>
    <row r="556" spans="1:30" x14ac:dyDescent="0.3">
      <c r="A556">
        <v>16642696</v>
      </c>
      <c r="B556" s="3">
        <v>45672</v>
      </c>
      <c r="C556">
        <v>2025</v>
      </c>
      <c r="D556">
        <v>1</v>
      </c>
      <c r="E556" t="s">
        <v>1579</v>
      </c>
      <c r="F556" t="s">
        <v>125</v>
      </c>
      <c r="G556" t="s">
        <v>10</v>
      </c>
      <c r="H556" t="b">
        <v>0</v>
      </c>
      <c r="I556" t="b">
        <v>0</v>
      </c>
      <c r="J556" t="b">
        <v>0</v>
      </c>
      <c r="K556" t="b">
        <v>0</v>
      </c>
      <c r="L556" t="s">
        <v>2044</v>
      </c>
      <c r="M556" t="s">
        <v>1398</v>
      </c>
      <c r="N556" t="s">
        <v>5</v>
      </c>
      <c r="O556" t="b">
        <v>0</v>
      </c>
      <c r="P556">
        <v>4</v>
      </c>
      <c r="Q556" t="s">
        <v>208</v>
      </c>
      <c r="R556" t="s">
        <v>209</v>
      </c>
      <c r="S556">
        <v>48</v>
      </c>
      <c r="T556" t="s">
        <v>80</v>
      </c>
      <c r="U556" t="s">
        <v>210</v>
      </c>
      <c r="V556" t="s">
        <v>5</v>
      </c>
      <c r="W556">
        <v>3</v>
      </c>
      <c r="X556" t="s">
        <v>14</v>
      </c>
      <c r="Y556">
        <v>71</v>
      </c>
      <c r="Z556" t="s">
        <v>67</v>
      </c>
      <c r="AA556" t="s">
        <v>8</v>
      </c>
      <c r="AC556" t="s">
        <v>32</v>
      </c>
      <c r="AD556">
        <v>437</v>
      </c>
    </row>
    <row r="557" spans="1:30" x14ac:dyDescent="0.3">
      <c r="A557">
        <v>16653223</v>
      </c>
      <c r="B557" s="3">
        <v>45672</v>
      </c>
      <c r="C557">
        <v>2025</v>
      </c>
      <c r="D557">
        <v>1</v>
      </c>
      <c r="E557" t="s">
        <v>1579</v>
      </c>
      <c r="F557" t="s">
        <v>0</v>
      </c>
      <c r="G557" t="s">
        <v>1</v>
      </c>
      <c r="H557" t="b">
        <v>0</v>
      </c>
      <c r="I557" t="b">
        <v>1</v>
      </c>
      <c r="J557" t="b">
        <v>0</v>
      </c>
      <c r="K557" t="b">
        <v>0</v>
      </c>
      <c r="L557" t="s">
        <v>2045</v>
      </c>
      <c r="M557" t="s">
        <v>1367</v>
      </c>
      <c r="N557" t="s">
        <v>57</v>
      </c>
      <c r="O557" t="b">
        <v>1</v>
      </c>
      <c r="P557">
        <v>6</v>
      </c>
      <c r="Q557" t="s">
        <v>289</v>
      </c>
      <c r="R557" t="s">
        <v>290</v>
      </c>
      <c r="S557" t="s">
        <v>5</v>
      </c>
      <c r="T557" t="s">
        <v>291</v>
      </c>
      <c r="U557" t="s">
        <v>271</v>
      </c>
      <c r="V557" t="s">
        <v>292</v>
      </c>
      <c r="W557">
        <v>8</v>
      </c>
      <c r="X557" t="s">
        <v>6</v>
      </c>
      <c r="Y557">
        <v>53</v>
      </c>
      <c r="Z557" t="s">
        <v>7</v>
      </c>
      <c r="AA557" t="s">
        <v>15</v>
      </c>
      <c r="AC557" t="s">
        <v>9</v>
      </c>
      <c r="AD557">
        <v>437</v>
      </c>
    </row>
    <row r="558" spans="1:30" x14ac:dyDescent="0.3">
      <c r="A558">
        <v>16668244</v>
      </c>
      <c r="B558" s="3">
        <v>45663</v>
      </c>
      <c r="C558">
        <v>2025</v>
      </c>
      <c r="D558">
        <v>1</v>
      </c>
      <c r="E558" t="s">
        <v>1579</v>
      </c>
      <c r="F558" t="s">
        <v>125</v>
      </c>
      <c r="G558" t="s">
        <v>10</v>
      </c>
      <c r="H558" t="b">
        <v>0</v>
      </c>
      <c r="I558" t="b">
        <v>0</v>
      </c>
      <c r="J558" t="b">
        <v>0</v>
      </c>
      <c r="K558" t="b">
        <v>0</v>
      </c>
      <c r="L558" t="s">
        <v>2046</v>
      </c>
      <c r="M558" t="s">
        <v>655</v>
      </c>
      <c r="N558" t="s">
        <v>5</v>
      </c>
      <c r="O558" t="b">
        <v>0</v>
      </c>
      <c r="P558">
        <v>4</v>
      </c>
      <c r="Q558" t="s">
        <v>208</v>
      </c>
      <c r="R558" t="s">
        <v>286</v>
      </c>
      <c r="S558">
        <v>48</v>
      </c>
      <c r="T558" t="s">
        <v>80</v>
      </c>
      <c r="U558" t="s">
        <v>210</v>
      </c>
      <c r="V558" t="s">
        <v>5</v>
      </c>
      <c r="W558">
        <v>1</v>
      </c>
      <c r="X558" t="s">
        <v>31</v>
      </c>
      <c r="Y558">
        <v>63</v>
      </c>
      <c r="Z558" t="s">
        <v>7</v>
      </c>
      <c r="AA558" t="s">
        <v>8</v>
      </c>
      <c r="AC558" t="s">
        <v>32</v>
      </c>
      <c r="AD558">
        <v>446</v>
      </c>
    </row>
    <row r="559" spans="1:30" x14ac:dyDescent="0.3">
      <c r="A559">
        <v>16671337</v>
      </c>
      <c r="B559" s="3">
        <v>45680</v>
      </c>
      <c r="C559">
        <v>2025</v>
      </c>
      <c r="D559">
        <v>1</v>
      </c>
      <c r="E559" t="s">
        <v>1579</v>
      </c>
      <c r="F559" t="s">
        <v>0</v>
      </c>
      <c r="G559" t="s">
        <v>197</v>
      </c>
      <c r="H559" t="b">
        <v>1</v>
      </c>
      <c r="I559" t="b">
        <v>1</v>
      </c>
      <c r="J559" t="b">
        <v>0</v>
      </c>
      <c r="K559" t="b">
        <v>0</v>
      </c>
      <c r="L559" t="s">
        <v>2047</v>
      </c>
      <c r="M559" t="s">
        <v>206</v>
      </c>
      <c r="N559" t="s">
        <v>140</v>
      </c>
      <c r="O559" t="b">
        <v>0</v>
      </c>
      <c r="P559">
        <v>17</v>
      </c>
      <c r="Q559" t="s">
        <v>289</v>
      </c>
      <c r="R559" t="s">
        <v>290</v>
      </c>
      <c r="S559" t="s">
        <v>5</v>
      </c>
      <c r="T559" t="s">
        <v>291</v>
      </c>
      <c r="U559" t="s">
        <v>271</v>
      </c>
      <c r="V559" t="s">
        <v>292</v>
      </c>
      <c r="W559">
        <v>6</v>
      </c>
      <c r="X559" t="s">
        <v>6</v>
      </c>
      <c r="Y559">
        <v>81</v>
      </c>
      <c r="Z559" t="s">
        <v>196</v>
      </c>
      <c r="AA559" t="s">
        <v>15</v>
      </c>
      <c r="AB559">
        <v>60</v>
      </c>
      <c r="AC559" t="s">
        <v>377</v>
      </c>
      <c r="AD559">
        <v>429</v>
      </c>
    </row>
    <row r="560" spans="1:30" x14ac:dyDescent="0.3">
      <c r="A560">
        <v>16675687</v>
      </c>
      <c r="B560" s="3">
        <v>45666</v>
      </c>
      <c r="C560">
        <v>2025</v>
      </c>
      <c r="D560">
        <v>1</v>
      </c>
      <c r="E560" t="s">
        <v>1579</v>
      </c>
      <c r="F560" t="s">
        <v>0</v>
      </c>
      <c r="G560" t="s">
        <v>68</v>
      </c>
      <c r="H560" t="b">
        <v>0</v>
      </c>
      <c r="I560" t="b">
        <v>1</v>
      </c>
      <c r="J560" t="b">
        <v>1</v>
      </c>
      <c r="K560" t="b">
        <v>1</v>
      </c>
      <c r="L560" t="s">
        <v>2048</v>
      </c>
      <c r="M560" t="s">
        <v>255</v>
      </c>
      <c r="N560" t="s">
        <v>118</v>
      </c>
      <c r="O560" t="b">
        <v>0</v>
      </c>
      <c r="P560">
        <v>10</v>
      </c>
      <c r="Q560" t="s">
        <v>320</v>
      </c>
      <c r="R560" t="s">
        <v>321</v>
      </c>
      <c r="S560">
        <v>65</v>
      </c>
      <c r="T560" t="s">
        <v>594</v>
      </c>
      <c r="U560" t="s">
        <v>4</v>
      </c>
      <c r="V560" t="s">
        <v>322</v>
      </c>
      <c r="W560">
        <v>21</v>
      </c>
      <c r="X560" t="s">
        <v>6</v>
      </c>
      <c r="Z560" t="s">
        <v>5</v>
      </c>
      <c r="AA560" t="s">
        <v>15</v>
      </c>
      <c r="AB560">
        <v>90</v>
      </c>
      <c r="AC560" t="s">
        <v>56</v>
      </c>
      <c r="AD560">
        <v>443</v>
      </c>
    </row>
    <row r="561" spans="1:30" x14ac:dyDescent="0.3">
      <c r="A561">
        <v>16714308</v>
      </c>
      <c r="B561" s="3">
        <v>45663</v>
      </c>
      <c r="C561">
        <v>2025</v>
      </c>
      <c r="D561">
        <v>1</v>
      </c>
      <c r="E561" t="s">
        <v>1579</v>
      </c>
      <c r="F561" t="s">
        <v>0</v>
      </c>
      <c r="G561" t="s">
        <v>1</v>
      </c>
      <c r="H561" t="b">
        <v>0</v>
      </c>
      <c r="I561" t="b">
        <v>1</v>
      </c>
      <c r="J561" t="b">
        <v>0</v>
      </c>
      <c r="K561" t="b">
        <v>0</v>
      </c>
      <c r="L561" t="s">
        <v>2049</v>
      </c>
      <c r="M561" t="s">
        <v>2050</v>
      </c>
      <c r="N561" t="s">
        <v>57</v>
      </c>
      <c r="O561" t="b">
        <v>1</v>
      </c>
      <c r="P561">
        <v>4</v>
      </c>
      <c r="Q561" t="s">
        <v>227</v>
      </c>
      <c r="R561" t="s">
        <v>256</v>
      </c>
      <c r="S561">
        <v>65</v>
      </c>
      <c r="T561" t="s">
        <v>237</v>
      </c>
      <c r="U561" t="s">
        <v>258</v>
      </c>
      <c r="V561" t="s">
        <v>259</v>
      </c>
      <c r="W561">
        <v>3</v>
      </c>
      <c r="X561" t="s">
        <v>14</v>
      </c>
      <c r="Y561">
        <v>43</v>
      </c>
      <c r="Z561" t="s">
        <v>7</v>
      </c>
      <c r="AA561" t="s">
        <v>8</v>
      </c>
      <c r="AC561" t="s">
        <v>9</v>
      </c>
      <c r="AD561">
        <v>446</v>
      </c>
    </row>
    <row r="562" spans="1:30" x14ac:dyDescent="0.3">
      <c r="A562">
        <v>16717048</v>
      </c>
      <c r="B562" s="3">
        <v>45677</v>
      </c>
      <c r="C562">
        <v>2025</v>
      </c>
      <c r="D562">
        <v>1</v>
      </c>
      <c r="E562" t="s">
        <v>1579</v>
      </c>
      <c r="F562" t="s">
        <v>0</v>
      </c>
      <c r="G562" t="s">
        <v>10</v>
      </c>
      <c r="H562" t="b">
        <v>0</v>
      </c>
      <c r="I562" t="b">
        <v>0</v>
      </c>
      <c r="J562" t="b">
        <v>0</v>
      </c>
      <c r="K562" t="b">
        <v>0</v>
      </c>
      <c r="L562" t="s">
        <v>2051</v>
      </c>
      <c r="M562" t="s">
        <v>1310</v>
      </c>
      <c r="N562" t="s">
        <v>63</v>
      </c>
      <c r="O562" t="b">
        <v>0</v>
      </c>
      <c r="P562">
        <v>8</v>
      </c>
      <c r="Q562" t="s">
        <v>824</v>
      </c>
      <c r="R562" t="s">
        <v>825</v>
      </c>
      <c r="S562" t="s">
        <v>5</v>
      </c>
      <c r="T562" t="s">
        <v>826</v>
      </c>
      <c r="U562" t="s">
        <v>271</v>
      </c>
      <c r="V562" t="s">
        <v>827</v>
      </c>
      <c r="W562">
        <v>9</v>
      </c>
      <c r="X562" t="s">
        <v>6</v>
      </c>
      <c r="Y562">
        <v>39</v>
      </c>
      <c r="Z562" t="s">
        <v>61</v>
      </c>
      <c r="AA562" t="s">
        <v>8</v>
      </c>
      <c r="AC562" t="s">
        <v>32</v>
      </c>
      <c r="AD562">
        <v>432</v>
      </c>
    </row>
    <row r="563" spans="1:30" x14ac:dyDescent="0.3">
      <c r="A563">
        <v>16720556</v>
      </c>
      <c r="B563" s="3">
        <v>45688</v>
      </c>
      <c r="C563">
        <v>2025</v>
      </c>
      <c r="D563">
        <v>1</v>
      </c>
      <c r="E563" t="s">
        <v>1579</v>
      </c>
      <c r="F563" t="s">
        <v>0</v>
      </c>
      <c r="G563" t="s">
        <v>10</v>
      </c>
      <c r="H563" t="b">
        <v>0</v>
      </c>
      <c r="I563" t="b">
        <v>0</v>
      </c>
      <c r="J563" t="b">
        <v>0</v>
      </c>
      <c r="K563" t="b">
        <v>0</v>
      </c>
      <c r="L563" t="s">
        <v>2052</v>
      </c>
      <c r="M563" t="s">
        <v>2053</v>
      </c>
      <c r="N563" t="s">
        <v>2</v>
      </c>
      <c r="O563" t="b">
        <v>1</v>
      </c>
      <c r="P563">
        <v>4</v>
      </c>
      <c r="Q563" t="s">
        <v>141</v>
      </c>
      <c r="R563" t="s">
        <v>142</v>
      </c>
      <c r="S563">
        <v>48</v>
      </c>
      <c r="T563" t="s">
        <v>143</v>
      </c>
      <c r="U563" t="s">
        <v>144</v>
      </c>
      <c r="V563" t="s">
        <v>5</v>
      </c>
      <c r="W563">
        <v>49</v>
      </c>
      <c r="X563" t="s">
        <v>6</v>
      </c>
      <c r="Z563" t="s">
        <v>5</v>
      </c>
      <c r="AA563" t="s">
        <v>8</v>
      </c>
      <c r="AC563" t="s">
        <v>32</v>
      </c>
      <c r="AD563">
        <v>421</v>
      </c>
    </row>
    <row r="564" spans="1:30" x14ac:dyDescent="0.3">
      <c r="A564">
        <v>16725164</v>
      </c>
      <c r="B564" s="3">
        <v>45679</v>
      </c>
      <c r="C564">
        <v>2025</v>
      </c>
      <c r="D564">
        <v>1</v>
      </c>
      <c r="E564" t="s">
        <v>1579</v>
      </c>
      <c r="F564" t="s">
        <v>0</v>
      </c>
      <c r="G564" t="s">
        <v>10</v>
      </c>
      <c r="H564" t="b">
        <v>0</v>
      </c>
      <c r="I564" t="b">
        <v>0</v>
      </c>
      <c r="J564" t="b">
        <v>0</v>
      </c>
      <c r="K564" t="b">
        <v>0</v>
      </c>
      <c r="L564" t="s">
        <v>2054</v>
      </c>
      <c r="M564" t="s">
        <v>895</v>
      </c>
      <c r="N564" t="s">
        <v>57</v>
      </c>
      <c r="O564" t="b">
        <v>1</v>
      </c>
      <c r="P564">
        <v>4</v>
      </c>
      <c r="Q564" t="s">
        <v>542</v>
      </c>
      <c r="R564" t="s">
        <v>5</v>
      </c>
      <c r="S564" t="s">
        <v>5</v>
      </c>
      <c r="T564" t="s">
        <v>902</v>
      </c>
      <c r="U564" t="s">
        <v>5</v>
      </c>
      <c r="V564" t="s">
        <v>5</v>
      </c>
      <c r="W564">
        <v>8</v>
      </c>
      <c r="X564" t="s">
        <v>6</v>
      </c>
      <c r="Z564" t="s">
        <v>5</v>
      </c>
      <c r="AA564" t="s">
        <v>8</v>
      </c>
      <c r="AB564">
        <v>68.027000000000001</v>
      </c>
      <c r="AC564" t="s">
        <v>32</v>
      </c>
      <c r="AD564">
        <v>430</v>
      </c>
    </row>
    <row r="565" spans="1:30" x14ac:dyDescent="0.3">
      <c r="A565">
        <v>16728419</v>
      </c>
      <c r="B565" s="3">
        <v>45671</v>
      </c>
      <c r="C565">
        <v>2025</v>
      </c>
      <c r="D565">
        <v>1</v>
      </c>
      <c r="E565" t="s">
        <v>1579</v>
      </c>
      <c r="F565" t="s">
        <v>0</v>
      </c>
      <c r="G565" t="s">
        <v>10</v>
      </c>
      <c r="H565" t="b">
        <v>0</v>
      </c>
      <c r="I565" t="b">
        <v>0</v>
      </c>
      <c r="J565" t="b">
        <v>0</v>
      </c>
      <c r="K565" t="b">
        <v>0</v>
      </c>
      <c r="L565" t="s">
        <v>2055</v>
      </c>
      <c r="M565" t="s">
        <v>1218</v>
      </c>
      <c r="N565" t="s">
        <v>2</v>
      </c>
      <c r="O565" t="b">
        <v>1</v>
      </c>
      <c r="P565">
        <v>25</v>
      </c>
      <c r="Q565" t="s">
        <v>135</v>
      </c>
      <c r="R565" t="s">
        <v>136</v>
      </c>
      <c r="S565">
        <v>58</v>
      </c>
      <c r="T565" t="s">
        <v>62</v>
      </c>
      <c r="U565" t="s">
        <v>81</v>
      </c>
      <c r="V565" t="s">
        <v>137</v>
      </c>
      <c r="W565">
        <v>32</v>
      </c>
      <c r="X565" t="s">
        <v>6</v>
      </c>
      <c r="Y565">
        <v>34</v>
      </c>
      <c r="Z565" t="s">
        <v>61</v>
      </c>
      <c r="AA565" t="s">
        <v>8</v>
      </c>
      <c r="AC565" t="s">
        <v>9</v>
      </c>
      <c r="AD565">
        <v>438</v>
      </c>
    </row>
    <row r="566" spans="1:30" x14ac:dyDescent="0.3">
      <c r="A566">
        <v>16738036</v>
      </c>
      <c r="B566" s="3">
        <v>45686</v>
      </c>
      <c r="C566">
        <v>2025</v>
      </c>
      <c r="D566">
        <v>1</v>
      </c>
      <c r="E566" t="s">
        <v>1579</v>
      </c>
      <c r="F566" t="s">
        <v>0</v>
      </c>
      <c r="G566" t="s">
        <v>197</v>
      </c>
      <c r="H566" t="b">
        <v>1</v>
      </c>
      <c r="I566" t="b">
        <v>1</v>
      </c>
      <c r="J566" t="b">
        <v>0</v>
      </c>
      <c r="K566" t="b">
        <v>0</v>
      </c>
      <c r="L566" t="s">
        <v>2056</v>
      </c>
      <c r="M566" t="s">
        <v>760</v>
      </c>
      <c r="N566" t="s">
        <v>63</v>
      </c>
      <c r="O566" t="b">
        <v>0</v>
      </c>
      <c r="P566">
        <v>25</v>
      </c>
      <c r="Q566" t="s">
        <v>389</v>
      </c>
      <c r="R566" t="s">
        <v>390</v>
      </c>
      <c r="S566">
        <v>65</v>
      </c>
      <c r="T566" t="s">
        <v>257</v>
      </c>
      <c r="U566" t="s">
        <v>391</v>
      </c>
      <c r="V566" t="s">
        <v>392</v>
      </c>
      <c r="W566">
        <v>17</v>
      </c>
      <c r="X566" t="s">
        <v>6</v>
      </c>
      <c r="Y566">
        <v>57</v>
      </c>
      <c r="Z566" t="s">
        <v>7</v>
      </c>
      <c r="AA566" t="s">
        <v>15</v>
      </c>
      <c r="AC566" t="s">
        <v>828</v>
      </c>
      <c r="AD566">
        <v>423</v>
      </c>
    </row>
    <row r="567" spans="1:30" x14ac:dyDescent="0.3">
      <c r="A567">
        <v>16744689</v>
      </c>
      <c r="B567" s="3">
        <v>45688</v>
      </c>
      <c r="C567">
        <v>2025</v>
      </c>
      <c r="D567">
        <v>1</v>
      </c>
      <c r="E567" t="s">
        <v>1579</v>
      </c>
      <c r="F567" t="s">
        <v>0</v>
      </c>
      <c r="G567" t="s">
        <v>10</v>
      </c>
      <c r="H567" t="b">
        <v>0</v>
      </c>
      <c r="I567" t="b">
        <v>0</v>
      </c>
      <c r="J567" t="b">
        <v>0</v>
      </c>
      <c r="K567" t="b">
        <v>0</v>
      </c>
      <c r="L567" t="s">
        <v>2057</v>
      </c>
      <c r="M567" t="s">
        <v>448</v>
      </c>
      <c r="N567" t="s">
        <v>5</v>
      </c>
      <c r="O567" t="b">
        <v>0</v>
      </c>
      <c r="P567">
        <v>2</v>
      </c>
      <c r="Q567" t="s">
        <v>1456</v>
      </c>
      <c r="R567" t="s">
        <v>1457</v>
      </c>
      <c r="S567">
        <v>64</v>
      </c>
      <c r="T567" t="s">
        <v>83</v>
      </c>
      <c r="U567" t="s">
        <v>1458</v>
      </c>
      <c r="V567" t="s">
        <v>5</v>
      </c>
      <c r="W567">
        <v>1</v>
      </c>
      <c r="X567" t="s">
        <v>31</v>
      </c>
      <c r="Z567" t="s">
        <v>5</v>
      </c>
      <c r="AA567" t="s">
        <v>5</v>
      </c>
      <c r="AC567" t="s">
        <v>32</v>
      </c>
      <c r="AD567">
        <v>421</v>
      </c>
    </row>
    <row r="568" spans="1:30" x14ac:dyDescent="0.3">
      <c r="A568">
        <v>16745888</v>
      </c>
      <c r="B568" s="3">
        <v>45679</v>
      </c>
      <c r="C568">
        <v>2025</v>
      </c>
      <c r="D568">
        <v>1</v>
      </c>
      <c r="E568" t="s">
        <v>1579</v>
      </c>
      <c r="F568" t="s">
        <v>0</v>
      </c>
      <c r="G568" t="s">
        <v>10</v>
      </c>
      <c r="H568" t="b">
        <v>0</v>
      </c>
      <c r="I568" t="b">
        <v>0</v>
      </c>
      <c r="J568" t="b">
        <v>0</v>
      </c>
      <c r="K568" t="b">
        <v>0</v>
      </c>
      <c r="L568" t="s">
        <v>2058</v>
      </c>
      <c r="M568" t="s">
        <v>216</v>
      </c>
      <c r="N568" t="s">
        <v>70</v>
      </c>
      <c r="O568" t="b">
        <v>0</v>
      </c>
      <c r="P568">
        <v>21</v>
      </c>
      <c r="Q568" t="s">
        <v>135</v>
      </c>
      <c r="R568" t="s">
        <v>136</v>
      </c>
      <c r="S568">
        <v>58</v>
      </c>
      <c r="T568" t="s">
        <v>299</v>
      </c>
      <c r="U568" t="s">
        <v>81</v>
      </c>
      <c r="V568" t="s">
        <v>137</v>
      </c>
      <c r="W568">
        <v>20</v>
      </c>
      <c r="X568" t="s">
        <v>6</v>
      </c>
      <c r="Y568">
        <v>17</v>
      </c>
      <c r="Z568" t="s">
        <v>19</v>
      </c>
      <c r="AA568" t="s">
        <v>8</v>
      </c>
      <c r="AC568" t="s">
        <v>9</v>
      </c>
      <c r="AD568">
        <v>430</v>
      </c>
    </row>
    <row r="569" spans="1:30" x14ac:dyDescent="0.3">
      <c r="A569">
        <v>16752868</v>
      </c>
      <c r="B569" s="3">
        <v>45686</v>
      </c>
      <c r="C569">
        <v>2025</v>
      </c>
      <c r="D569">
        <v>1</v>
      </c>
      <c r="E569" t="s">
        <v>1579</v>
      </c>
      <c r="F569" t="s">
        <v>0</v>
      </c>
      <c r="G569" t="s">
        <v>50</v>
      </c>
      <c r="H569" t="b">
        <v>1</v>
      </c>
      <c r="I569" t="b">
        <v>0</v>
      </c>
      <c r="J569" t="b">
        <v>0</v>
      </c>
      <c r="K569" t="b">
        <v>0</v>
      </c>
      <c r="L569" t="s">
        <v>2059</v>
      </c>
      <c r="M569" t="s">
        <v>217</v>
      </c>
      <c r="N569" t="s">
        <v>5</v>
      </c>
      <c r="O569" t="b">
        <v>0</v>
      </c>
      <c r="P569">
        <v>2</v>
      </c>
      <c r="Q569" t="s">
        <v>410</v>
      </c>
      <c r="R569" t="s">
        <v>544</v>
      </c>
      <c r="S569">
        <v>40</v>
      </c>
      <c r="T569" t="s">
        <v>2060</v>
      </c>
      <c r="U569" t="s">
        <v>81</v>
      </c>
      <c r="V569" t="s">
        <v>411</v>
      </c>
      <c r="W569">
        <v>2</v>
      </c>
      <c r="X569" t="s">
        <v>14</v>
      </c>
      <c r="Y569">
        <v>17</v>
      </c>
      <c r="Z569" t="s">
        <v>19</v>
      </c>
      <c r="AA569" t="s">
        <v>8</v>
      </c>
      <c r="AC569" t="s">
        <v>20</v>
      </c>
      <c r="AD569">
        <v>423</v>
      </c>
    </row>
    <row r="570" spans="1:30" x14ac:dyDescent="0.3">
      <c r="A570">
        <v>16758904</v>
      </c>
      <c r="B570" s="3">
        <v>45673</v>
      </c>
      <c r="C570">
        <v>2025</v>
      </c>
      <c r="D570">
        <v>1</v>
      </c>
      <c r="E570" t="s">
        <v>1579</v>
      </c>
      <c r="F570" t="s">
        <v>0</v>
      </c>
      <c r="G570" t="s">
        <v>1</v>
      </c>
      <c r="H570" t="b">
        <v>0</v>
      </c>
      <c r="I570" t="b">
        <v>1</v>
      </c>
      <c r="J570" t="b">
        <v>0</v>
      </c>
      <c r="K570" t="b">
        <v>0</v>
      </c>
      <c r="L570" t="s">
        <v>2061</v>
      </c>
      <c r="M570" t="s">
        <v>276</v>
      </c>
      <c r="N570" t="s">
        <v>70</v>
      </c>
      <c r="O570" t="b">
        <v>0</v>
      </c>
      <c r="P570">
        <v>23</v>
      </c>
      <c r="Q570" t="s">
        <v>611</v>
      </c>
      <c r="R570" t="s">
        <v>612</v>
      </c>
      <c r="S570">
        <v>42</v>
      </c>
      <c r="T570" t="s">
        <v>291</v>
      </c>
      <c r="U570" t="s">
        <v>29</v>
      </c>
      <c r="V570" t="s">
        <v>130</v>
      </c>
      <c r="W570">
        <v>38</v>
      </c>
      <c r="X570" t="s">
        <v>6</v>
      </c>
      <c r="Z570" t="s">
        <v>5</v>
      </c>
      <c r="AA570" t="s">
        <v>5</v>
      </c>
      <c r="AC570" t="s">
        <v>9</v>
      </c>
      <c r="AD570">
        <v>436</v>
      </c>
    </row>
    <row r="571" spans="1:30" x14ac:dyDescent="0.3">
      <c r="A571">
        <v>16759302</v>
      </c>
      <c r="B571" s="3">
        <v>45664</v>
      </c>
      <c r="C571">
        <v>2025</v>
      </c>
      <c r="D571">
        <v>1</v>
      </c>
      <c r="E571" t="s">
        <v>1579</v>
      </c>
      <c r="F571" t="s">
        <v>0</v>
      </c>
      <c r="G571" t="s">
        <v>50</v>
      </c>
      <c r="H571" t="b">
        <v>1</v>
      </c>
      <c r="I571" t="b">
        <v>0</v>
      </c>
      <c r="J571" t="b">
        <v>0</v>
      </c>
      <c r="K571" t="b">
        <v>0</v>
      </c>
      <c r="L571" t="s">
        <v>2062</v>
      </c>
      <c r="M571" t="s">
        <v>51</v>
      </c>
      <c r="N571" t="s">
        <v>5</v>
      </c>
      <c r="O571" t="b">
        <v>0</v>
      </c>
      <c r="P571">
        <v>4</v>
      </c>
      <c r="Q571" t="s">
        <v>189</v>
      </c>
      <c r="R571" t="s">
        <v>190</v>
      </c>
      <c r="S571">
        <v>48</v>
      </c>
      <c r="T571" t="s">
        <v>813</v>
      </c>
      <c r="U571" t="s">
        <v>191</v>
      </c>
      <c r="V571" t="s">
        <v>84</v>
      </c>
      <c r="W571">
        <v>16</v>
      </c>
      <c r="X571" t="s">
        <v>6</v>
      </c>
      <c r="Y571">
        <v>60</v>
      </c>
      <c r="Z571" t="s">
        <v>7</v>
      </c>
      <c r="AA571" t="s">
        <v>8</v>
      </c>
      <c r="AC571" t="s">
        <v>25</v>
      </c>
      <c r="AD571">
        <v>445</v>
      </c>
    </row>
    <row r="572" spans="1:30" x14ac:dyDescent="0.3">
      <c r="A572">
        <v>16760310</v>
      </c>
      <c r="B572" s="3">
        <v>45665</v>
      </c>
      <c r="C572">
        <v>2025</v>
      </c>
      <c r="D572">
        <v>1</v>
      </c>
      <c r="E572" t="s">
        <v>1579</v>
      </c>
      <c r="F572" t="s">
        <v>0</v>
      </c>
      <c r="G572" t="s">
        <v>10</v>
      </c>
      <c r="H572" t="b">
        <v>0</v>
      </c>
      <c r="I572" t="b">
        <v>0</v>
      </c>
      <c r="J572" t="b">
        <v>0</v>
      </c>
      <c r="K572" t="b">
        <v>0</v>
      </c>
      <c r="L572" t="s">
        <v>2063</v>
      </c>
      <c r="M572" t="s">
        <v>192</v>
      </c>
      <c r="N572" t="s">
        <v>5</v>
      </c>
      <c r="O572" t="b">
        <v>0</v>
      </c>
      <c r="P572">
        <v>2</v>
      </c>
      <c r="Q572" t="s">
        <v>226</v>
      </c>
      <c r="R572" t="s">
        <v>227</v>
      </c>
      <c r="S572" t="s">
        <v>5</v>
      </c>
      <c r="T572" t="s">
        <v>5</v>
      </c>
      <c r="U572" t="s">
        <v>228</v>
      </c>
      <c r="V572" t="s">
        <v>5</v>
      </c>
      <c r="W572">
        <v>1</v>
      </c>
      <c r="X572" t="s">
        <v>31</v>
      </c>
      <c r="Y572">
        <v>68</v>
      </c>
      <c r="Z572" t="s">
        <v>67</v>
      </c>
      <c r="AA572" t="s">
        <v>8</v>
      </c>
      <c r="AC572" t="s">
        <v>32</v>
      </c>
      <c r="AD572">
        <v>444</v>
      </c>
    </row>
    <row r="573" spans="1:30" x14ac:dyDescent="0.3">
      <c r="A573">
        <v>16760430</v>
      </c>
      <c r="B573" s="3">
        <v>45659</v>
      </c>
      <c r="C573">
        <v>2025</v>
      </c>
      <c r="D573">
        <v>1</v>
      </c>
      <c r="E573" t="s">
        <v>1579</v>
      </c>
      <c r="F573" t="s">
        <v>125</v>
      </c>
      <c r="G573" t="s">
        <v>10</v>
      </c>
      <c r="H573" t="b">
        <v>0</v>
      </c>
      <c r="I573" t="b">
        <v>0</v>
      </c>
      <c r="J573" t="b">
        <v>0</v>
      </c>
      <c r="K573" t="b">
        <v>0</v>
      </c>
      <c r="L573" t="s">
        <v>2064</v>
      </c>
      <c r="M573" t="s">
        <v>192</v>
      </c>
      <c r="N573" t="s">
        <v>5</v>
      </c>
      <c r="O573" t="b">
        <v>0</v>
      </c>
      <c r="P573">
        <v>2</v>
      </c>
      <c r="Q573" t="s">
        <v>226</v>
      </c>
      <c r="R573" t="s">
        <v>227</v>
      </c>
      <c r="S573" t="s">
        <v>5</v>
      </c>
      <c r="T573" t="s">
        <v>5</v>
      </c>
      <c r="U573" t="s">
        <v>228</v>
      </c>
      <c r="V573" t="s">
        <v>5</v>
      </c>
      <c r="W573">
        <v>1</v>
      </c>
      <c r="X573" t="s">
        <v>31</v>
      </c>
      <c r="Y573">
        <v>65</v>
      </c>
      <c r="Z573" t="s">
        <v>7</v>
      </c>
      <c r="AA573" t="s">
        <v>8</v>
      </c>
      <c r="AC573" t="s">
        <v>32</v>
      </c>
      <c r="AD573">
        <v>450</v>
      </c>
    </row>
    <row r="574" spans="1:30" x14ac:dyDescent="0.3">
      <c r="A574">
        <v>16761502</v>
      </c>
      <c r="B574" s="3">
        <v>45688</v>
      </c>
      <c r="C574">
        <v>2025</v>
      </c>
      <c r="D574">
        <v>1</v>
      </c>
      <c r="E574" t="s">
        <v>1579</v>
      </c>
      <c r="F574" t="s">
        <v>0</v>
      </c>
      <c r="G574" t="s">
        <v>1</v>
      </c>
      <c r="H574" t="b">
        <v>0</v>
      </c>
      <c r="I574" t="b">
        <v>1</v>
      </c>
      <c r="J574" t="b">
        <v>0</v>
      </c>
      <c r="K574" t="b">
        <v>0</v>
      </c>
      <c r="L574" t="s">
        <v>2065</v>
      </c>
      <c r="M574" t="s">
        <v>385</v>
      </c>
      <c r="N574" t="s">
        <v>5</v>
      </c>
      <c r="O574" t="b">
        <v>0</v>
      </c>
      <c r="P574">
        <v>14</v>
      </c>
      <c r="Q574" t="s">
        <v>793</v>
      </c>
      <c r="R574" t="s">
        <v>794</v>
      </c>
      <c r="S574" t="s">
        <v>5</v>
      </c>
      <c r="T574" t="s">
        <v>705</v>
      </c>
      <c r="U574" t="s">
        <v>271</v>
      </c>
      <c r="V574" t="s">
        <v>5</v>
      </c>
      <c r="W574">
        <v>5</v>
      </c>
      <c r="X574" t="s">
        <v>40</v>
      </c>
      <c r="Y574">
        <v>71</v>
      </c>
      <c r="Z574" t="s">
        <v>67</v>
      </c>
      <c r="AA574" t="s">
        <v>8</v>
      </c>
      <c r="AB574">
        <v>84.177000000000007</v>
      </c>
      <c r="AC574" t="s">
        <v>32</v>
      </c>
      <c r="AD574">
        <v>421</v>
      </c>
    </row>
    <row r="575" spans="1:30" x14ac:dyDescent="0.3">
      <c r="A575">
        <v>16770699</v>
      </c>
      <c r="B575" s="3">
        <v>45677</v>
      </c>
      <c r="C575">
        <v>2025</v>
      </c>
      <c r="D575">
        <v>1</v>
      </c>
      <c r="E575" t="s">
        <v>1579</v>
      </c>
      <c r="F575" t="s">
        <v>0</v>
      </c>
      <c r="G575" t="s">
        <v>10</v>
      </c>
      <c r="H575" t="b">
        <v>0</v>
      </c>
      <c r="I575" t="b">
        <v>0</v>
      </c>
      <c r="J575" t="b">
        <v>0</v>
      </c>
      <c r="K575" t="b">
        <v>0</v>
      </c>
      <c r="L575" t="s">
        <v>2066</v>
      </c>
      <c r="M575" t="s">
        <v>165</v>
      </c>
      <c r="N575" t="s">
        <v>5</v>
      </c>
      <c r="O575" t="b">
        <v>0</v>
      </c>
      <c r="P575">
        <v>7</v>
      </c>
      <c r="Q575" t="s">
        <v>320</v>
      </c>
      <c r="R575" t="s">
        <v>321</v>
      </c>
      <c r="S575">
        <v>58</v>
      </c>
      <c r="T575" t="s">
        <v>237</v>
      </c>
      <c r="U575" t="s">
        <v>4</v>
      </c>
      <c r="V575" t="s">
        <v>322</v>
      </c>
      <c r="W575">
        <v>6</v>
      </c>
      <c r="X575" t="s">
        <v>6</v>
      </c>
      <c r="Z575" t="s">
        <v>5</v>
      </c>
      <c r="AA575" t="s">
        <v>15</v>
      </c>
      <c r="AC575" t="s">
        <v>56</v>
      </c>
      <c r="AD575">
        <v>432</v>
      </c>
    </row>
    <row r="576" spans="1:30" x14ac:dyDescent="0.3">
      <c r="A576">
        <v>16771035</v>
      </c>
      <c r="B576" s="3">
        <v>45687</v>
      </c>
      <c r="C576">
        <v>2025</v>
      </c>
      <c r="D576">
        <v>1</v>
      </c>
      <c r="E576" t="s">
        <v>1579</v>
      </c>
      <c r="F576" t="s">
        <v>0</v>
      </c>
      <c r="G576" t="s">
        <v>10</v>
      </c>
      <c r="H576" t="b">
        <v>0</v>
      </c>
      <c r="I576" t="b">
        <v>0</v>
      </c>
      <c r="J576" t="b">
        <v>0</v>
      </c>
      <c r="K576" t="b">
        <v>0</v>
      </c>
      <c r="L576" t="s">
        <v>2067</v>
      </c>
      <c r="M576" t="s">
        <v>420</v>
      </c>
      <c r="N576" t="s">
        <v>63</v>
      </c>
      <c r="O576" t="b">
        <v>0</v>
      </c>
      <c r="P576">
        <v>8</v>
      </c>
      <c r="Q576" t="s">
        <v>949</v>
      </c>
      <c r="R576" t="s">
        <v>950</v>
      </c>
      <c r="S576">
        <v>48</v>
      </c>
      <c r="T576" t="s">
        <v>409</v>
      </c>
      <c r="U576" t="s">
        <v>951</v>
      </c>
      <c r="V576" t="s">
        <v>5</v>
      </c>
      <c r="W576">
        <v>3</v>
      </c>
      <c r="X576" t="s">
        <v>14</v>
      </c>
      <c r="Z576" t="s">
        <v>5</v>
      </c>
      <c r="AA576" t="s">
        <v>15</v>
      </c>
      <c r="AC576" t="s">
        <v>32</v>
      </c>
      <c r="AD576">
        <v>422</v>
      </c>
    </row>
    <row r="577" spans="1:30" x14ac:dyDescent="0.3">
      <c r="A577">
        <v>16775052</v>
      </c>
      <c r="B577" s="3">
        <v>45664</v>
      </c>
      <c r="C577">
        <v>2025</v>
      </c>
      <c r="D577">
        <v>1</v>
      </c>
      <c r="E577" t="s">
        <v>1579</v>
      </c>
      <c r="F577" t="s">
        <v>0</v>
      </c>
      <c r="G577" t="s">
        <v>10</v>
      </c>
      <c r="H577" t="b">
        <v>0</v>
      </c>
      <c r="I577" t="b">
        <v>0</v>
      </c>
      <c r="J577" t="b">
        <v>0</v>
      </c>
      <c r="K577" t="b">
        <v>0</v>
      </c>
      <c r="L577" t="s">
        <v>2068</v>
      </c>
      <c r="M577" t="s">
        <v>434</v>
      </c>
      <c r="N577" t="s">
        <v>5</v>
      </c>
      <c r="O577" t="b">
        <v>0</v>
      </c>
      <c r="P577">
        <v>7</v>
      </c>
      <c r="Q577" t="s">
        <v>398</v>
      </c>
      <c r="R577" t="s">
        <v>399</v>
      </c>
      <c r="S577">
        <v>65</v>
      </c>
      <c r="T577" t="s">
        <v>597</v>
      </c>
      <c r="U577" t="s">
        <v>400</v>
      </c>
      <c r="V577" t="s">
        <v>100</v>
      </c>
      <c r="W577">
        <v>33</v>
      </c>
      <c r="X577" t="s">
        <v>6</v>
      </c>
      <c r="Y577">
        <v>41</v>
      </c>
      <c r="Z577" t="s">
        <v>7</v>
      </c>
      <c r="AA577" t="s">
        <v>15</v>
      </c>
      <c r="AC577" t="s">
        <v>284</v>
      </c>
      <c r="AD577">
        <v>445</v>
      </c>
    </row>
    <row r="578" spans="1:30" x14ac:dyDescent="0.3">
      <c r="A578">
        <v>16777963</v>
      </c>
      <c r="B578" s="3">
        <v>45681</v>
      </c>
      <c r="C578">
        <v>2025</v>
      </c>
      <c r="D578">
        <v>1</v>
      </c>
      <c r="E578" t="s">
        <v>1579</v>
      </c>
      <c r="F578" t="s">
        <v>0</v>
      </c>
      <c r="G578" t="s">
        <v>1</v>
      </c>
      <c r="H578" t="b">
        <v>0</v>
      </c>
      <c r="I578" t="b">
        <v>1</v>
      </c>
      <c r="J578" t="b">
        <v>0</v>
      </c>
      <c r="K578" t="b">
        <v>0</v>
      </c>
      <c r="L578" t="s">
        <v>859</v>
      </c>
      <c r="M578" t="s">
        <v>859</v>
      </c>
      <c r="N578" t="s">
        <v>12</v>
      </c>
      <c r="O578" t="b">
        <v>1</v>
      </c>
      <c r="P578">
        <v>1</v>
      </c>
      <c r="Q578" t="s">
        <v>442</v>
      </c>
      <c r="R578" t="s">
        <v>443</v>
      </c>
      <c r="S578" t="s">
        <v>5</v>
      </c>
      <c r="T578" t="s">
        <v>382</v>
      </c>
      <c r="U578" t="s">
        <v>271</v>
      </c>
      <c r="V578" t="s">
        <v>383</v>
      </c>
      <c r="W578">
        <v>5</v>
      </c>
      <c r="X578" t="s">
        <v>40</v>
      </c>
      <c r="Y578">
        <v>72</v>
      </c>
      <c r="Z578" t="s">
        <v>67</v>
      </c>
      <c r="AA578" t="s">
        <v>15</v>
      </c>
      <c r="AB578">
        <v>82</v>
      </c>
      <c r="AC578" t="s">
        <v>803</v>
      </c>
      <c r="AD578">
        <v>428</v>
      </c>
    </row>
    <row r="579" spans="1:30" x14ac:dyDescent="0.3">
      <c r="A579">
        <v>16792639</v>
      </c>
      <c r="B579" s="3">
        <v>45659</v>
      </c>
      <c r="C579">
        <v>2025</v>
      </c>
      <c r="D579">
        <v>1</v>
      </c>
      <c r="E579" t="s">
        <v>1579</v>
      </c>
      <c r="F579" t="s">
        <v>0</v>
      </c>
      <c r="G579" t="s">
        <v>10</v>
      </c>
      <c r="H579" t="b">
        <v>0</v>
      </c>
      <c r="I579" t="b">
        <v>0</v>
      </c>
      <c r="J579" t="b">
        <v>0</v>
      </c>
      <c r="K579" t="b">
        <v>0</v>
      </c>
      <c r="L579" t="s">
        <v>670</v>
      </c>
      <c r="M579" t="s">
        <v>670</v>
      </c>
      <c r="N579" t="s">
        <v>5</v>
      </c>
      <c r="O579" t="b">
        <v>0</v>
      </c>
      <c r="P579">
        <v>1</v>
      </c>
      <c r="Q579" t="s">
        <v>141</v>
      </c>
      <c r="R579" t="s">
        <v>142</v>
      </c>
      <c r="S579">
        <v>48</v>
      </c>
      <c r="T579" t="s">
        <v>143</v>
      </c>
      <c r="U579" t="s">
        <v>144</v>
      </c>
      <c r="V579" t="s">
        <v>5</v>
      </c>
      <c r="W579">
        <v>24</v>
      </c>
      <c r="X579" t="s">
        <v>6</v>
      </c>
      <c r="Z579" t="s">
        <v>5</v>
      </c>
      <c r="AA579" t="s">
        <v>15</v>
      </c>
      <c r="AC579" t="s">
        <v>32</v>
      </c>
      <c r="AD579">
        <v>450</v>
      </c>
    </row>
    <row r="580" spans="1:30" x14ac:dyDescent="0.3">
      <c r="A580">
        <v>16796307</v>
      </c>
      <c r="B580" s="3">
        <v>45672</v>
      </c>
      <c r="C580">
        <v>2025</v>
      </c>
      <c r="D580">
        <v>1</v>
      </c>
      <c r="E580" t="s">
        <v>1579</v>
      </c>
      <c r="F580" t="s">
        <v>0</v>
      </c>
      <c r="G580" t="s">
        <v>10</v>
      </c>
      <c r="H580" t="b">
        <v>0</v>
      </c>
      <c r="I580" t="b">
        <v>0</v>
      </c>
      <c r="J580" t="b">
        <v>0</v>
      </c>
      <c r="K580" t="b">
        <v>0</v>
      </c>
      <c r="L580" t="s">
        <v>2069</v>
      </c>
      <c r="M580" t="s">
        <v>206</v>
      </c>
      <c r="N580" t="s">
        <v>118</v>
      </c>
      <c r="O580" t="b">
        <v>0</v>
      </c>
      <c r="P580">
        <v>39</v>
      </c>
      <c r="Q580" t="s">
        <v>323</v>
      </c>
      <c r="R580" t="s">
        <v>324</v>
      </c>
      <c r="S580">
        <v>42</v>
      </c>
      <c r="T580" t="s">
        <v>257</v>
      </c>
      <c r="U580" t="s">
        <v>325</v>
      </c>
      <c r="V580" t="s">
        <v>326</v>
      </c>
      <c r="W580">
        <v>4</v>
      </c>
      <c r="X580" t="s">
        <v>40</v>
      </c>
      <c r="Z580" t="s">
        <v>5</v>
      </c>
      <c r="AA580" t="s">
        <v>5</v>
      </c>
      <c r="AC580" t="s">
        <v>154</v>
      </c>
      <c r="AD580">
        <v>437</v>
      </c>
    </row>
    <row r="581" spans="1:30" x14ac:dyDescent="0.3">
      <c r="A581">
        <v>16797030</v>
      </c>
      <c r="B581" s="3">
        <v>45670</v>
      </c>
      <c r="C581">
        <v>2025</v>
      </c>
      <c r="D581">
        <v>1</v>
      </c>
      <c r="E581" t="s">
        <v>1579</v>
      </c>
      <c r="F581" t="s">
        <v>0</v>
      </c>
      <c r="G581" t="s">
        <v>10</v>
      </c>
      <c r="H581" t="b">
        <v>0</v>
      </c>
      <c r="I581" t="b">
        <v>0</v>
      </c>
      <c r="J581" t="b">
        <v>0</v>
      </c>
      <c r="K581" t="b">
        <v>0</v>
      </c>
      <c r="L581" t="s">
        <v>2070</v>
      </c>
      <c r="M581" t="s">
        <v>435</v>
      </c>
      <c r="N581" t="s">
        <v>5</v>
      </c>
      <c r="O581" t="b">
        <v>0</v>
      </c>
      <c r="P581">
        <v>16</v>
      </c>
      <c r="Q581" t="s">
        <v>1077</v>
      </c>
      <c r="R581" t="s">
        <v>5</v>
      </c>
      <c r="S581">
        <v>58</v>
      </c>
      <c r="T581" t="s">
        <v>5</v>
      </c>
      <c r="U581" t="s">
        <v>5</v>
      </c>
      <c r="V581" t="s">
        <v>5</v>
      </c>
      <c r="W581">
        <v>76</v>
      </c>
      <c r="X581" t="s">
        <v>6</v>
      </c>
      <c r="Y581">
        <v>60</v>
      </c>
      <c r="Z581" t="s">
        <v>7</v>
      </c>
      <c r="AA581" t="s">
        <v>8</v>
      </c>
      <c r="AB581">
        <v>61</v>
      </c>
      <c r="AC581" t="s">
        <v>9</v>
      </c>
      <c r="AD581">
        <v>439</v>
      </c>
    </row>
    <row r="582" spans="1:30" x14ac:dyDescent="0.3">
      <c r="A582">
        <v>16797741</v>
      </c>
      <c r="B582" s="3">
        <v>45663</v>
      </c>
      <c r="C582">
        <v>2025</v>
      </c>
      <c r="D582">
        <v>1</v>
      </c>
      <c r="E582" t="s">
        <v>1579</v>
      </c>
      <c r="F582" t="s">
        <v>0</v>
      </c>
      <c r="G582" t="s">
        <v>1</v>
      </c>
      <c r="H582" t="b">
        <v>0</v>
      </c>
      <c r="I582" t="b">
        <v>1</v>
      </c>
      <c r="J582" t="b">
        <v>0</v>
      </c>
      <c r="K582" t="b">
        <v>0</v>
      </c>
      <c r="L582" t="s">
        <v>2071</v>
      </c>
      <c r="M582" t="s">
        <v>994</v>
      </c>
      <c r="N582" t="s">
        <v>63</v>
      </c>
      <c r="O582" t="b">
        <v>0</v>
      </c>
      <c r="P582">
        <v>31</v>
      </c>
      <c r="Q582" t="s">
        <v>1321</v>
      </c>
      <c r="R582" t="s">
        <v>1321</v>
      </c>
      <c r="S582">
        <v>65</v>
      </c>
      <c r="T582" t="s">
        <v>83</v>
      </c>
      <c r="U582" t="s">
        <v>1322</v>
      </c>
      <c r="V582" t="s">
        <v>1323</v>
      </c>
      <c r="W582">
        <v>378</v>
      </c>
      <c r="X582" t="s">
        <v>5</v>
      </c>
      <c r="Y582">
        <v>71</v>
      </c>
      <c r="Z582" t="s">
        <v>67</v>
      </c>
      <c r="AA582" t="s">
        <v>8</v>
      </c>
      <c r="AB582">
        <v>69</v>
      </c>
      <c r="AC582" t="s">
        <v>9</v>
      </c>
      <c r="AD582">
        <v>446</v>
      </c>
    </row>
    <row r="583" spans="1:30" x14ac:dyDescent="0.3">
      <c r="A583">
        <v>16802324</v>
      </c>
      <c r="B583" s="3">
        <v>45660</v>
      </c>
      <c r="C583">
        <v>2025</v>
      </c>
      <c r="D583">
        <v>1</v>
      </c>
      <c r="E583" t="s">
        <v>1579</v>
      </c>
      <c r="F583" t="s">
        <v>0</v>
      </c>
      <c r="G583" t="s">
        <v>1</v>
      </c>
      <c r="H583" t="b">
        <v>0</v>
      </c>
      <c r="I583" t="b">
        <v>1</v>
      </c>
      <c r="J583" t="b">
        <v>0</v>
      </c>
      <c r="K583" t="b">
        <v>0</v>
      </c>
      <c r="L583" t="s">
        <v>978</v>
      </c>
      <c r="M583" t="s">
        <v>978</v>
      </c>
      <c r="N583" t="s">
        <v>5</v>
      </c>
      <c r="O583" t="b">
        <v>0</v>
      </c>
      <c r="P583">
        <v>1</v>
      </c>
      <c r="Q583" t="s">
        <v>455</v>
      </c>
      <c r="R583" t="s">
        <v>456</v>
      </c>
      <c r="S583">
        <v>58</v>
      </c>
      <c r="T583" t="s">
        <v>457</v>
      </c>
      <c r="U583" t="s">
        <v>23</v>
      </c>
      <c r="V583" t="s">
        <v>458</v>
      </c>
      <c r="W583">
        <v>2</v>
      </c>
      <c r="X583" t="s">
        <v>14</v>
      </c>
      <c r="Y583">
        <v>39</v>
      </c>
      <c r="Z583" t="s">
        <v>61</v>
      </c>
      <c r="AA583" t="s">
        <v>8</v>
      </c>
      <c r="AC583" t="s">
        <v>32</v>
      </c>
      <c r="AD583">
        <v>449</v>
      </c>
    </row>
    <row r="584" spans="1:30" x14ac:dyDescent="0.3">
      <c r="A584">
        <v>16808635</v>
      </c>
      <c r="B584" s="3">
        <v>45667</v>
      </c>
      <c r="C584">
        <v>2025</v>
      </c>
      <c r="D584">
        <v>1</v>
      </c>
      <c r="E584" t="s">
        <v>1579</v>
      </c>
      <c r="F584" t="s">
        <v>0</v>
      </c>
      <c r="G584" t="s">
        <v>10</v>
      </c>
      <c r="H584" t="b">
        <v>0</v>
      </c>
      <c r="I584" t="b">
        <v>0</v>
      </c>
      <c r="J584" t="b">
        <v>0</v>
      </c>
      <c r="K584" t="b">
        <v>0</v>
      </c>
      <c r="L584" t="s">
        <v>2072</v>
      </c>
      <c r="M584" t="s">
        <v>754</v>
      </c>
      <c r="N584" t="s">
        <v>63</v>
      </c>
      <c r="O584" t="b">
        <v>0</v>
      </c>
      <c r="P584">
        <v>12</v>
      </c>
      <c r="Q584" t="s">
        <v>750</v>
      </c>
      <c r="R584" t="s">
        <v>751</v>
      </c>
      <c r="S584">
        <v>48</v>
      </c>
      <c r="T584" t="s">
        <v>105</v>
      </c>
      <c r="U584" t="s">
        <v>752</v>
      </c>
      <c r="V584" t="s">
        <v>753</v>
      </c>
      <c r="W584">
        <v>4</v>
      </c>
      <c r="X584" t="s">
        <v>40</v>
      </c>
      <c r="Y584">
        <v>40</v>
      </c>
      <c r="Z584" t="s">
        <v>61</v>
      </c>
      <c r="AA584" t="s">
        <v>15</v>
      </c>
      <c r="AC584" t="s">
        <v>32</v>
      </c>
      <c r="AD584">
        <v>442</v>
      </c>
    </row>
    <row r="585" spans="1:30" x14ac:dyDescent="0.3">
      <c r="A585">
        <v>16810065</v>
      </c>
      <c r="B585" s="3">
        <v>45677</v>
      </c>
      <c r="C585">
        <v>2025</v>
      </c>
      <c r="D585">
        <v>1</v>
      </c>
      <c r="E585" t="s">
        <v>1579</v>
      </c>
      <c r="F585" t="s">
        <v>0</v>
      </c>
      <c r="G585" t="s">
        <v>10</v>
      </c>
      <c r="H585" t="b">
        <v>0</v>
      </c>
      <c r="I585" t="b">
        <v>0</v>
      </c>
      <c r="J585" t="b">
        <v>0</v>
      </c>
      <c r="K585" t="b">
        <v>0</v>
      </c>
      <c r="L585" t="s">
        <v>2073</v>
      </c>
      <c r="M585" t="s">
        <v>1144</v>
      </c>
      <c r="N585" t="s">
        <v>5</v>
      </c>
      <c r="O585" t="b">
        <v>0</v>
      </c>
      <c r="P585">
        <v>5</v>
      </c>
      <c r="Q585" t="s">
        <v>208</v>
      </c>
      <c r="R585" t="s">
        <v>286</v>
      </c>
      <c r="S585" t="s">
        <v>5</v>
      </c>
      <c r="T585" t="s">
        <v>5</v>
      </c>
      <c r="U585" t="s">
        <v>210</v>
      </c>
      <c r="V585" t="s">
        <v>5</v>
      </c>
      <c r="W585">
        <v>8</v>
      </c>
      <c r="X585" t="s">
        <v>6</v>
      </c>
      <c r="Y585">
        <v>66</v>
      </c>
      <c r="Z585" t="s">
        <v>67</v>
      </c>
      <c r="AA585" t="s">
        <v>8</v>
      </c>
      <c r="AC585" t="s">
        <v>32</v>
      </c>
      <c r="AD585">
        <v>432</v>
      </c>
    </row>
    <row r="586" spans="1:30" x14ac:dyDescent="0.3">
      <c r="A586">
        <v>16815223</v>
      </c>
      <c r="B586" s="3">
        <v>45677</v>
      </c>
      <c r="C586">
        <v>2025</v>
      </c>
      <c r="D586">
        <v>1</v>
      </c>
      <c r="E586" t="s">
        <v>1579</v>
      </c>
      <c r="F586" t="s">
        <v>0</v>
      </c>
      <c r="G586" t="s">
        <v>10</v>
      </c>
      <c r="H586" t="b">
        <v>0</v>
      </c>
      <c r="I586" t="b">
        <v>0</v>
      </c>
      <c r="J586" t="b">
        <v>0</v>
      </c>
      <c r="K586" t="b">
        <v>0</v>
      </c>
      <c r="L586" t="s">
        <v>2074</v>
      </c>
      <c r="M586" t="s">
        <v>206</v>
      </c>
      <c r="N586" t="s">
        <v>2</v>
      </c>
      <c r="O586" t="b">
        <v>1</v>
      </c>
      <c r="P586">
        <v>7</v>
      </c>
      <c r="Q586" t="s">
        <v>135</v>
      </c>
      <c r="R586" t="s">
        <v>136</v>
      </c>
      <c r="S586">
        <v>58</v>
      </c>
      <c r="T586" t="s">
        <v>299</v>
      </c>
      <c r="U586" t="s">
        <v>81</v>
      </c>
      <c r="V586" t="s">
        <v>137</v>
      </c>
      <c r="W586">
        <v>8</v>
      </c>
      <c r="X586" t="s">
        <v>6</v>
      </c>
      <c r="Y586">
        <v>38</v>
      </c>
      <c r="Z586" t="s">
        <v>61</v>
      </c>
      <c r="AA586" t="s">
        <v>8</v>
      </c>
      <c r="AC586" t="s">
        <v>9</v>
      </c>
      <c r="AD586">
        <v>432</v>
      </c>
    </row>
    <row r="587" spans="1:30" x14ac:dyDescent="0.3">
      <c r="A587">
        <v>16816349</v>
      </c>
      <c r="B587" s="3">
        <v>45678</v>
      </c>
      <c r="C587">
        <v>2025</v>
      </c>
      <c r="D587">
        <v>1</v>
      </c>
      <c r="E587" t="s">
        <v>1579</v>
      </c>
      <c r="F587" t="s">
        <v>0</v>
      </c>
      <c r="G587" t="s">
        <v>1</v>
      </c>
      <c r="H587" t="b">
        <v>0</v>
      </c>
      <c r="I587" t="b">
        <v>1</v>
      </c>
      <c r="J587" t="b">
        <v>0</v>
      </c>
      <c r="K587" t="b">
        <v>0</v>
      </c>
      <c r="L587" t="s">
        <v>2075</v>
      </c>
      <c r="M587" t="s">
        <v>1520</v>
      </c>
      <c r="N587" t="s">
        <v>70</v>
      </c>
      <c r="O587" t="b">
        <v>0</v>
      </c>
      <c r="P587">
        <v>10</v>
      </c>
      <c r="Q587" t="s">
        <v>323</v>
      </c>
      <c r="R587" t="s">
        <v>324</v>
      </c>
      <c r="S587">
        <v>42</v>
      </c>
      <c r="T587" t="s">
        <v>257</v>
      </c>
      <c r="U587" t="s">
        <v>325</v>
      </c>
      <c r="V587" t="s">
        <v>326</v>
      </c>
      <c r="W587">
        <v>2</v>
      </c>
      <c r="X587" t="s">
        <v>14</v>
      </c>
      <c r="Z587" t="s">
        <v>5</v>
      </c>
      <c r="AA587" t="s">
        <v>5</v>
      </c>
      <c r="AC587" t="s">
        <v>154</v>
      </c>
      <c r="AD587">
        <v>431</v>
      </c>
    </row>
    <row r="588" spans="1:30" x14ac:dyDescent="0.3">
      <c r="A588">
        <v>16817550</v>
      </c>
      <c r="B588" s="3">
        <v>45678</v>
      </c>
      <c r="C588">
        <v>2025</v>
      </c>
      <c r="D588">
        <v>1</v>
      </c>
      <c r="E588" t="s">
        <v>1579</v>
      </c>
      <c r="F588" t="s">
        <v>0</v>
      </c>
      <c r="G588" t="s">
        <v>50</v>
      </c>
      <c r="H588" t="b">
        <v>1</v>
      </c>
      <c r="I588" t="b">
        <v>0</v>
      </c>
      <c r="J588" t="b">
        <v>0</v>
      </c>
      <c r="K588" t="b">
        <v>0</v>
      </c>
      <c r="L588" t="s">
        <v>2076</v>
      </c>
      <c r="M588" t="s">
        <v>863</v>
      </c>
      <c r="N588" t="s">
        <v>5</v>
      </c>
      <c r="O588" t="b">
        <v>0</v>
      </c>
      <c r="P588">
        <v>2</v>
      </c>
      <c r="Q588" t="s">
        <v>588</v>
      </c>
      <c r="R588" t="s">
        <v>589</v>
      </c>
      <c r="S588">
        <v>42</v>
      </c>
      <c r="T588" t="s">
        <v>1245</v>
      </c>
      <c r="U588" t="s">
        <v>591</v>
      </c>
      <c r="V588" t="s">
        <v>592</v>
      </c>
      <c r="W588">
        <v>8</v>
      </c>
      <c r="X588" t="s">
        <v>6</v>
      </c>
      <c r="Y588">
        <v>67</v>
      </c>
      <c r="Z588" t="s">
        <v>67</v>
      </c>
      <c r="AA588" t="s">
        <v>15</v>
      </c>
      <c r="AC588" t="s">
        <v>9</v>
      </c>
      <c r="AD588">
        <v>431</v>
      </c>
    </row>
    <row r="589" spans="1:30" x14ac:dyDescent="0.3">
      <c r="A589">
        <v>16826790</v>
      </c>
      <c r="B589" s="3">
        <v>45683</v>
      </c>
      <c r="C589">
        <v>2025</v>
      </c>
      <c r="D589">
        <v>1</v>
      </c>
      <c r="E589" t="s">
        <v>1579</v>
      </c>
      <c r="F589" t="s">
        <v>0</v>
      </c>
      <c r="G589" t="s">
        <v>10</v>
      </c>
      <c r="H589" t="b">
        <v>0</v>
      </c>
      <c r="I589" t="b">
        <v>0</v>
      </c>
      <c r="J589" t="b">
        <v>0</v>
      </c>
      <c r="K589" t="b">
        <v>0</v>
      </c>
      <c r="L589" t="s">
        <v>2077</v>
      </c>
      <c r="M589" t="s">
        <v>720</v>
      </c>
      <c r="N589" t="s">
        <v>70</v>
      </c>
      <c r="O589" t="b">
        <v>0</v>
      </c>
      <c r="P589">
        <v>21</v>
      </c>
      <c r="Q589" t="s">
        <v>367</v>
      </c>
      <c r="R589" t="s">
        <v>368</v>
      </c>
      <c r="S589">
        <v>40</v>
      </c>
      <c r="T589" t="s">
        <v>758</v>
      </c>
      <c r="U589" t="s">
        <v>81</v>
      </c>
      <c r="V589" t="s">
        <v>82</v>
      </c>
      <c r="W589">
        <v>10</v>
      </c>
      <c r="X589" t="s">
        <v>6</v>
      </c>
      <c r="Y589">
        <v>63</v>
      </c>
      <c r="Z589" t="s">
        <v>7</v>
      </c>
      <c r="AA589" t="s">
        <v>8</v>
      </c>
      <c r="AC589" t="s">
        <v>9</v>
      </c>
      <c r="AD589">
        <v>426</v>
      </c>
    </row>
    <row r="590" spans="1:30" x14ac:dyDescent="0.3">
      <c r="A590">
        <v>16846778</v>
      </c>
      <c r="B590" s="3">
        <v>45681</v>
      </c>
      <c r="C590">
        <v>2025</v>
      </c>
      <c r="D590">
        <v>1</v>
      </c>
      <c r="E590" t="s">
        <v>1579</v>
      </c>
      <c r="F590" t="s">
        <v>0</v>
      </c>
      <c r="G590" t="s">
        <v>1</v>
      </c>
      <c r="H590" t="b">
        <v>0</v>
      </c>
      <c r="I590" t="b">
        <v>1</v>
      </c>
      <c r="J590" t="b">
        <v>0</v>
      </c>
      <c r="K590" t="b">
        <v>0</v>
      </c>
      <c r="L590" t="s">
        <v>2078</v>
      </c>
      <c r="M590" t="s">
        <v>1418</v>
      </c>
      <c r="N590" t="s">
        <v>57</v>
      </c>
      <c r="O590" t="b">
        <v>1</v>
      </c>
      <c r="P590">
        <v>10</v>
      </c>
      <c r="Q590" t="s">
        <v>343</v>
      </c>
      <c r="R590" t="s">
        <v>344</v>
      </c>
      <c r="S590">
        <v>58</v>
      </c>
      <c r="T590" t="s">
        <v>518</v>
      </c>
      <c r="U590" t="s">
        <v>4</v>
      </c>
      <c r="V590" t="s">
        <v>5</v>
      </c>
      <c r="W590">
        <v>8</v>
      </c>
      <c r="X590" t="s">
        <v>6</v>
      </c>
      <c r="Y590">
        <v>6</v>
      </c>
      <c r="Z590" t="s">
        <v>46</v>
      </c>
      <c r="AA590" t="s">
        <v>8</v>
      </c>
      <c r="AB590">
        <v>19.3</v>
      </c>
      <c r="AC590" t="s">
        <v>101</v>
      </c>
      <c r="AD590">
        <v>428</v>
      </c>
    </row>
    <row r="591" spans="1:30" x14ac:dyDescent="0.3">
      <c r="A591">
        <v>16855357</v>
      </c>
      <c r="B591" s="3">
        <v>45664</v>
      </c>
      <c r="C591">
        <v>2025</v>
      </c>
      <c r="D591">
        <v>1</v>
      </c>
      <c r="E591" t="s">
        <v>1579</v>
      </c>
      <c r="F591" t="s">
        <v>0</v>
      </c>
      <c r="G591" t="s">
        <v>16</v>
      </c>
      <c r="H591" t="b">
        <v>0</v>
      </c>
      <c r="I591" t="b">
        <v>1</v>
      </c>
      <c r="J591" t="b">
        <v>1</v>
      </c>
      <c r="K591" t="b">
        <v>0</v>
      </c>
      <c r="L591" t="s">
        <v>2079</v>
      </c>
      <c r="M591" t="s">
        <v>41</v>
      </c>
      <c r="N591" t="s">
        <v>57</v>
      </c>
      <c r="O591" t="b">
        <v>1</v>
      </c>
      <c r="P591">
        <v>7</v>
      </c>
      <c r="Q591" t="s">
        <v>966</v>
      </c>
      <c r="R591" t="s">
        <v>966</v>
      </c>
      <c r="S591">
        <v>48</v>
      </c>
      <c r="T591" t="s">
        <v>83</v>
      </c>
      <c r="U591" t="s">
        <v>967</v>
      </c>
      <c r="V591" t="s">
        <v>5</v>
      </c>
      <c r="W591">
        <v>6</v>
      </c>
      <c r="X591" t="s">
        <v>6</v>
      </c>
      <c r="Y591">
        <v>88</v>
      </c>
      <c r="Z591" t="s">
        <v>196</v>
      </c>
      <c r="AA591" t="s">
        <v>8</v>
      </c>
      <c r="AC591" t="s">
        <v>47</v>
      </c>
      <c r="AD591">
        <v>445</v>
      </c>
    </row>
    <row r="592" spans="1:30" x14ac:dyDescent="0.3">
      <c r="A592">
        <v>16858258</v>
      </c>
      <c r="B592" s="3">
        <v>45663</v>
      </c>
      <c r="C592">
        <v>2025</v>
      </c>
      <c r="D592">
        <v>1</v>
      </c>
      <c r="E592" t="s">
        <v>1579</v>
      </c>
      <c r="F592" t="s">
        <v>0</v>
      </c>
      <c r="G592" t="s">
        <v>50</v>
      </c>
      <c r="H592" t="b">
        <v>1</v>
      </c>
      <c r="I592" t="b">
        <v>0</v>
      </c>
      <c r="J592" t="b">
        <v>0</v>
      </c>
      <c r="K592" t="b">
        <v>0</v>
      </c>
      <c r="L592" t="s">
        <v>50</v>
      </c>
      <c r="M592" t="s">
        <v>50</v>
      </c>
      <c r="N592" t="s">
        <v>5</v>
      </c>
      <c r="O592" t="b">
        <v>0</v>
      </c>
      <c r="P592">
        <v>1</v>
      </c>
      <c r="Q592" t="s">
        <v>169</v>
      </c>
      <c r="R592" t="s">
        <v>170</v>
      </c>
      <c r="S592" t="s">
        <v>5</v>
      </c>
      <c r="T592" t="s">
        <v>5</v>
      </c>
      <c r="U592" t="s">
        <v>106</v>
      </c>
      <c r="V592" t="s">
        <v>172</v>
      </c>
      <c r="W592">
        <v>1</v>
      </c>
      <c r="X592" t="s">
        <v>31</v>
      </c>
      <c r="Z592" t="s">
        <v>5</v>
      </c>
      <c r="AA592" t="s">
        <v>5</v>
      </c>
      <c r="AC592" t="s">
        <v>377</v>
      </c>
      <c r="AD592">
        <v>446</v>
      </c>
    </row>
    <row r="593" spans="1:30" x14ac:dyDescent="0.3">
      <c r="A593">
        <v>16858270</v>
      </c>
      <c r="B593" s="3">
        <v>45674</v>
      </c>
      <c r="C593">
        <v>2025</v>
      </c>
      <c r="D593">
        <v>1</v>
      </c>
      <c r="E593" t="s">
        <v>1579</v>
      </c>
      <c r="F593" t="s">
        <v>0</v>
      </c>
      <c r="G593" t="s">
        <v>562</v>
      </c>
      <c r="H593" t="b">
        <v>0</v>
      </c>
      <c r="I593" t="b">
        <v>0</v>
      </c>
      <c r="J593" t="b">
        <v>0</v>
      </c>
      <c r="K593" t="b">
        <v>0</v>
      </c>
      <c r="L593" t="s">
        <v>2080</v>
      </c>
      <c r="M593" t="s">
        <v>274</v>
      </c>
      <c r="N593" t="s">
        <v>5</v>
      </c>
      <c r="O593" t="b">
        <v>0</v>
      </c>
      <c r="P593">
        <v>2</v>
      </c>
      <c r="Q593" t="s">
        <v>722</v>
      </c>
      <c r="R593" t="s">
        <v>723</v>
      </c>
      <c r="S593">
        <v>64</v>
      </c>
      <c r="T593" t="s">
        <v>1390</v>
      </c>
      <c r="U593" t="s">
        <v>724</v>
      </c>
      <c r="V593" t="s">
        <v>96</v>
      </c>
      <c r="W593">
        <v>3</v>
      </c>
      <c r="X593" t="s">
        <v>14</v>
      </c>
      <c r="Z593" t="s">
        <v>5</v>
      </c>
      <c r="AA593" t="s">
        <v>5</v>
      </c>
      <c r="AC593" t="s">
        <v>32</v>
      </c>
      <c r="AD593">
        <v>435</v>
      </c>
    </row>
    <row r="594" spans="1:30" x14ac:dyDescent="0.3">
      <c r="A594">
        <v>16861463</v>
      </c>
      <c r="B594" s="3">
        <v>45679</v>
      </c>
      <c r="C594">
        <v>2025</v>
      </c>
      <c r="D594">
        <v>1</v>
      </c>
      <c r="E594" t="s">
        <v>1579</v>
      </c>
      <c r="F594" t="s">
        <v>0</v>
      </c>
      <c r="G594" t="s">
        <v>10</v>
      </c>
      <c r="H594" t="b">
        <v>0</v>
      </c>
      <c r="I594" t="b">
        <v>0</v>
      </c>
      <c r="J594" t="b">
        <v>0</v>
      </c>
      <c r="K594" t="b">
        <v>0</v>
      </c>
      <c r="L594" t="s">
        <v>2081</v>
      </c>
      <c r="M594" t="s">
        <v>1441</v>
      </c>
      <c r="N594" t="s">
        <v>94</v>
      </c>
      <c r="O594" t="b">
        <v>1</v>
      </c>
      <c r="P594">
        <v>3</v>
      </c>
      <c r="Q594" t="s">
        <v>614</v>
      </c>
      <c r="R594" t="s">
        <v>615</v>
      </c>
      <c r="S594">
        <v>65</v>
      </c>
      <c r="T594" t="s">
        <v>427</v>
      </c>
      <c r="U594" t="s">
        <v>616</v>
      </c>
      <c r="V594" t="s">
        <v>115</v>
      </c>
      <c r="W594">
        <v>5</v>
      </c>
      <c r="X594" t="s">
        <v>40</v>
      </c>
      <c r="Y594">
        <v>80</v>
      </c>
      <c r="Z594" t="s">
        <v>67</v>
      </c>
      <c r="AA594" t="s">
        <v>8</v>
      </c>
      <c r="AC594" t="s">
        <v>558</v>
      </c>
      <c r="AD594">
        <v>430</v>
      </c>
    </row>
    <row r="595" spans="1:30" x14ac:dyDescent="0.3">
      <c r="A595">
        <v>16861684</v>
      </c>
      <c r="B595" s="3">
        <v>45673</v>
      </c>
      <c r="C595">
        <v>2025</v>
      </c>
      <c r="D595">
        <v>1</v>
      </c>
      <c r="E595" t="s">
        <v>1579</v>
      </c>
      <c r="F595" t="s">
        <v>125</v>
      </c>
      <c r="G595" t="s">
        <v>10</v>
      </c>
      <c r="H595" t="b">
        <v>0</v>
      </c>
      <c r="I595" t="b">
        <v>0</v>
      </c>
      <c r="J595" t="b">
        <v>0</v>
      </c>
      <c r="K595" t="b">
        <v>0</v>
      </c>
      <c r="L595" t="s">
        <v>1309</v>
      </c>
      <c r="M595" t="s">
        <v>1309</v>
      </c>
      <c r="N595" t="s">
        <v>5</v>
      </c>
      <c r="O595" t="b">
        <v>0</v>
      </c>
      <c r="P595">
        <v>1</v>
      </c>
      <c r="Q595" t="s">
        <v>1380</v>
      </c>
      <c r="R595" t="s">
        <v>1381</v>
      </c>
      <c r="S595">
        <v>55</v>
      </c>
      <c r="T595" t="s">
        <v>984</v>
      </c>
      <c r="U595" t="s">
        <v>325</v>
      </c>
      <c r="V595" t="s">
        <v>5</v>
      </c>
      <c r="W595">
        <v>1</v>
      </c>
      <c r="X595" t="s">
        <v>31</v>
      </c>
      <c r="Y595">
        <v>85</v>
      </c>
      <c r="Z595" t="s">
        <v>196</v>
      </c>
      <c r="AA595" t="s">
        <v>15</v>
      </c>
      <c r="AC595" t="s">
        <v>32</v>
      </c>
      <c r="AD595">
        <v>436</v>
      </c>
    </row>
    <row r="596" spans="1:30" x14ac:dyDescent="0.3">
      <c r="A596">
        <v>16863482</v>
      </c>
      <c r="B596" s="3">
        <v>45681</v>
      </c>
      <c r="C596">
        <v>2025</v>
      </c>
      <c r="D596">
        <v>1</v>
      </c>
      <c r="E596" t="s">
        <v>1579</v>
      </c>
      <c r="F596" t="s">
        <v>0</v>
      </c>
      <c r="G596" t="s">
        <v>10</v>
      </c>
      <c r="H596" t="b">
        <v>0</v>
      </c>
      <c r="I596" t="b">
        <v>0</v>
      </c>
      <c r="J596" t="b">
        <v>0</v>
      </c>
      <c r="K596" t="b">
        <v>0</v>
      </c>
      <c r="L596" t="s">
        <v>2082</v>
      </c>
      <c r="M596" t="s">
        <v>1465</v>
      </c>
      <c r="N596" t="s">
        <v>63</v>
      </c>
      <c r="O596" t="b">
        <v>0</v>
      </c>
      <c r="P596">
        <v>13</v>
      </c>
      <c r="Q596" t="s">
        <v>949</v>
      </c>
      <c r="R596" t="s">
        <v>950</v>
      </c>
      <c r="S596">
        <v>48</v>
      </c>
      <c r="T596" t="s">
        <v>83</v>
      </c>
      <c r="U596" t="s">
        <v>951</v>
      </c>
      <c r="V596" t="s">
        <v>5</v>
      </c>
      <c r="W596">
        <v>26</v>
      </c>
      <c r="X596" t="s">
        <v>6</v>
      </c>
      <c r="Z596" t="s">
        <v>5</v>
      </c>
      <c r="AA596" t="s">
        <v>8</v>
      </c>
      <c r="AB596">
        <v>63.491999999999997</v>
      </c>
      <c r="AC596" t="s">
        <v>32</v>
      </c>
      <c r="AD596">
        <v>428</v>
      </c>
    </row>
    <row r="597" spans="1:30" x14ac:dyDescent="0.3">
      <c r="A597">
        <v>16863745</v>
      </c>
      <c r="B597" s="3">
        <v>45659</v>
      </c>
      <c r="C597">
        <v>2025</v>
      </c>
      <c r="D597">
        <v>1</v>
      </c>
      <c r="E597" t="s">
        <v>1579</v>
      </c>
      <c r="F597" t="s">
        <v>0</v>
      </c>
      <c r="G597" t="s">
        <v>562</v>
      </c>
      <c r="H597" t="b">
        <v>0</v>
      </c>
      <c r="I597" t="b">
        <v>0</v>
      </c>
      <c r="J597" t="b">
        <v>0</v>
      </c>
      <c r="K597" t="b">
        <v>0</v>
      </c>
      <c r="L597" t="s">
        <v>2083</v>
      </c>
      <c r="M597" t="s">
        <v>2084</v>
      </c>
      <c r="N597" t="s">
        <v>57</v>
      </c>
      <c r="O597" t="b">
        <v>1</v>
      </c>
      <c r="P597">
        <v>2</v>
      </c>
      <c r="Q597" t="s">
        <v>103</v>
      </c>
      <c r="R597" t="s">
        <v>104</v>
      </c>
      <c r="S597">
        <v>64</v>
      </c>
      <c r="T597" t="s">
        <v>5</v>
      </c>
      <c r="U597" t="s">
        <v>106</v>
      </c>
      <c r="V597" t="s">
        <v>5</v>
      </c>
      <c r="W597">
        <v>1</v>
      </c>
      <c r="X597" t="s">
        <v>31</v>
      </c>
      <c r="Z597" t="s">
        <v>5</v>
      </c>
      <c r="AA597" t="s">
        <v>5</v>
      </c>
      <c r="AC597" t="s">
        <v>9</v>
      </c>
      <c r="AD597">
        <v>450</v>
      </c>
    </row>
    <row r="598" spans="1:30" x14ac:dyDescent="0.3">
      <c r="A598">
        <v>16863785</v>
      </c>
      <c r="B598" s="3">
        <v>45659</v>
      </c>
      <c r="C598">
        <v>2025</v>
      </c>
      <c r="D598">
        <v>1</v>
      </c>
      <c r="E598" t="s">
        <v>1579</v>
      </c>
      <c r="F598" t="s">
        <v>0</v>
      </c>
      <c r="G598" t="s">
        <v>562</v>
      </c>
      <c r="H598" t="b">
        <v>0</v>
      </c>
      <c r="I598" t="b">
        <v>0</v>
      </c>
      <c r="J598" t="b">
        <v>0</v>
      </c>
      <c r="K598" t="b">
        <v>0</v>
      </c>
      <c r="L598" t="s">
        <v>2085</v>
      </c>
      <c r="M598" t="s">
        <v>2086</v>
      </c>
      <c r="N598" t="s">
        <v>57</v>
      </c>
      <c r="O598" t="b">
        <v>1</v>
      </c>
      <c r="P598">
        <v>2</v>
      </c>
      <c r="Q598" t="s">
        <v>103</v>
      </c>
      <c r="R598" t="s">
        <v>104</v>
      </c>
      <c r="S598">
        <v>64</v>
      </c>
      <c r="T598" t="s">
        <v>5</v>
      </c>
      <c r="U598" t="s">
        <v>106</v>
      </c>
      <c r="V598" t="s">
        <v>5</v>
      </c>
      <c r="W598">
        <v>1</v>
      </c>
      <c r="X598" t="s">
        <v>31</v>
      </c>
      <c r="Z598" t="s">
        <v>5</v>
      </c>
      <c r="AA598" t="s">
        <v>5</v>
      </c>
      <c r="AC598" t="s">
        <v>9</v>
      </c>
      <c r="AD598">
        <v>450</v>
      </c>
    </row>
    <row r="599" spans="1:30" x14ac:dyDescent="0.3">
      <c r="A599">
        <v>16864856</v>
      </c>
      <c r="B599" s="3">
        <v>45659</v>
      </c>
      <c r="C599">
        <v>2025</v>
      </c>
      <c r="D599">
        <v>1</v>
      </c>
      <c r="E599" t="s">
        <v>1579</v>
      </c>
      <c r="F599" t="s">
        <v>0</v>
      </c>
      <c r="G599" t="s">
        <v>562</v>
      </c>
      <c r="H599" t="b">
        <v>0</v>
      </c>
      <c r="I599" t="b">
        <v>0</v>
      </c>
      <c r="J599" t="b">
        <v>0</v>
      </c>
      <c r="K599" t="b">
        <v>0</v>
      </c>
      <c r="L599" t="s">
        <v>2087</v>
      </c>
      <c r="M599" t="s">
        <v>2088</v>
      </c>
      <c r="N599" t="s">
        <v>57</v>
      </c>
      <c r="O599" t="b">
        <v>1</v>
      </c>
      <c r="P599">
        <v>2</v>
      </c>
      <c r="Q599" t="s">
        <v>103</v>
      </c>
      <c r="R599" t="s">
        <v>104</v>
      </c>
      <c r="S599">
        <v>64</v>
      </c>
      <c r="T599" t="s">
        <v>5</v>
      </c>
      <c r="U599" t="s">
        <v>106</v>
      </c>
      <c r="V599" t="s">
        <v>5</v>
      </c>
      <c r="W599">
        <v>1</v>
      </c>
      <c r="X599" t="s">
        <v>31</v>
      </c>
      <c r="Z599" t="s">
        <v>5</v>
      </c>
      <c r="AA599" t="s">
        <v>5</v>
      </c>
      <c r="AC599" t="s">
        <v>9</v>
      </c>
      <c r="AD599">
        <v>450</v>
      </c>
    </row>
    <row r="600" spans="1:30" x14ac:dyDescent="0.3">
      <c r="A600">
        <v>16865540</v>
      </c>
      <c r="B600" s="3">
        <v>45663</v>
      </c>
      <c r="C600">
        <v>2025</v>
      </c>
      <c r="D600">
        <v>1</v>
      </c>
      <c r="E600" t="s">
        <v>1579</v>
      </c>
      <c r="F600" t="s">
        <v>0</v>
      </c>
      <c r="G600" t="s">
        <v>10</v>
      </c>
      <c r="H600" t="b">
        <v>0</v>
      </c>
      <c r="I600" t="b">
        <v>0</v>
      </c>
      <c r="J600" t="b">
        <v>0</v>
      </c>
      <c r="K600" t="b">
        <v>0</v>
      </c>
      <c r="L600" t="s">
        <v>262</v>
      </c>
      <c r="M600" t="s">
        <v>262</v>
      </c>
      <c r="N600" t="s">
        <v>12</v>
      </c>
      <c r="O600" t="b">
        <v>1</v>
      </c>
      <c r="P600">
        <v>1</v>
      </c>
      <c r="Q600" t="s">
        <v>1513</v>
      </c>
      <c r="R600" t="s">
        <v>5</v>
      </c>
      <c r="S600" t="s">
        <v>5</v>
      </c>
      <c r="T600" t="s">
        <v>5</v>
      </c>
      <c r="U600" t="s">
        <v>5</v>
      </c>
      <c r="V600" t="s">
        <v>5</v>
      </c>
      <c r="W600">
        <v>1</v>
      </c>
      <c r="X600" t="s">
        <v>31</v>
      </c>
      <c r="Z600" t="s">
        <v>5</v>
      </c>
      <c r="AA600" t="s">
        <v>5</v>
      </c>
      <c r="AC600" t="s">
        <v>377</v>
      </c>
      <c r="AD600">
        <v>446</v>
      </c>
    </row>
    <row r="601" spans="1:30" x14ac:dyDescent="0.3">
      <c r="A601">
        <v>16872990</v>
      </c>
      <c r="B601" s="3">
        <v>45666</v>
      </c>
      <c r="C601">
        <v>2025</v>
      </c>
      <c r="D601">
        <v>1</v>
      </c>
      <c r="E601" t="s">
        <v>1579</v>
      </c>
      <c r="F601" t="s">
        <v>0</v>
      </c>
      <c r="G601" t="s">
        <v>10</v>
      </c>
      <c r="H601" t="b">
        <v>0</v>
      </c>
      <c r="I601" t="b">
        <v>0</v>
      </c>
      <c r="J601" t="b">
        <v>0</v>
      </c>
      <c r="K601" t="b">
        <v>0</v>
      </c>
      <c r="L601" t="s">
        <v>2089</v>
      </c>
      <c r="M601" t="s">
        <v>962</v>
      </c>
      <c r="N601" t="s">
        <v>73</v>
      </c>
      <c r="O601" t="b">
        <v>1</v>
      </c>
      <c r="P601">
        <v>14</v>
      </c>
      <c r="Q601" t="s">
        <v>849</v>
      </c>
      <c r="R601" t="s">
        <v>850</v>
      </c>
      <c r="S601">
        <v>65</v>
      </c>
      <c r="T601" t="s">
        <v>851</v>
      </c>
      <c r="U601" t="s">
        <v>852</v>
      </c>
      <c r="V601" t="s">
        <v>5</v>
      </c>
      <c r="W601">
        <v>47</v>
      </c>
      <c r="X601" t="s">
        <v>6</v>
      </c>
      <c r="Y601">
        <v>13</v>
      </c>
      <c r="Z601" t="s">
        <v>19</v>
      </c>
      <c r="AA601" t="s">
        <v>8</v>
      </c>
      <c r="AC601" t="s">
        <v>101</v>
      </c>
      <c r="AD601">
        <v>443</v>
      </c>
    </row>
    <row r="602" spans="1:30" x14ac:dyDescent="0.3">
      <c r="A602">
        <v>16873616</v>
      </c>
      <c r="B602" s="3">
        <v>45664</v>
      </c>
      <c r="C602">
        <v>2025</v>
      </c>
      <c r="D602">
        <v>1</v>
      </c>
      <c r="E602" t="s">
        <v>1579</v>
      </c>
      <c r="F602" t="s">
        <v>0</v>
      </c>
      <c r="G602" t="s">
        <v>50</v>
      </c>
      <c r="H602" t="b">
        <v>1</v>
      </c>
      <c r="I602" t="b">
        <v>0</v>
      </c>
      <c r="J602" t="b">
        <v>0</v>
      </c>
      <c r="K602" t="b">
        <v>0</v>
      </c>
      <c r="L602" t="s">
        <v>1576</v>
      </c>
      <c r="M602" t="s">
        <v>1576</v>
      </c>
      <c r="N602" t="s">
        <v>5</v>
      </c>
      <c r="O602" t="b">
        <v>0</v>
      </c>
      <c r="P602">
        <v>1</v>
      </c>
      <c r="Q602" t="s">
        <v>1043</v>
      </c>
      <c r="R602" t="s">
        <v>1568</v>
      </c>
      <c r="S602" t="s">
        <v>5</v>
      </c>
      <c r="T602" t="s">
        <v>5</v>
      </c>
      <c r="U602" t="s">
        <v>1569</v>
      </c>
      <c r="V602" t="s">
        <v>5</v>
      </c>
      <c r="W602">
        <v>1</v>
      </c>
      <c r="X602" t="s">
        <v>31</v>
      </c>
      <c r="Z602" t="s">
        <v>5</v>
      </c>
      <c r="AA602" t="s">
        <v>5</v>
      </c>
      <c r="AC602" t="s">
        <v>377</v>
      </c>
      <c r="AD602">
        <v>445</v>
      </c>
    </row>
    <row r="603" spans="1:30" x14ac:dyDescent="0.3">
      <c r="A603">
        <v>16878045</v>
      </c>
      <c r="B603" s="3">
        <v>45670</v>
      </c>
      <c r="C603">
        <v>2025</v>
      </c>
      <c r="D603">
        <v>1</v>
      </c>
      <c r="E603" t="s">
        <v>1579</v>
      </c>
      <c r="F603" t="s">
        <v>0</v>
      </c>
      <c r="G603" t="s">
        <v>220</v>
      </c>
      <c r="H603" t="b">
        <v>0</v>
      </c>
      <c r="I603" t="b">
        <v>0</v>
      </c>
      <c r="J603" t="b">
        <v>0</v>
      </c>
      <c r="K603" t="b">
        <v>1</v>
      </c>
      <c r="L603" t="s">
        <v>2090</v>
      </c>
      <c r="M603" t="s">
        <v>152</v>
      </c>
      <c r="N603" t="s">
        <v>57</v>
      </c>
      <c r="O603" t="b">
        <v>1</v>
      </c>
      <c r="P603">
        <v>9</v>
      </c>
      <c r="Q603" t="s">
        <v>1101</v>
      </c>
      <c r="R603" t="s">
        <v>1102</v>
      </c>
      <c r="S603">
        <v>31</v>
      </c>
      <c r="T603" t="s">
        <v>894</v>
      </c>
      <c r="U603" t="s">
        <v>1103</v>
      </c>
      <c r="V603" t="s">
        <v>411</v>
      </c>
      <c r="W603">
        <v>16</v>
      </c>
      <c r="X603" t="s">
        <v>6</v>
      </c>
      <c r="Z603" t="s">
        <v>5</v>
      </c>
      <c r="AA603" t="s">
        <v>8</v>
      </c>
      <c r="AC603" t="s">
        <v>32</v>
      </c>
      <c r="AD603">
        <v>439</v>
      </c>
    </row>
    <row r="604" spans="1:30" x14ac:dyDescent="0.3">
      <c r="A604">
        <v>16878338</v>
      </c>
      <c r="B604" s="3">
        <v>45670</v>
      </c>
      <c r="C604">
        <v>2025</v>
      </c>
      <c r="D604">
        <v>1</v>
      </c>
      <c r="E604" t="s">
        <v>1579</v>
      </c>
      <c r="F604" t="s">
        <v>0</v>
      </c>
      <c r="G604" t="s">
        <v>1</v>
      </c>
      <c r="H604" t="b">
        <v>0</v>
      </c>
      <c r="I604" t="b">
        <v>1</v>
      </c>
      <c r="J604" t="b">
        <v>0</v>
      </c>
      <c r="K604" t="b">
        <v>0</v>
      </c>
      <c r="L604" t="s">
        <v>2091</v>
      </c>
      <c r="M604" t="s">
        <v>206</v>
      </c>
      <c r="N604" t="s">
        <v>70</v>
      </c>
      <c r="O604" t="b">
        <v>0</v>
      </c>
      <c r="P604">
        <v>25</v>
      </c>
      <c r="Q604" t="s">
        <v>230</v>
      </c>
      <c r="R604" t="s">
        <v>268</v>
      </c>
      <c r="S604">
        <v>48</v>
      </c>
      <c r="T604" t="s">
        <v>606</v>
      </c>
      <c r="U604" t="s">
        <v>231</v>
      </c>
      <c r="V604" t="s">
        <v>232</v>
      </c>
      <c r="W604">
        <v>21</v>
      </c>
      <c r="X604" t="s">
        <v>6</v>
      </c>
      <c r="Z604" t="s">
        <v>5</v>
      </c>
      <c r="AA604" t="s">
        <v>5</v>
      </c>
      <c r="AC604" t="s">
        <v>32</v>
      </c>
      <c r="AD604">
        <v>439</v>
      </c>
    </row>
    <row r="605" spans="1:30" x14ac:dyDescent="0.3">
      <c r="A605">
        <v>16879312</v>
      </c>
      <c r="B605" s="3">
        <v>45667</v>
      </c>
      <c r="C605">
        <v>2025</v>
      </c>
      <c r="D605">
        <v>1</v>
      </c>
      <c r="E605" t="s">
        <v>1579</v>
      </c>
      <c r="F605" t="s">
        <v>0</v>
      </c>
      <c r="G605" t="s">
        <v>1</v>
      </c>
      <c r="H605" t="b">
        <v>0</v>
      </c>
      <c r="I605" t="b">
        <v>1</v>
      </c>
      <c r="J605" t="b">
        <v>0</v>
      </c>
      <c r="K605" t="b">
        <v>0</v>
      </c>
      <c r="L605" t="s">
        <v>2092</v>
      </c>
      <c r="M605" t="s">
        <v>439</v>
      </c>
      <c r="N605" t="s">
        <v>70</v>
      </c>
      <c r="O605" t="b">
        <v>0</v>
      </c>
      <c r="P605">
        <v>26</v>
      </c>
      <c r="Q605" t="s">
        <v>611</v>
      </c>
      <c r="R605" t="s">
        <v>612</v>
      </c>
      <c r="S605">
        <v>42</v>
      </c>
      <c r="T605" t="s">
        <v>291</v>
      </c>
      <c r="U605" t="s">
        <v>29</v>
      </c>
      <c r="V605" t="s">
        <v>130</v>
      </c>
      <c r="W605">
        <v>49</v>
      </c>
      <c r="X605" t="s">
        <v>6</v>
      </c>
      <c r="Z605" t="s">
        <v>5</v>
      </c>
      <c r="AA605" t="s">
        <v>5</v>
      </c>
      <c r="AC605" t="s">
        <v>9</v>
      </c>
      <c r="AD605">
        <v>442</v>
      </c>
    </row>
    <row r="606" spans="1:30" x14ac:dyDescent="0.3">
      <c r="A606">
        <v>16882798</v>
      </c>
      <c r="B606" s="3">
        <v>45667</v>
      </c>
      <c r="C606">
        <v>2025</v>
      </c>
      <c r="D606">
        <v>1</v>
      </c>
      <c r="E606" t="s">
        <v>1579</v>
      </c>
      <c r="F606" t="s">
        <v>0</v>
      </c>
      <c r="G606" t="s">
        <v>1</v>
      </c>
      <c r="H606" t="b">
        <v>0</v>
      </c>
      <c r="I606" t="b">
        <v>1</v>
      </c>
      <c r="J606" t="b">
        <v>0</v>
      </c>
      <c r="K606" t="b">
        <v>0</v>
      </c>
      <c r="L606" t="s">
        <v>2093</v>
      </c>
      <c r="M606" t="s">
        <v>41</v>
      </c>
      <c r="N606" t="s">
        <v>57</v>
      </c>
      <c r="O606" t="b">
        <v>1</v>
      </c>
      <c r="P606">
        <v>7</v>
      </c>
      <c r="Q606" t="s">
        <v>966</v>
      </c>
      <c r="R606" t="s">
        <v>966</v>
      </c>
      <c r="S606">
        <v>48</v>
      </c>
      <c r="T606" t="s">
        <v>205</v>
      </c>
      <c r="U606" t="s">
        <v>967</v>
      </c>
      <c r="V606" t="s">
        <v>5</v>
      </c>
      <c r="W606">
        <v>6</v>
      </c>
      <c r="X606" t="s">
        <v>6</v>
      </c>
      <c r="Y606">
        <v>88</v>
      </c>
      <c r="Z606" t="s">
        <v>196</v>
      </c>
      <c r="AA606" t="s">
        <v>8</v>
      </c>
      <c r="AC606" t="s">
        <v>47</v>
      </c>
      <c r="AD606">
        <v>442</v>
      </c>
    </row>
    <row r="607" spans="1:30" x14ac:dyDescent="0.3">
      <c r="A607">
        <v>16882803</v>
      </c>
      <c r="B607" s="3">
        <v>45679</v>
      </c>
      <c r="C607">
        <v>2025</v>
      </c>
      <c r="D607">
        <v>1</v>
      </c>
      <c r="E607" t="s">
        <v>1579</v>
      </c>
      <c r="F607" t="s">
        <v>0</v>
      </c>
      <c r="G607" t="s">
        <v>10</v>
      </c>
      <c r="H607" t="b">
        <v>0</v>
      </c>
      <c r="I607" t="b">
        <v>0</v>
      </c>
      <c r="J607" t="b">
        <v>0</v>
      </c>
      <c r="K607" t="b">
        <v>0</v>
      </c>
      <c r="L607" t="s">
        <v>2094</v>
      </c>
      <c r="M607" t="s">
        <v>216</v>
      </c>
      <c r="N607" t="s">
        <v>5</v>
      </c>
      <c r="O607" t="b">
        <v>0</v>
      </c>
      <c r="P607">
        <v>2</v>
      </c>
      <c r="Q607" t="s">
        <v>1229</v>
      </c>
      <c r="R607" t="s">
        <v>1230</v>
      </c>
      <c r="S607">
        <v>48</v>
      </c>
      <c r="T607" t="s">
        <v>74</v>
      </c>
      <c r="U607" t="s">
        <v>1231</v>
      </c>
      <c r="V607" t="s">
        <v>5</v>
      </c>
      <c r="W607">
        <v>7</v>
      </c>
      <c r="X607" t="s">
        <v>6</v>
      </c>
      <c r="Y607">
        <v>78</v>
      </c>
      <c r="Z607" t="s">
        <v>67</v>
      </c>
      <c r="AA607" t="s">
        <v>15</v>
      </c>
      <c r="AC607" t="s">
        <v>47</v>
      </c>
      <c r="AD607">
        <v>430</v>
      </c>
    </row>
    <row r="608" spans="1:30" x14ac:dyDescent="0.3">
      <c r="A608">
        <v>16884748</v>
      </c>
      <c r="B608" s="3">
        <v>45681</v>
      </c>
      <c r="C608">
        <v>2025</v>
      </c>
      <c r="D608">
        <v>1</v>
      </c>
      <c r="E608" t="s">
        <v>1579</v>
      </c>
      <c r="F608" t="s">
        <v>0</v>
      </c>
      <c r="G608" t="s">
        <v>10</v>
      </c>
      <c r="H608" t="b">
        <v>0</v>
      </c>
      <c r="I608" t="b">
        <v>0</v>
      </c>
      <c r="J608" t="b">
        <v>0</v>
      </c>
      <c r="K608" t="b">
        <v>0</v>
      </c>
      <c r="L608" t="s">
        <v>2095</v>
      </c>
      <c r="M608" t="s">
        <v>1227</v>
      </c>
      <c r="N608" t="s">
        <v>5</v>
      </c>
      <c r="O608" t="b">
        <v>0</v>
      </c>
      <c r="P608">
        <v>26</v>
      </c>
      <c r="Q608" t="s">
        <v>509</v>
      </c>
      <c r="R608" t="s">
        <v>5</v>
      </c>
      <c r="S608">
        <v>65</v>
      </c>
      <c r="T608" t="s">
        <v>1152</v>
      </c>
      <c r="U608" t="s">
        <v>5</v>
      </c>
      <c r="V608" t="s">
        <v>5</v>
      </c>
      <c r="W608">
        <v>6</v>
      </c>
      <c r="X608" t="s">
        <v>6</v>
      </c>
      <c r="Z608" t="s">
        <v>5</v>
      </c>
      <c r="AA608" t="s">
        <v>8</v>
      </c>
      <c r="AC608" t="s">
        <v>25</v>
      </c>
      <c r="AD608">
        <v>428</v>
      </c>
    </row>
    <row r="609" spans="1:30" x14ac:dyDescent="0.3">
      <c r="A609">
        <v>16886750</v>
      </c>
      <c r="B609" s="3">
        <v>45686</v>
      </c>
      <c r="C609">
        <v>2025</v>
      </c>
      <c r="D609">
        <v>1</v>
      </c>
      <c r="E609" t="s">
        <v>1579</v>
      </c>
      <c r="F609" t="s">
        <v>0</v>
      </c>
      <c r="G609" t="s">
        <v>10</v>
      </c>
      <c r="H609" t="b">
        <v>0</v>
      </c>
      <c r="I609" t="b">
        <v>0</v>
      </c>
      <c r="J609" t="b">
        <v>0</v>
      </c>
      <c r="K609" t="b">
        <v>0</v>
      </c>
      <c r="L609" t="s">
        <v>2096</v>
      </c>
      <c r="M609" t="s">
        <v>806</v>
      </c>
      <c r="N609" t="s">
        <v>140</v>
      </c>
      <c r="O609" t="b">
        <v>0</v>
      </c>
      <c r="P609">
        <v>21</v>
      </c>
      <c r="Q609" t="s">
        <v>289</v>
      </c>
      <c r="R609" t="s">
        <v>290</v>
      </c>
      <c r="S609" t="s">
        <v>5</v>
      </c>
      <c r="T609" t="s">
        <v>291</v>
      </c>
      <c r="U609" t="s">
        <v>271</v>
      </c>
      <c r="V609" t="s">
        <v>292</v>
      </c>
      <c r="W609">
        <v>22</v>
      </c>
      <c r="X609" t="s">
        <v>6</v>
      </c>
      <c r="Y609">
        <v>65</v>
      </c>
      <c r="Z609" t="s">
        <v>7</v>
      </c>
      <c r="AA609" t="s">
        <v>8</v>
      </c>
      <c r="AC609" t="s">
        <v>9</v>
      </c>
      <c r="AD609">
        <v>423</v>
      </c>
    </row>
    <row r="610" spans="1:30" x14ac:dyDescent="0.3">
      <c r="A610">
        <v>16892050</v>
      </c>
      <c r="B610" s="3">
        <v>45685</v>
      </c>
      <c r="C610">
        <v>2025</v>
      </c>
      <c r="D610">
        <v>1</v>
      </c>
      <c r="E610" t="s">
        <v>1579</v>
      </c>
      <c r="F610" t="s">
        <v>0</v>
      </c>
      <c r="G610" t="s">
        <v>1</v>
      </c>
      <c r="H610" t="b">
        <v>0</v>
      </c>
      <c r="I610" t="b">
        <v>1</v>
      </c>
      <c r="J610" t="b">
        <v>0</v>
      </c>
      <c r="K610" t="b">
        <v>0</v>
      </c>
      <c r="L610" t="s">
        <v>2097</v>
      </c>
      <c r="M610" t="s">
        <v>76</v>
      </c>
      <c r="N610" t="s">
        <v>5</v>
      </c>
      <c r="O610" t="b">
        <v>0</v>
      </c>
      <c r="P610">
        <v>14</v>
      </c>
      <c r="Q610" t="s">
        <v>289</v>
      </c>
      <c r="R610" t="s">
        <v>290</v>
      </c>
      <c r="S610" t="s">
        <v>5</v>
      </c>
      <c r="T610" t="s">
        <v>291</v>
      </c>
      <c r="U610" t="s">
        <v>271</v>
      </c>
      <c r="V610" t="s">
        <v>292</v>
      </c>
      <c r="W610">
        <v>21</v>
      </c>
      <c r="X610" t="s">
        <v>6</v>
      </c>
      <c r="Y610">
        <v>65</v>
      </c>
      <c r="Z610" t="s">
        <v>7</v>
      </c>
      <c r="AA610" t="s">
        <v>8</v>
      </c>
      <c r="AC610" t="s">
        <v>9</v>
      </c>
      <c r="AD610">
        <v>424</v>
      </c>
    </row>
    <row r="611" spans="1:30" x14ac:dyDescent="0.3">
      <c r="A611">
        <v>16909030</v>
      </c>
      <c r="B611" s="3">
        <v>45685</v>
      </c>
      <c r="C611">
        <v>2025</v>
      </c>
      <c r="D611">
        <v>1</v>
      </c>
      <c r="E611" t="s">
        <v>1579</v>
      </c>
      <c r="F611" t="s">
        <v>125</v>
      </c>
      <c r="G611" t="s">
        <v>10</v>
      </c>
      <c r="H611" t="b">
        <v>0</v>
      </c>
      <c r="I611" t="b">
        <v>0</v>
      </c>
      <c r="J611" t="b">
        <v>0</v>
      </c>
      <c r="K611" t="b">
        <v>0</v>
      </c>
      <c r="L611" t="s">
        <v>839</v>
      </c>
      <c r="M611" t="s">
        <v>839</v>
      </c>
      <c r="N611" t="s">
        <v>264</v>
      </c>
      <c r="O611" t="b">
        <v>0</v>
      </c>
      <c r="P611">
        <v>1</v>
      </c>
      <c r="Q611" t="s">
        <v>208</v>
      </c>
      <c r="R611" t="s">
        <v>286</v>
      </c>
      <c r="S611">
        <v>48</v>
      </c>
      <c r="T611" t="s">
        <v>237</v>
      </c>
      <c r="U611" t="s">
        <v>210</v>
      </c>
      <c r="V611" t="s">
        <v>5</v>
      </c>
      <c r="W611">
        <v>2</v>
      </c>
      <c r="X611" t="s">
        <v>14</v>
      </c>
      <c r="Y611">
        <v>67</v>
      </c>
      <c r="Z611" t="s">
        <v>67</v>
      </c>
      <c r="AA611" t="s">
        <v>15</v>
      </c>
      <c r="AB611">
        <v>82</v>
      </c>
      <c r="AC611" t="s">
        <v>32</v>
      </c>
      <c r="AD611">
        <v>424</v>
      </c>
    </row>
    <row r="612" spans="1:30" x14ac:dyDescent="0.3">
      <c r="A612">
        <v>16910479</v>
      </c>
      <c r="B612" s="3">
        <v>45686</v>
      </c>
      <c r="C612">
        <v>2025</v>
      </c>
      <c r="D612">
        <v>1</v>
      </c>
      <c r="E612" t="s">
        <v>1579</v>
      </c>
      <c r="F612" t="s">
        <v>0</v>
      </c>
      <c r="G612" t="s">
        <v>1</v>
      </c>
      <c r="H612" t="b">
        <v>0</v>
      </c>
      <c r="I612" t="b">
        <v>1</v>
      </c>
      <c r="J612" t="b">
        <v>0</v>
      </c>
      <c r="K612" t="b">
        <v>0</v>
      </c>
      <c r="L612" t="s">
        <v>2098</v>
      </c>
      <c r="M612" t="s">
        <v>857</v>
      </c>
      <c r="N612" t="s">
        <v>57</v>
      </c>
      <c r="O612" t="b">
        <v>1</v>
      </c>
      <c r="P612">
        <v>8</v>
      </c>
      <c r="Q612" t="s">
        <v>588</v>
      </c>
      <c r="R612" t="s">
        <v>589</v>
      </c>
      <c r="S612" t="s">
        <v>5</v>
      </c>
      <c r="T612" t="s">
        <v>590</v>
      </c>
      <c r="U612" t="s">
        <v>591</v>
      </c>
      <c r="V612" t="s">
        <v>592</v>
      </c>
      <c r="W612">
        <v>46</v>
      </c>
      <c r="X612" t="s">
        <v>6</v>
      </c>
      <c r="Y612">
        <v>57</v>
      </c>
      <c r="Z612" t="s">
        <v>7</v>
      </c>
      <c r="AA612" t="s">
        <v>8</v>
      </c>
      <c r="AB612">
        <v>82</v>
      </c>
      <c r="AC612" t="s">
        <v>32</v>
      </c>
      <c r="AD612">
        <v>423</v>
      </c>
    </row>
    <row r="613" spans="1:30" x14ac:dyDescent="0.3">
      <c r="A613">
        <v>16910655</v>
      </c>
      <c r="B613" s="3">
        <v>45688</v>
      </c>
      <c r="C613">
        <v>2025</v>
      </c>
      <c r="D613">
        <v>1</v>
      </c>
      <c r="E613" t="s">
        <v>1579</v>
      </c>
      <c r="F613" t="s">
        <v>0</v>
      </c>
      <c r="G613" t="s">
        <v>50</v>
      </c>
      <c r="H613" t="b">
        <v>1</v>
      </c>
      <c r="I613" t="b">
        <v>0</v>
      </c>
      <c r="J613" t="b">
        <v>0</v>
      </c>
      <c r="K613" t="b">
        <v>0</v>
      </c>
      <c r="L613" t="s">
        <v>50</v>
      </c>
      <c r="M613" t="s">
        <v>50</v>
      </c>
      <c r="N613" t="s">
        <v>5</v>
      </c>
      <c r="O613" t="b">
        <v>0</v>
      </c>
      <c r="P613">
        <v>1</v>
      </c>
      <c r="Q613" t="s">
        <v>569</v>
      </c>
      <c r="R613" t="s">
        <v>570</v>
      </c>
      <c r="S613">
        <v>40</v>
      </c>
      <c r="T613" t="s">
        <v>426</v>
      </c>
      <c r="U613" t="s">
        <v>81</v>
      </c>
      <c r="V613" t="s">
        <v>571</v>
      </c>
      <c r="W613">
        <v>2</v>
      </c>
      <c r="X613" t="s">
        <v>14</v>
      </c>
      <c r="Y613">
        <v>64</v>
      </c>
      <c r="Z613" t="s">
        <v>7</v>
      </c>
      <c r="AA613" t="s">
        <v>8</v>
      </c>
      <c r="AC613" t="s">
        <v>32</v>
      </c>
      <c r="AD613">
        <v>421</v>
      </c>
    </row>
    <row r="614" spans="1:30" x14ac:dyDescent="0.3">
      <c r="A614">
        <v>16913973</v>
      </c>
      <c r="B614" s="3">
        <v>45660</v>
      </c>
      <c r="C614">
        <v>2025</v>
      </c>
      <c r="D614">
        <v>1</v>
      </c>
      <c r="E614" t="s">
        <v>1579</v>
      </c>
      <c r="F614" t="s">
        <v>0</v>
      </c>
      <c r="G614" t="s">
        <v>16</v>
      </c>
      <c r="H614" t="b">
        <v>0</v>
      </c>
      <c r="I614" t="b">
        <v>1</v>
      </c>
      <c r="J614" t="b">
        <v>1</v>
      </c>
      <c r="K614" t="b">
        <v>0</v>
      </c>
      <c r="L614" t="s">
        <v>515</v>
      </c>
      <c r="M614" t="s">
        <v>515</v>
      </c>
      <c r="N614" t="s">
        <v>5</v>
      </c>
      <c r="O614" t="b">
        <v>0</v>
      </c>
      <c r="P614">
        <v>1</v>
      </c>
      <c r="Q614" t="s">
        <v>576</v>
      </c>
      <c r="R614" t="s">
        <v>577</v>
      </c>
      <c r="S614" t="s">
        <v>5</v>
      </c>
      <c r="T614" t="s">
        <v>206</v>
      </c>
      <c r="U614" t="s">
        <v>578</v>
      </c>
      <c r="V614" t="s">
        <v>5</v>
      </c>
      <c r="W614">
        <v>7</v>
      </c>
      <c r="X614" t="s">
        <v>6</v>
      </c>
      <c r="Y614">
        <v>73</v>
      </c>
      <c r="Z614" t="s">
        <v>67</v>
      </c>
      <c r="AA614" t="s">
        <v>8</v>
      </c>
      <c r="AC614" t="s">
        <v>47</v>
      </c>
      <c r="AD614">
        <v>449</v>
      </c>
    </row>
    <row r="615" spans="1:30" x14ac:dyDescent="0.3">
      <c r="A615">
        <v>16914994</v>
      </c>
      <c r="B615" s="3">
        <v>45687</v>
      </c>
      <c r="C615">
        <v>2025</v>
      </c>
      <c r="D615">
        <v>1</v>
      </c>
      <c r="E615" t="s">
        <v>1579</v>
      </c>
      <c r="F615" t="s">
        <v>0</v>
      </c>
      <c r="G615" t="s">
        <v>151</v>
      </c>
      <c r="H615" t="b">
        <v>0</v>
      </c>
      <c r="I615" t="b">
        <v>1</v>
      </c>
      <c r="J615" t="b">
        <v>0</v>
      </c>
      <c r="K615" t="b">
        <v>1</v>
      </c>
      <c r="L615" t="s">
        <v>2099</v>
      </c>
      <c r="M615" t="s">
        <v>838</v>
      </c>
      <c r="N615" t="s">
        <v>57</v>
      </c>
      <c r="O615" t="b">
        <v>1</v>
      </c>
      <c r="P615">
        <v>10</v>
      </c>
      <c r="Q615" t="s">
        <v>1229</v>
      </c>
      <c r="R615" t="s">
        <v>1230</v>
      </c>
      <c r="S615">
        <v>65</v>
      </c>
      <c r="T615" t="s">
        <v>74</v>
      </c>
      <c r="U615" t="s">
        <v>1231</v>
      </c>
      <c r="V615" t="s">
        <v>5</v>
      </c>
      <c r="W615">
        <v>1</v>
      </c>
      <c r="X615" t="s">
        <v>31</v>
      </c>
      <c r="Y615">
        <v>61</v>
      </c>
      <c r="Z615" t="s">
        <v>7</v>
      </c>
      <c r="AA615" t="s">
        <v>8</v>
      </c>
      <c r="AC615" t="s">
        <v>32</v>
      </c>
      <c r="AD615">
        <v>422</v>
      </c>
    </row>
    <row r="616" spans="1:30" x14ac:dyDescent="0.3">
      <c r="A616">
        <v>16923482</v>
      </c>
      <c r="B616" s="3">
        <v>45668</v>
      </c>
      <c r="C616">
        <v>2025</v>
      </c>
      <c r="D616">
        <v>1</v>
      </c>
      <c r="E616" t="s">
        <v>1579</v>
      </c>
      <c r="F616" t="s">
        <v>0</v>
      </c>
      <c r="G616" t="s">
        <v>1</v>
      </c>
      <c r="H616" t="b">
        <v>0</v>
      </c>
      <c r="I616" t="b">
        <v>1</v>
      </c>
      <c r="J616" t="b">
        <v>0</v>
      </c>
      <c r="K616" t="b">
        <v>0</v>
      </c>
      <c r="L616" t="s">
        <v>2100</v>
      </c>
      <c r="M616" t="s">
        <v>642</v>
      </c>
      <c r="N616" t="s">
        <v>57</v>
      </c>
      <c r="O616" t="b">
        <v>1</v>
      </c>
      <c r="P616">
        <v>5</v>
      </c>
      <c r="Q616" t="s">
        <v>1202</v>
      </c>
      <c r="R616" t="s">
        <v>5</v>
      </c>
      <c r="S616">
        <v>65</v>
      </c>
      <c r="T616" t="s">
        <v>729</v>
      </c>
      <c r="U616" t="s">
        <v>5</v>
      </c>
      <c r="V616" t="s">
        <v>5</v>
      </c>
      <c r="W616">
        <v>13</v>
      </c>
      <c r="X616" t="s">
        <v>6</v>
      </c>
      <c r="Y616">
        <v>51</v>
      </c>
      <c r="Z616" t="s">
        <v>7</v>
      </c>
      <c r="AA616" t="s">
        <v>8</v>
      </c>
      <c r="AC616" t="s">
        <v>32</v>
      </c>
      <c r="AD616">
        <v>441</v>
      </c>
    </row>
    <row r="617" spans="1:30" x14ac:dyDescent="0.3">
      <c r="A617">
        <v>16930445</v>
      </c>
      <c r="B617" s="3">
        <v>45660</v>
      </c>
      <c r="C617">
        <v>2025</v>
      </c>
      <c r="D617">
        <v>1</v>
      </c>
      <c r="E617" t="s">
        <v>1579</v>
      </c>
      <c r="F617" t="s">
        <v>0</v>
      </c>
      <c r="G617" t="s">
        <v>10</v>
      </c>
      <c r="H617" t="b">
        <v>0</v>
      </c>
      <c r="I617" t="b">
        <v>0</v>
      </c>
      <c r="J617" t="b">
        <v>0</v>
      </c>
      <c r="K617" t="b">
        <v>0</v>
      </c>
      <c r="L617" t="s">
        <v>2101</v>
      </c>
      <c r="M617" t="s">
        <v>2102</v>
      </c>
      <c r="N617" t="s">
        <v>5</v>
      </c>
      <c r="O617" t="b">
        <v>0</v>
      </c>
      <c r="P617">
        <v>3</v>
      </c>
      <c r="Q617" t="s">
        <v>208</v>
      </c>
      <c r="R617" t="s">
        <v>209</v>
      </c>
      <c r="S617" t="s">
        <v>5</v>
      </c>
      <c r="T617" t="s">
        <v>80</v>
      </c>
      <c r="U617" t="s">
        <v>210</v>
      </c>
      <c r="V617" t="s">
        <v>5</v>
      </c>
      <c r="W617">
        <v>2</v>
      </c>
      <c r="X617" t="s">
        <v>14</v>
      </c>
      <c r="Y617">
        <v>68</v>
      </c>
      <c r="Z617" t="s">
        <v>67</v>
      </c>
      <c r="AA617" t="s">
        <v>8</v>
      </c>
      <c r="AC617" t="s">
        <v>32</v>
      </c>
      <c r="AD617">
        <v>449</v>
      </c>
    </row>
    <row r="618" spans="1:30" x14ac:dyDescent="0.3">
      <c r="A618">
        <v>16933662</v>
      </c>
      <c r="B618" s="3">
        <v>45666</v>
      </c>
      <c r="C618">
        <v>2025</v>
      </c>
      <c r="D618">
        <v>1</v>
      </c>
      <c r="E618" t="s">
        <v>1579</v>
      </c>
      <c r="F618" t="s">
        <v>125</v>
      </c>
      <c r="G618" t="s">
        <v>10</v>
      </c>
      <c r="H618" t="b">
        <v>0</v>
      </c>
      <c r="I618" t="b">
        <v>0</v>
      </c>
      <c r="J618" t="b">
        <v>0</v>
      </c>
      <c r="K618" t="b">
        <v>0</v>
      </c>
      <c r="L618" t="s">
        <v>2103</v>
      </c>
      <c r="M618" t="s">
        <v>957</v>
      </c>
      <c r="N618" t="s">
        <v>5</v>
      </c>
      <c r="O618" t="b">
        <v>0</v>
      </c>
      <c r="P618">
        <v>5</v>
      </c>
      <c r="Q618" t="s">
        <v>588</v>
      </c>
      <c r="R618" t="s">
        <v>589</v>
      </c>
      <c r="S618" t="s">
        <v>5</v>
      </c>
      <c r="T618" t="s">
        <v>977</v>
      </c>
      <c r="U618" t="s">
        <v>591</v>
      </c>
      <c r="V618" t="s">
        <v>592</v>
      </c>
      <c r="W618">
        <v>25</v>
      </c>
      <c r="X618" t="s">
        <v>6</v>
      </c>
      <c r="Z618" t="s">
        <v>5</v>
      </c>
      <c r="AA618" t="s">
        <v>8</v>
      </c>
      <c r="AB618">
        <v>84</v>
      </c>
      <c r="AC618" t="s">
        <v>32</v>
      </c>
      <c r="AD618">
        <v>443</v>
      </c>
    </row>
    <row r="619" spans="1:30" x14ac:dyDescent="0.3">
      <c r="A619">
        <v>16941431</v>
      </c>
      <c r="B619" s="3">
        <v>45686</v>
      </c>
      <c r="C619">
        <v>2025</v>
      </c>
      <c r="D619">
        <v>1</v>
      </c>
      <c r="E619" t="s">
        <v>1579</v>
      </c>
      <c r="F619" t="s">
        <v>0</v>
      </c>
      <c r="G619" t="s">
        <v>10</v>
      </c>
      <c r="H619" t="b">
        <v>0</v>
      </c>
      <c r="I619" t="b">
        <v>0</v>
      </c>
      <c r="J619" t="b">
        <v>0</v>
      </c>
      <c r="K619" t="b">
        <v>0</v>
      </c>
      <c r="L619" t="s">
        <v>2104</v>
      </c>
      <c r="M619" t="s">
        <v>300</v>
      </c>
      <c r="N619" t="s">
        <v>57</v>
      </c>
      <c r="O619" t="b">
        <v>1</v>
      </c>
      <c r="P619">
        <v>8</v>
      </c>
      <c r="Q619" t="s">
        <v>907</v>
      </c>
      <c r="R619" t="s">
        <v>5</v>
      </c>
      <c r="S619" t="s">
        <v>5</v>
      </c>
      <c r="T619" t="s">
        <v>756</v>
      </c>
      <c r="U619" t="s">
        <v>5</v>
      </c>
      <c r="V619" t="s">
        <v>5</v>
      </c>
      <c r="W619">
        <v>6</v>
      </c>
      <c r="X619" t="s">
        <v>6</v>
      </c>
      <c r="Y619">
        <v>6</v>
      </c>
      <c r="Z619" t="s">
        <v>46</v>
      </c>
      <c r="AA619" t="s">
        <v>15</v>
      </c>
      <c r="AC619" t="s">
        <v>32</v>
      </c>
      <c r="AD619">
        <v>423</v>
      </c>
    </row>
    <row r="620" spans="1:30" x14ac:dyDescent="0.3">
      <c r="A620">
        <v>16942308</v>
      </c>
      <c r="B620" s="3">
        <v>45681</v>
      </c>
      <c r="C620">
        <v>2025</v>
      </c>
      <c r="D620">
        <v>1</v>
      </c>
      <c r="E620" t="s">
        <v>1579</v>
      </c>
      <c r="F620" t="s">
        <v>125</v>
      </c>
      <c r="G620" t="s">
        <v>10</v>
      </c>
      <c r="H620" t="b">
        <v>0</v>
      </c>
      <c r="I620" t="b">
        <v>0</v>
      </c>
      <c r="J620" t="b">
        <v>0</v>
      </c>
      <c r="K620" t="b">
        <v>0</v>
      </c>
      <c r="L620" t="s">
        <v>1283</v>
      </c>
      <c r="M620" t="s">
        <v>308</v>
      </c>
      <c r="N620" t="s">
        <v>5</v>
      </c>
      <c r="O620" t="b">
        <v>0</v>
      </c>
      <c r="P620">
        <v>2</v>
      </c>
      <c r="Q620" t="s">
        <v>455</v>
      </c>
      <c r="R620" t="s">
        <v>456</v>
      </c>
      <c r="S620">
        <v>58</v>
      </c>
      <c r="T620" t="s">
        <v>457</v>
      </c>
      <c r="U620" t="s">
        <v>23</v>
      </c>
      <c r="V620" t="s">
        <v>458</v>
      </c>
      <c r="W620">
        <v>13</v>
      </c>
      <c r="X620" t="s">
        <v>6</v>
      </c>
      <c r="Y620">
        <v>4</v>
      </c>
      <c r="Z620" t="s">
        <v>46</v>
      </c>
      <c r="AA620" t="s">
        <v>8</v>
      </c>
      <c r="AB620">
        <v>65.95</v>
      </c>
      <c r="AC620" t="s">
        <v>32</v>
      </c>
      <c r="AD620">
        <v>428</v>
      </c>
    </row>
    <row r="621" spans="1:30" x14ac:dyDescent="0.3">
      <c r="A621">
        <v>16943184</v>
      </c>
      <c r="B621" s="3">
        <v>45681</v>
      </c>
      <c r="C621">
        <v>2025</v>
      </c>
      <c r="D621">
        <v>1</v>
      </c>
      <c r="E621" t="s">
        <v>1579</v>
      </c>
      <c r="F621" t="s">
        <v>125</v>
      </c>
      <c r="G621" t="s">
        <v>10</v>
      </c>
      <c r="H621" t="b">
        <v>0</v>
      </c>
      <c r="I621" t="b">
        <v>0</v>
      </c>
      <c r="J621" t="b">
        <v>0</v>
      </c>
      <c r="K621" t="b">
        <v>0</v>
      </c>
      <c r="L621" t="s">
        <v>2105</v>
      </c>
      <c r="M621" t="s">
        <v>767</v>
      </c>
      <c r="N621" t="s">
        <v>63</v>
      </c>
      <c r="O621" t="b">
        <v>0</v>
      </c>
      <c r="P621">
        <v>9</v>
      </c>
      <c r="Q621" t="s">
        <v>542</v>
      </c>
      <c r="R621" t="s">
        <v>5</v>
      </c>
      <c r="S621" t="s">
        <v>5</v>
      </c>
      <c r="T621" t="s">
        <v>131</v>
      </c>
      <c r="U621" t="s">
        <v>5</v>
      </c>
      <c r="V621" t="s">
        <v>5</v>
      </c>
      <c r="W621">
        <v>11</v>
      </c>
      <c r="X621" t="s">
        <v>6</v>
      </c>
      <c r="Y621">
        <v>58</v>
      </c>
      <c r="Z621" t="s">
        <v>7</v>
      </c>
      <c r="AA621" t="s">
        <v>8</v>
      </c>
      <c r="AC621" t="s">
        <v>32</v>
      </c>
      <c r="AD621">
        <v>428</v>
      </c>
    </row>
    <row r="622" spans="1:30" x14ac:dyDescent="0.3">
      <c r="A622">
        <v>16945553</v>
      </c>
      <c r="B622" s="3">
        <v>45674</v>
      </c>
      <c r="C622">
        <v>2025</v>
      </c>
      <c r="D622">
        <v>1</v>
      </c>
      <c r="E622" t="s">
        <v>1579</v>
      </c>
      <c r="F622" t="s">
        <v>0</v>
      </c>
      <c r="G622" t="s">
        <v>198</v>
      </c>
      <c r="H622" t="b">
        <v>0</v>
      </c>
      <c r="I622" t="b">
        <v>0</v>
      </c>
      <c r="J622" t="b">
        <v>1</v>
      </c>
      <c r="K622" t="b">
        <v>0</v>
      </c>
      <c r="L622" t="s">
        <v>1828</v>
      </c>
      <c r="M622" t="s">
        <v>1740</v>
      </c>
      <c r="N622" t="s">
        <v>5</v>
      </c>
      <c r="O622" t="b">
        <v>0</v>
      </c>
      <c r="P622">
        <v>2</v>
      </c>
      <c r="Q622" t="s">
        <v>1730</v>
      </c>
      <c r="R622" t="s">
        <v>1731</v>
      </c>
      <c r="S622">
        <v>64</v>
      </c>
      <c r="T622" t="s">
        <v>1497</v>
      </c>
      <c r="U622" t="s">
        <v>1732</v>
      </c>
      <c r="V622" t="s">
        <v>1197</v>
      </c>
      <c r="W622">
        <v>1</v>
      </c>
      <c r="X622" t="s">
        <v>31</v>
      </c>
      <c r="Z622" t="s">
        <v>5</v>
      </c>
      <c r="AA622" t="s">
        <v>5</v>
      </c>
      <c r="AC622" t="s">
        <v>25</v>
      </c>
      <c r="AD622">
        <v>435</v>
      </c>
    </row>
    <row r="623" spans="1:30" x14ac:dyDescent="0.3">
      <c r="A623">
        <v>16955660</v>
      </c>
      <c r="B623" s="3">
        <v>45677</v>
      </c>
      <c r="C623">
        <v>2025</v>
      </c>
      <c r="D623">
        <v>1</v>
      </c>
      <c r="E623" t="s">
        <v>1579</v>
      </c>
      <c r="F623" t="s">
        <v>0</v>
      </c>
      <c r="G623" t="s">
        <v>10</v>
      </c>
      <c r="H623" t="b">
        <v>0</v>
      </c>
      <c r="I623" t="b">
        <v>0</v>
      </c>
      <c r="J623" t="b">
        <v>0</v>
      </c>
      <c r="K623" t="b">
        <v>0</v>
      </c>
      <c r="L623" t="s">
        <v>2106</v>
      </c>
      <c r="M623" t="s">
        <v>1185</v>
      </c>
      <c r="N623" t="s">
        <v>94</v>
      </c>
      <c r="O623" t="b">
        <v>1</v>
      </c>
      <c r="P623">
        <v>3</v>
      </c>
      <c r="Q623" t="s">
        <v>333</v>
      </c>
      <c r="R623" t="s">
        <v>334</v>
      </c>
      <c r="S623" t="s">
        <v>5</v>
      </c>
      <c r="T623" t="s">
        <v>335</v>
      </c>
      <c r="U623" t="s">
        <v>210</v>
      </c>
      <c r="V623" t="s">
        <v>5</v>
      </c>
      <c r="W623">
        <v>4</v>
      </c>
      <c r="X623" t="s">
        <v>40</v>
      </c>
      <c r="Y623">
        <v>73</v>
      </c>
      <c r="Z623" t="s">
        <v>67</v>
      </c>
      <c r="AA623" t="s">
        <v>8</v>
      </c>
      <c r="AC623" t="s">
        <v>32</v>
      </c>
      <c r="AD623">
        <v>432</v>
      </c>
    </row>
    <row r="624" spans="1:30" x14ac:dyDescent="0.3">
      <c r="A624">
        <v>16962951</v>
      </c>
      <c r="B624" s="3">
        <v>45669</v>
      </c>
      <c r="C624">
        <v>2025</v>
      </c>
      <c r="D624">
        <v>1</v>
      </c>
      <c r="E624" t="s">
        <v>1579</v>
      </c>
      <c r="F624" t="s">
        <v>0</v>
      </c>
      <c r="G624" t="s">
        <v>1</v>
      </c>
      <c r="H624" t="b">
        <v>0</v>
      </c>
      <c r="I624" t="b">
        <v>1</v>
      </c>
      <c r="J624" t="b">
        <v>0</v>
      </c>
      <c r="K624" t="b">
        <v>0</v>
      </c>
      <c r="L624" t="s">
        <v>2107</v>
      </c>
      <c r="M624" t="s">
        <v>920</v>
      </c>
      <c r="N624" t="s">
        <v>63</v>
      </c>
      <c r="O624" t="b">
        <v>0</v>
      </c>
      <c r="P624">
        <v>2</v>
      </c>
      <c r="Q624" t="s">
        <v>695</v>
      </c>
      <c r="R624" t="s">
        <v>696</v>
      </c>
      <c r="S624">
        <v>58</v>
      </c>
      <c r="T624" t="s">
        <v>594</v>
      </c>
      <c r="U624" t="s">
        <v>501</v>
      </c>
      <c r="V624" t="s">
        <v>697</v>
      </c>
      <c r="W624">
        <v>2</v>
      </c>
      <c r="X624" t="s">
        <v>14</v>
      </c>
      <c r="Y624">
        <v>63</v>
      </c>
      <c r="Z624" t="s">
        <v>7</v>
      </c>
      <c r="AA624" t="s">
        <v>8</v>
      </c>
      <c r="AC624" t="s">
        <v>9</v>
      </c>
      <c r="AD624">
        <v>440</v>
      </c>
    </row>
    <row r="625" spans="1:30" x14ac:dyDescent="0.3">
      <c r="A625">
        <v>16974752</v>
      </c>
      <c r="B625" s="3">
        <v>45681</v>
      </c>
      <c r="C625">
        <v>2025</v>
      </c>
      <c r="D625">
        <v>1</v>
      </c>
      <c r="E625" t="s">
        <v>1579</v>
      </c>
      <c r="F625" t="s">
        <v>0</v>
      </c>
      <c r="G625" t="s">
        <v>10</v>
      </c>
      <c r="H625" t="b">
        <v>0</v>
      </c>
      <c r="I625" t="b">
        <v>0</v>
      </c>
      <c r="J625" t="b">
        <v>0</v>
      </c>
      <c r="K625" t="b">
        <v>0</v>
      </c>
      <c r="L625" t="s">
        <v>2108</v>
      </c>
      <c r="M625" t="s">
        <v>432</v>
      </c>
      <c r="N625" t="s">
        <v>12</v>
      </c>
      <c r="O625" t="b">
        <v>1</v>
      </c>
      <c r="P625">
        <v>22</v>
      </c>
      <c r="Q625" t="s">
        <v>328</v>
      </c>
      <c r="R625" t="s">
        <v>329</v>
      </c>
      <c r="S625">
        <v>65</v>
      </c>
      <c r="T625" t="s">
        <v>83</v>
      </c>
      <c r="U625" t="s">
        <v>330</v>
      </c>
      <c r="V625" t="s">
        <v>331</v>
      </c>
      <c r="W625">
        <v>74</v>
      </c>
      <c r="X625" t="s">
        <v>6</v>
      </c>
      <c r="Y625">
        <v>63</v>
      </c>
      <c r="Z625" t="s">
        <v>7</v>
      </c>
      <c r="AA625" t="s">
        <v>15</v>
      </c>
      <c r="AB625">
        <v>97</v>
      </c>
      <c r="AC625" t="s">
        <v>9</v>
      </c>
      <c r="AD625">
        <v>428</v>
      </c>
    </row>
    <row r="626" spans="1:30" x14ac:dyDescent="0.3">
      <c r="A626">
        <v>16979305</v>
      </c>
      <c r="B626" s="3">
        <v>45678</v>
      </c>
      <c r="C626">
        <v>2025</v>
      </c>
      <c r="D626">
        <v>1</v>
      </c>
      <c r="E626" t="s">
        <v>1579</v>
      </c>
      <c r="F626" t="s">
        <v>0</v>
      </c>
      <c r="G626" t="s">
        <v>10</v>
      </c>
      <c r="H626" t="b">
        <v>0</v>
      </c>
      <c r="I626" t="b">
        <v>0</v>
      </c>
      <c r="J626" t="b">
        <v>0</v>
      </c>
      <c r="K626" t="b">
        <v>0</v>
      </c>
      <c r="L626" t="s">
        <v>2109</v>
      </c>
      <c r="M626" t="s">
        <v>928</v>
      </c>
      <c r="N626" t="s">
        <v>5</v>
      </c>
      <c r="O626" t="b">
        <v>0</v>
      </c>
      <c r="P626">
        <v>3</v>
      </c>
      <c r="Q626" t="s">
        <v>162</v>
      </c>
      <c r="R626" t="s">
        <v>163</v>
      </c>
      <c r="S626">
        <v>48</v>
      </c>
      <c r="T626" t="s">
        <v>87</v>
      </c>
      <c r="U626" t="s">
        <v>88</v>
      </c>
      <c r="V626" t="s">
        <v>89</v>
      </c>
      <c r="W626">
        <v>2</v>
      </c>
      <c r="X626" t="s">
        <v>14</v>
      </c>
      <c r="Y626">
        <v>62</v>
      </c>
      <c r="Z626" t="s">
        <v>7</v>
      </c>
      <c r="AA626" t="s">
        <v>8</v>
      </c>
      <c r="AB626">
        <v>47.165999999999997</v>
      </c>
      <c r="AC626" t="s">
        <v>32</v>
      </c>
      <c r="AD626">
        <v>431</v>
      </c>
    </row>
    <row r="627" spans="1:30" x14ac:dyDescent="0.3">
      <c r="A627">
        <v>16982183</v>
      </c>
      <c r="B627" s="3">
        <v>45666</v>
      </c>
      <c r="C627">
        <v>2025</v>
      </c>
      <c r="D627">
        <v>1</v>
      </c>
      <c r="E627" t="s">
        <v>1579</v>
      </c>
      <c r="F627" t="s">
        <v>0</v>
      </c>
      <c r="G627" t="s">
        <v>1</v>
      </c>
      <c r="H627" t="b">
        <v>0</v>
      </c>
      <c r="I627" t="b">
        <v>1</v>
      </c>
      <c r="J627" t="b">
        <v>0</v>
      </c>
      <c r="K627" t="b">
        <v>0</v>
      </c>
      <c r="L627" t="s">
        <v>893</v>
      </c>
      <c r="M627" t="s">
        <v>893</v>
      </c>
      <c r="N627" t="s">
        <v>407</v>
      </c>
      <c r="O627" t="b">
        <v>0</v>
      </c>
      <c r="P627">
        <v>1</v>
      </c>
      <c r="Q627" t="s">
        <v>600</v>
      </c>
      <c r="R627" t="s">
        <v>601</v>
      </c>
      <c r="S627">
        <v>58</v>
      </c>
      <c r="T627" t="s">
        <v>602</v>
      </c>
      <c r="U627" t="s">
        <v>603</v>
      </c>
      <c r="V627" t="s">
        <v>5</v>
      </c>
      <c r="W627">
        <v>7</v>
      </c>
      <c r="X627" t="s">
        <v>6</v>
      </c>
      <c r="Y627">
        <v>68</v>
      </c>
      <c r="Z627" t="s">
        <v>67</v>
      </c>
      <c r="AA627" t="s">
        <v>15</v>
      </c>
      <c r="AB627">
        <v>65.5</v>
      </c>
      <c r="AC627" t="s">
        <v>20</v>
      </c>
      <c r="AD627">
        <v>443</v>
      </c>
    </row>
    <row r="628" spans="1:30" x14ac:dyDescent="0.3">
      <c r="A628">
        <v>16985756</v>
      </c>
      <c r="B628" s="3">
        <v>45671</v>
      </c>
      <c r="C628">
        <v>2025</v>
      </c>
      <c r="D628">
        <v>1</v>
      </c>
      <c r="E628" t="s">
        <v>1579</v>
      </c>
      <c r="F628" t="s">
        <v>0</v>
      </c>
      <c r="G628" t="s">
        <v>1</v>
      </c>
      <c r="H628" t="b">
        <v>0</v>
      </c>
      <c r="I628" t="b">
        <v>1</v>
      </c>
      <c r="J628" t="b">
        <v>0</v>
      </c>
      <c r="K628" t="b">
        <v>0</v>
      </c>
      <c r="L628" t="s">
        <v>2110</v>
      </c>
      <c r="M628" t="s">
        <v>2111</v>
      </c>
      <c r="N628" t="s">
        <v>174</v>
      </c>
      <c r="O628" t="b">
        <v>0</v>
      </c>
      <c r="P628">
        <v>3</v>
      </c>
      <c r="Q628" t="s">
        <v>343</v>
      </c>
      <c r="R628" t="s">
        <v>344</v>
      </c>
      <c r="S628">
        <v>58</v>
      </c>
      <c r="T628" t="s">
        <v>780</v>
      </c>
      <c r="U628" t="s">
        <v>4</v>
      </c>
      <c r="V628" t="s">
        <v>5</v>
      </c>
      <c r="W628">
        <v>2</v>
      </c>
      <c r="X628" t="s">
        <v>14</v>
      </c>
      <c r="Y628">
        <v>11</v>
      </c>
      <c r="Z628" t="s">
        <v>46</v>
      </c>
      <c r="AA628" t="s">
        <v>8</v>
      </c>
      <c r="AB628">
        <v>50.8</v>
      </c>
      <c r="AC628" t="s">
        <v>101</v>
      </c>
      <c r="AD628">
        <v>438</v>
      </c>
    </row>
    <row r="629" spans="1:30" x14ac:dyDescent="0.3">
      <c r="A629">
        <v>16991364</v>
      </c>
      <c r="B629" s="3">
        <v>45674</v>
      </c>
      <c r="C629">
        <v>2025</v>
      </c>
      <c r="D629">
        <v>1</v>
      </c>
      <c r="E629" t="s">
        <v>1579</v>
      </c>
      <c r="F629" t="s">
        <v>0</v>
      </c>
      <c r="G629" t="s">
        <v>10</v>
      </c>
      <c r="H629" t="b">
        <v>0</v>
      </c>
      <c r="I629" t="b">
        <v>0</v>
      </c>
      <c r="J629" t="b">
        <v>0</v>
      </c>
      <c r="K629" t="b">
        <v>0</v>
      </c>
      <c r="L629" t="s">
        <v>2112</v>
      </c>
      <c r="M629" t="s">
        <v>310</v>
      </c>
      <c r="N629" t="s">
        <v>21</v>
      </c>
      <c r="O629" t="b">
        <v>0</v>
      </c>
      <c r="P629">
        <v>12</v>
      </c>
      <c r="Q629" t="s">
        <v>1544</v>
      </c>
      <c r="R629" t="s">
        <v>5</v>
      </c>
      <c r="S629" t="s">
        <v>5</v>
      </c>
      <c r="T629" t="s">
        <v>5</v>
      </c>
      <c r="U629" t="s">
        <v>5</v>
      </c>
      <c r="V629" t="s">
        <v>5</v>
      </c>
      <c r="W629">
        <v>23</v>
      </c>
      <c r="X629" t="s">
        <v>6</v>
      </c>
      <c r="Y629">
        <v>33</v>
      </c>
      <c r="Z629" t="s">
        <v>61</v>
      </c>
      <c r="AA629" t="s">
        <v>15</v>
      </c>
      <c r="AC629" t="s">
        <v>9</v>
      </c>
      <c r="AD629">
        <v>435</v>
      </c>
    </row>
    <row r="630" spans="1:30" x14ac:dyDescent="0.3">
      <c r="A630">
        <v>16997292</v>
      </c>
      <c r="B630" s="3">
        <v>45686</v>
      </c>
      <c r="C630">
        <v>2025</v>
      </c>
      <c r="D630">
        <v>1</v>
      </c>
      <c r="E630" t="s">
        <v>1579</v>
      </c>
      <c r="F630" t="s">
        <v>0</v>
      </c>
      <c r="G630" t="s">
        <v>10</v>
      </c>
      <c r="H630" t="b">
        <v>0</v>
      </c>
      <c r="I630" t="b">
        <v>0</v>
      </c>
      <c r="J630" t="b">
        <v>0</v>
      </c>
      <c r="K630" t="b">
        <v>0</v>
      </c>
      <c r="L630" t="s">
        <v>2113</v>
      </c>
      <c r="M630" t="s">
        <v>159</v>
      </c>
      <c r="N630" t="s">
        <v>5</v>
      </c>
      <c r="O630" t="b">
        <v>0</v>
      </c>
      <c r="P630">
        <v>3</v>
      </c>
      <c r="Q630" t="s">
        <v>227</v>
      </c>
      <c r="R630" t="s">
        <v>256</v>
      </c>
      <c r="S630" t="s">
        <v>5</v>
      </c>
      <c r="T630" t="s">
        <v>83</v>
      </c>
      <c r="U630" t="s">
        <v>258</v>
      </c>
      <c r="V630" t="s">
        <v>259</v>
      </c>
      <c r="W630">
        <v>8</v>
      </c>
      <c r="X630" t="s">
        <v>6</v>
      </c>
      <c r="Y630">
        <v>48</v>
      </c>
      <c r="Z630" t="s">
        <v>7</v>
      </c>
      <c r="AA630" t="s">
        <v>8</v>
      </c>
      <c r="AC630" t="s">
        <v>5</v>
      </c>
      <c r="AD630">
        <v>423</v>
      </c>
    </row>
    <row r="631" spans="1:30" x14ac:dyDescent="0.3">
      <c r="A631">
        <v>17000073</v>
      </c>
      <c r="B631" s="3">
        <v>45672</v>
      </c>
      <c r="C631">
        <v>2025</v>
      </c>
      <c r="D631">
        <v>1</v>
      </c>
      <c r="E631" t="s">
        <v>1579</v>
      </c>
      <c r="F631" t="s">
        <v>0</v>
      </c>
      <c r="G631" t="s">
        <v>903</v>
      </c>
      <c r="H631" t="b">
        <v>0</v>
      </c>
      <c r="I631" t="b">
        <v>1</v>
      </c>
      <c r="J631" t="b">
        <v>0</v>
      </c>
      <c r="K631" t="b">
        <v>0</v>
      </c>
      <c r="L631" t="s">
        <v>2114</v>
      </c>
      <c r="M631" t="s">
        <v>1326</v>
      </c>
      <c r="N631" t="s">
        <v>12</v>
      </c>
      <c r="O631" t="b">
        <v>1</v>
      </c>
      <c r="P631">
        <v>8</v>
      </c>
      <c r="Q631" t="s">
        <v>471</v>
      </c>
      <c r="R631" t="s">
        <v>472</v>
      </c>
      <c r="S631">
        <v>64</v>
      </c>
      <c r="T631" t="s">
        <v>83</v>
      </c>
      <c r="U631" t="s">
        <v>473</v>
      </c>
      <c r="V631" t="s">
        <v>5</v>
      </c>
      <c r="W631">
        <v>28</v>
      </c>
      <c r="X631" t="s">
        <v>6</v>
      </c>
      <c r="Y631">
        <v>2.7397260273972599E-3</v>
      </c>
      <c r="Z631" t="s">
        <v>219</v>
      </c>
      <c r="AA631" t="s">
        <v>5</v>
      </c>
      <c r="AB631">
        <v>2</v>
      </c>
      <c r="AC631" t="s">
        <v>9</v>
      </c>
      <c r="AD631">
        <v>437</v>
      </c>
    </row>
    <row r="632" spans="1:30" x14ac:dyDescent="0.3">
      <c r="A632">
        <v>17003466</v>
      </c>
      <c r="B632" s="3">
        <v>45684</v>
      </c>
      <c r="C632">
        <v>2025</v>
      </c>
      <c r="D632">
        <v>1</v>
      </c>
      <c r="E632" t="s">
        <v>1579</v>
      </c>
      <c r="F632" t="s">
        <v>0</v>
      </c>
      <c r="G632" t="s">
        <v>1</v>
      </c>
      <c r="H632" t="b">
        <v>0</v>
      </c>
      <c r="I632" t="b">
        <v>1</v>
      </c>
      <c r="J632" t="b">
        <v>0</v>
      </c>
      <c r="K632" t="b">
        <v>0</v>
      </c>
      <c r="L632" t="s">
        <v>2115</v>
      </c>
      <c r="M632" t="s">
        <v>964</v>
      </c>
      <c r="N632" t="s">
        <v>229</v>
      </c>
      <c r="O632" t="b">
        <v>0</v>
      </c>
      <c r="P632">
        <v>5</v>
      </c>
      <c r="Q632" t="s">
        <v>617</v>
      </c>
      <c r="R632" t="s">
        <v>618</v>
      </c>
      <c r="S632">
        <v>41</v>
      </c>
      <c r="T632" t="s">
        <v>884</v>
      </c>
      <c r="U632" t="s">
        <v>447</v>
      </c>
      <c r="V632" t="s">
        <v>620</v>
      </c>
      <c r="W632">
        <v>5</v>
      </c>
      <c r="X632" t="s">
        <v>40</v>
      </c>
      <c r="Y632">
        <v>70</v>
      </c>
      <c r="Z632" t="s">
        <v>67</v>
      </c>
      <c r="AA632" t="s">
        <v>8</v>
      </c>
      <c r="AB632">
        <v>44.4</v>
      </c>
      <c r="AC632" t="s">
        <v>20</v>
      </c>
      <c r="AD632">
        <v>425</v>
      </c>
    </row>
    <row r="633" spans="1:30" x14ac:dyDescent="0.3">
      <c r="A633">
        <v>17004308</v>
      </c>
      <c r="B633" s="3">
        <v>45672</v>
      </c>
      <c r="C633">
        <v>2025</v>
      </c>
      <c r="D633">
        <v>1</v>
      </c>
      <c r="E633" t="s">
        <v>1579</v>
      </c>
      <c r="F633" t="s">
        <v>0</v>
      </c>
      <c r="G633" t="s">
        <v>10</v>
      </c>
      <c r="H633" t="b">
        <v>0</v>
      </c>
      <c r="I633" t="b">
        <v>0</v>
      </c>
      <c r="J633" t="b">
        <v>0</v>
      </c>
      <c r="K633" t="b">
        <v>0</v>
      </c>
      <c r="L633" t="s">
        <v>2116</v>
      </c>
      <c r="M633" t="s">
        <v>1373</v>
      </c>
      <c r="N633" t="s">
        <v>57</v>
      </c>
      <c r="O633" t="b">
        <v>1</v>
      </c>
      <c r="P633">
        <v>2</v>
      </c>
      <c r="Q633" t="s">
        <v>444</v>
      </c>
      <c r="R633" t="s">
        <v>445</v>
      </c>
      <c r="S633">
        <v>41</v>
      </c>
      <c r="T633" t="s">
        <v>1087</v>
      </c>
      <c r="U633" t="s">
        <v>447</v>
      </c>
      <c r="V633" t="s">
        <v>172</v>
      </c>
      <c r="W633">
        <v>4</v>
      </c>
      <c r="X633" t="s">
        <v>40</v>
      </c>
      <c r="Y633">
        <v>70</v>
      </c>
      <c r="Z633" t="s">
        <v>67</v>
      </c>
      <c r="AA633" t="s">
        <v>8</v>
      </c>
      <c r="AC633" t="s">
        <v>20</v>
      </c>
      <c r="AD633">
        <v>437</v>
      </c>
    </row>
    <row r="634" spans="1:30" x14ac:dyDescent="0.3">
      <c r="A634">
        <v>17010273</v>
      </c>
      <c r="B634" s="3">
        <v>45687</v>
      </c>
      <c r="C634">
        <v>2025</v>
      </c>
      <c r="D634">
        <v>1</v>
      </c>
      <c r="E634" t="s">
        <v>1579</v>
      </c>
      <c r="F634" t="s">
        <v>125</v>
      </c>
      <c r="G634" t="s">
        <v>10</v>
      </c>
      <c r="H634" t="b">
        <v>0</v>
      </c>
      <c r="I634" t="b">
        <v>0</v>
      </c>
      <c r="J634" t="b">
        <v>0</v>
      </c>
      <c r="K634" t="b">
        <v>0</v>
      </c>
      <c r="L634" t="s">
        <v>2117</v>
      </c>
      <c r="M634" t="s">
        <v>1516</v>
      </c>
      <c r="N634" t="s">
        <v>57</v>
      </c>
      <c r="O634" t="b">
        <v>1</v>
      </c>
      <c r="P634">
        <v>2</v>
      </c>
      <c r="Q634" t="s">
        <v>208</v>
      </c>
      <c r="R634" t="s">
        <v>286</v>
      </c>
      <c r="S634">
        <v>48</v>
      </c>
      <c r="T634" t="s">
        <v>80</v>
      </c>
      <c r="U634" t="s">
        <v>210</v>
      </c>
      <c r="V634" t="s">
        <v>5</v>
      </c>
      <c r="W634">
        <v>1</v>
      </c>
      <c r="X634" t="s">
        <v>31</v>
      </c>
      <c r="Y634">
        <v>71</v>
      </c>
      <c r="Z634" t="s">
        <v>67</v>
      </c>
      <c r="AA634" t="s">
        <v>8</v>
      </c>
      <c r="AB634">
        <v>58.957000000000001</v>
      </c>
      <c r="AC634" t="s">
        <v>32</v>
      </c>
      <c r="AD634">
        <v>422</v>
      </c>
    </row>
    <row r="635" spans="1:30" x14ac:dyDescent="0.3">
      <c r="A635">
        <v>17021321</v>
      </c>
      <c r="B635" s="3">
        <v>45660</v>
      </c>
      <c r="C635">
        <v>2025</v>
      </c>
      <c r="D635">
        <v>1</v>
      </c>
      <c r="E635" t="s">
        <v>1579</v>
      </c>
      <c r="F635" t="s">
        <v>125</v>
      </c>
      <c r="G635" t="s">
        <v>10</v>
      </c>
      <c r="H635" t="b">
        <v>0</v>
      </c>
      <c r="I635" t="b">
        <v>0</v>
      </c>
      <c r="J635" t="b">
        <v>0</v>
      </c>
      <c r="K635" t="b">
        <v>0</v>
      </c>
      <c r="L635" t="s">
        <v>1042</v>
      </c>
      <c r="M635" t="s">
        <v>1042</v>
      </c>
      <c r="N635" t="s">
        <v>5</v>
      </c>
      <c r="O635" t="b">
        <v>0</v>
      </c>
      <c r="P635">
        <v>1</v>
      </c>
      <c r="Q635" t="s">
        <v>245</v>
      </c>
      <c r="R635" t="s">
        <v>246</v>
      </c>
      <c r="S635">
        <v>48</v>
      </c>
      <c r="T635" t="s">
        <v>426</v>
      </c>
      <c r="U635" t="s">
        <v>210</v>
      </c>
      <c r="V635" t="s">
        <v>248</v>
      </c>
      <c r="W635">
        <v>6</v>
      </c>
      <c r="X635" t="s">
        <v>6</v>
      </c>
      <c r="Y635">
        <v>47</v>
      </c>
      <c r="Z635" t="s">
        <v>7</v>
      </c>
      <c r="AA635" t="s">
        <v>8</v>
      </c>
      <c r="AC635" t="s">
        <v>32</v>
      </c>
      <c r="AD635">
        <v>449</v>
      </c>
    </row>
    <row r="636" spans="1:30" x14ac:dyDescent="0.3">
      <c r="A636">
        <v>17029598</v>
      </c>
      <c r="B636" s="3">
        <v>45670</v>
      </c>
      <c r="C636">
        <v>2025</v>
      </c>
      <c r="D636">
        <v>1</v>
      </c>
      <c r="E636" t="s">
        <v>1579</v>
      </c>
      <c r="F636" t="s">
        <v>0</v>
      </c>
      <c r="G636" t="s">
        <v>220</v>
      </c>
      <c r="H636" t="b">
        <v>0</v>
      </c>
      <c r="I636" t="b">
        <v>0</v>
      </c>
      <c r="J636" t="b">
        <v>0</v>
      </c>
      <c r="K636" t="b">
        <v>1</v>
      </c>
      <c r="L636" t="s">
        <v>2118</v>
      </c>
      <c r="M636" t="s">
        <v>982</v>
      </c>
      <c r="N636" t="s">
        <v>70</v>
      </c>
      <c r="O636" t="b">
        <v>0</v>
      </c>
      <c r="P636">
        <v>28</v>
      </c>
      <c r="Q636" t="s">
        <v>135</v>
      </c>
      <c r="R636" t="s">
        <v>136</v>
      </c>
      <c r="S636">
        <v>58</v>
      </c>
      <c r="T636" t="s">
        <v>62</v>
      </c>
      <c r="U636" t="s">
        <v>81</v>
      </c>
      <c r="V636" t="s">
        <v>137</v>
      </c>
      <c r="W636">
        <v>30</v>
      </c>
      <c r="X636" t="s">
        <v>6</v>
      </c>
      <c r="Y636">
        <v>49</v>
      </c>
      <c r="Z636" t="s">
        <v>7</v>
      </c>
      <c r="AA636" t="s">
        <v>8</v>
      </c>
      <c r="AC636" t="s">
        <v>9</v>
      </c>
      <c r="AD636">
        <v>439</v>
      </c>
    </row>
    <row r="637" spans="1:30" x14ac:dyDescent="0.3">
      <c r="A637">
        <v>17032859</v>
      </c>
      <c r="B637" s="3">
        <v>45684</v>
      </c>
      <c r="C637">
        <v>2025</v>
      </c>
      <c r="D637">
        <v>1</v>
      </c>
      <c r="E637" t="s">
        <v>1579</v>
      </c>
      <c r="F637" t="s">
        <v>125</v>
      </c>
      <c r="G637" t="s">
        <v>10</v>
      </c>
      <c r="H637" t="b">
        <v>0</v>
      </c>
      <c r="I637" t="b">
        <v>0</v>
      </c>
      <c r="J637" t="b">
        <v>0</v>
      </c>
      <c r="K637" t="b">
        <v>0</v>
      </c>
      <c r="L637" t="s">
        <v>2119</v>
      </c>
      <c r="M637" t="s">
        <v>159</v>
      </c>
      <c r="N637" t="s">
        <v>5</v>
      </c>
      <c r="O637" t="b">
        <v>0</v>
      </c>
      <c r="P637">
        <v>7</v>
      </c>
      <c r="Q637" t="s">
        <v>879</v>
      </c>
      <c r="R637" t="s">
        <v>880</v>
      </c>
      <c r="S637">
        <v>58</v>
      </c>
      <c r="T637" t="s">
        <v>1182</v>
      </c>
      <c r="U637" t="s">
        <v>881</v>
      </c>
      <c r="V637" t="s">
        <v>5</v>
      </c>
      <c r="W637">
        <v>5</v>
      </c>
      <c r="X637" t="s">
        <v>40</v>
      </c>
      <c r="Y637">
        <v>34</v>
      </c>
      <c r="Z637" t="s">
        <v>61</v>
      </c>
      <c r="AA637" t="s">
        <v>8</v>
      </c>
      <c r="AB637">
        <v>68.040000000000006</v>
      </c>
      <c r="AC637" t="s">
        <v>32</v>
      </c>
      <c r="AD637">
        <v>425</v>
      </c>
    </row>
    <row r="638" spans="1:30" x14ac:dyDescent="0.3">
      <c r="A638">
        <v>17033791</v>
      </c>
      <c r="B638" s="3">
        <v>45674</v>
      </c>
      <c r="C638">
        <v>2025</v>
      </c>
      <c r="D638">
        <v>1</v>
      </c>
      <c r="E638" t="s">
        <v>1579</v>
      </c>
      <c r="F638" t="s">
        <v>0</v>
      </c>
      <c r="G638" t="s">
        <v>151</v>
      </c>
      <c r="H638" t="b">
        <v>0</v>
      </c>
      <c r="I638" t="b">
        <v>1</v>
      </c>
      <c r="J638" t="b">
        <v>0</v>
      </c>
      <c r="K638" t="b">
        <v>1</v>
      </c>
      <c r="L638" t="s">
        <v>2120</v>
      </c>
      <c r="M638" t="s">
        <v>2121</v>
      </c>
      <c r="N638" t="s">
        <v>12</v>
      </c>
      <c r="O638" t="b">
        <v>1</v>
      </c>
      <c r="P638">
        <v>2</v>
      </c>
      <c r="Q638" t="s">
        <v>181</v>
      </c>
      <c r="R638" t="s">
        <v>182</v>
      </c>
      <c r="S638">
        <v>58</v>
      </c>
      <c r="T638" t="s">
        <v>291</v>
      </c>
      <c r="U638" t="s">
        <v>184</v>
      </c>
      <c r="V638" t="s">
        <v>5</v>
      </c>
      <c r="W638">
        <v>36</v>
      </c>
      <c r="X638" t="s">
        <v>6</v>
      </c>
      <c r="Y638">
        <v>18</v>
      </c>
      <c r="Z638" t="s">
        <v>19</v>
      </c>
      <c r="AA638" t="s">
        <v>8</v>
      </c>
      <c r="AC638" t="s">
        <v>32</v>
      </c>
      <c r="AD638">
        <v>435</v>
      </c>
    </row>
    <row r="639" spans="1:30" x14ac:dyDescent="0.3">
      <c r="A639">
        <v>17034359</v>
      </c>
      <c r="B639" s="3">
        <v>45673</v>
      </c>
      <c r="C639">
        <v>2025</v>
      </c>
      <c r="D639">
        <v>1</v>
      </c>
      <c r="E639" t="s">
        <v>1579</v>
      </c>
      <c r="F639" t="s">
        <v>0</v>
      </c>
      <c r="G639" t="s">
        <v>10</v>
      </c>
      <c r="H639" t="b">
        <v>0</v>
      </c>
      <c r="I639" t="b">
        <v>0</v>
      </c>
      <c r="J639" t="b">
        <v>0</v>
      </c>
      <c r="K639" t="b">
        <v>0</v>
      </c>
      <c r="L639" t="s">
        <v>535</v>
      </c>
      <c r="M639" t="s">
        <v>535</v>
      </c>
      <c r="N639" t="s">
        <v>12</v>
      </c>
      <c r="O639" t="b">
        <v>1</v>
      </c>
      <c r="P639">
        <v>1</v>
      </c>
      <c r="Q639" t="s">
        <v>181</v>
      </c>
      <c r="R639" t="s">
        <v>182</v>
      </c>
      <c r="S639">
        <v>58</v>
      </c>
      <c r="T639" t="s">
        <v>291</v>
      </c>
      <c r="U639" t="s">
        <v>184</v>
      </c>
      <c r="V639" t="s">
        <v>5</v>
      </c>
      <c r="W639">
        <v>55</v>
      </c>
      <c r="X639" t="s">
        <v>6</v>
      </c>
      <c r="Y639">
        <v>18</v>
      </c>
      <c r="Z639" t="s">
        <v>19</v>
      </c>
      <c r="AA639" t="s">
        <v>8</v>
      </c>
      <c r="AB639">
        <v>58</v>
      </c>
      <c r="AC639" t="s">
        <v>32</v>
      </c>
      <c r="AD639">
        <v>436</v>
      </c>
    </row>
    <row r="640" spans="1:30" x14ac:dyDescent="0.3">
      <c r="A640">
        <v>17036460</v>
      </c>
      <c r="B640" s="3">
        <v>45673</v>
      </c>
      <c r="C640">
        <v>2025</v>
      </c>
      <c r="D640">
        <v>1</v>
      </c>
      <c r="E640" t="s">
        <v>1579</v>
      </c>
      <c r="F640" t="s">
        <v>0</v>
      </c>
      <c r="G640" t="s">
        <v>562</v>
      </c>
      <c r="H640" t="b">
        <v>0</v>
      </c>
      <c r="I640" t="b">
        <v>0</v>
      </c>
      <c r="J640" t="b">
        <v>0</v>
      </c>
      <c r="K640" t="b">
        <v>0</v>
      </c>
      <c r="L640" t="s">
        <v>2122</v>
      </c>
      <c r="M640" t="s">
        <v>448</v>
      </c>
      <c r="N640" t="s">
        <v>21</v>
      </c>
      <c r="O640" t="b">
        <v>0</v>
      </c>
      <c r="P640">
        <v>2</v>
      </c>
      <c r="Q640" t="s">
        <v>1562</v>
      </c>
      <c r="R640" t="s">
        <v>1563</v>
      </c>
      <c r="S640">
        <v>64</v>
      </c>
      <c r="T640" t="s">
        <v>1091</v>
      </c>
      <c r="U640" t="s">
        <v>106</v>
      </c>
      <c r="V640" t="s">
        <v>1564</v>
      </c>
      <c r="W640">
        <v>1</v>
      </c>
      <c r="X640" t="s">
        <v>31</v>
      </c>
      <c r="Y640">
        <v>0.42307692307692302</v>
      </c>
      <c r="Z640" t="s">
        <v>219</v>
      </c>
      <c r="AA640" t="s">
        <v>5</v>
      </c>
      <c r="AC640" t="s">
        <v>395</v>
      </c>
      <c r="AD640">
        <v>436</v>
      </c>
    </row>
    <row r="641" spans="1:30" x14ac:dyDescent="0.3">
      <c r="A641">
        <v>17043134</v>
      </c>
      <c r="B641" s="3">
        <v>45679</v>
      </c>
      <c r="C641">
        <v>2025</v>
      </c>
      <c r="D641">
        <v>1</v>
      </c>
      <c r="E641" t="s">
        <v>1579</v>
      </c>
      <c r="F641" t="s">
        <v>0</v>
      </c>
      <c r="G641" t="s">
        <v>10</v>
      </c>
      <c r="H641" t="b">
        <v>0</v>
      </c>
      <c r="I641" t="b">
        <v>0</v>
      </c>
      <c r="J641" t="b">
        <v>0</v>
      </c>
      <c r="K641" t="b">
        <v>0</v>
      </c>
      <c r="L641" t="s">
        <v>2123</v>
      </c>
      <c r="M641" t="s">
        <v>900</v>
      </c>
      <c r="N641" t="s">
        <v>5</v>
      </c>
      <c r="O641" t="b">
        <v>0</v>
      </c>
      <c r="P641">
        <v>9</v>
      </c>
      <c r="Q641" t="s">
        <v>879</v>
      </c>
      <c r="R641" t="s">
        <v>880</v>
      </c>
      <c r="S641" t="s">
        <v>5</v>
      </c>
      <c r="T641" t="s">
        <v>422</v>
      </c>
      <c r="U641" t="s">
        <v>881</v>
      </c>
      <c r="V641" t="s">
        <v>5</v>
      </c>
      <c r="W641">
        <v>8</v>
      </c>
      <c r="X641" t="s">
        <v>6</v>
      </c>
      <c r="Y641">
        <v>60</v>
      </c>
      <c r="Z641" t="s">
        <v>7</v>
      </c>
      <c r="AA641" t="s">
        <v>15</v>
      </c>
      <c r="AB641">
        <v>129.72999999999999</v>
      </c>
      <c r="AC641" t="s">
        <v>32</v>
      </c>
      <c r="AD641">
        <v>430</v>
      </c>
    </row>
    <row r="642" spans="1:30" x14ac:dyDescent="0.3">
      <c r="A642">
        <v>17045252</v>
      </c>
      <c r="B642" s="3">
        <v>45672</v>
      </c>
      <c r="C642">
        <v>2025</v>
      </c>
      <c r="D642">
        <v>1</v>
      </c>
      <c r="E642" t="s">
        <v>1579</v>
      </c>
      <c r="F642" t="s">
        <v>0</v>
      </c>
      <c r="G642" t="s">
        <v>1</v>
      </c>
      <c r="H642" t="b">
        <v>0</v>
      </c>
      <c r="I642" t="b">
        <v>1</v>
      </c>
      <c r="J642" t="b">
        <v>0</v>
      </c>
      <c r="K642" t="b">
        <v>0</v>
      </c>
      <c r="L642" t="s">
        <v>1278</v>
      </c>
      <c r="M642" t="s">
        <v>1044</v>
      </c>
      <c r="N642" t="s">
        <v>174</v>
      </c>
      <c r="O642" t="b">
        <v>0</v>
      </c>
      <c r="P642">
        <v>7</v>
      </c>
      <c r="Q642" t="s">
        <v>569</v>
      </c>
      <c r="R642" t="s">
        <v>810</v>
      </c>
      <c r="S642">
        <v>41</v>
      </c>
      <c r="T642" t="s">
        <v>429</v>
      </c>
      <c r="U642" t="s">
        <v>811</v>
      </c>
      <c r="V642" t="s">
        <v>571</v>
      </c>
      <c r="W642">
        <v>48</v>
      </c>
      <c r="X642" t="s">
        <v>6</v>
      </c>
      <c r="Z642" t="s">
        <v>5</v>
      </c>
      <c r="AA642" t="s">
        <v>5</v>
      </c>
      <c r="AC642" t="s">
        <v>519</v>
      </c>
      <c r="AD642">
        <v>437</v>
      </c>
    </row>
    <row r="643" spans="1:30" x14ac:dyDescent="0.3">
      <c r="A643">
        <v>17050955</v>
      </c>
      <c r="B643" s="3">
        <v>45686</v>
      </c>
      <c r="C643">
        <v>2025</v>
      </c>
      <c r="D643">
        <v>1</v>
      </c>
      <c r="E643" t="s">
        <v>1579</v>
      </c>
      <c r="F643" t="s">
        <v>0</v>
      </c>
      <c r="G643" t="s">
        <v>10</v>
      </c>
      <c r="H643" t="b">
        <v>0</v>
      </c>
      <c r="I643" t="b">
        <v>0</v>
      </c>
      <c r="J643" t="b">
        <v>0</v>
      </c>
      <c r="K643" t="b">
        <v>0</v>
      </c>
      <c r="L643" t="s">
        <v>2124</v>
      </c>
      <c r="M643" t="s">
        <v>882</v>
      </c>
      <c r="N643" t="s">
        <v>57</v>
      </c>
      <c r="O643" t="b">
        <v>1</v>
      </c>
      <c r="P643">
        <v>4</v>
      </c>
      <c r="Q643" t="s">
        <v>2125</v>
      </c>
      <c r="R643" t="s">
        <v>5</v>
      </c>
      <c r="S643" t="s">
        <v>5</v>
      </c>
      <c r="T643" t="s">
        <v>83</v>
      </c>
      <c r="U643" t="s">
        <v>5</v>
      </c>
      <c r="V643" t="s">
        <v>5</v>
      </c>
      <c r="W643">
        <v>3</v>
      </c>
      <c r="X643" t="s">
        <v>14</v>
      </c>
      <c r="Y643">
        <v>62</v>
      </c>
      <c r="Z643" t="s">
        <v>7</v>
      </c>
      <c r="AA643" t="s">
        <v>8</v>
      </c>
      <c r="AC643" t="s">
        <v>32</v>
      </c>
      <c r="AD643">
        <v>423</v>
      </c>
    </row>
    <row r="644" spans="1:30" x14ac:dyDescent="0.3">
      <c r="A644">
        <v>17062836</v>
      </c>
      <c r="B644" s="3">
        <v>45670</v>
      </c>
      <c r="C644">
        <v>2025</v>
      </c>
      <c r="D644">
        <v>1</v>
      </c>
      <c r="E644" t="s">
        <v>1579</v>
      </c>
      <c r="F644" t="s">
        <v>125</v>
      </c>
      <c r="G644" t="s">
        <v>10</v>
      </c>
      <c r="H644" t="b">
        <v>0</v>
      </c>
      <c r="I644" t="b">
        <v>0</v>
      </c>
      <c r="J644" t="b">
        <v>0</v>
      </c>
      <c r="K644" t="b">
        <v>0</v>
      </c>
      <c r="L644" t="s">
        <v>2126</v>
      </c>
      <c r="M644" t="s">
        <v>516</v>
      </c>
      <c r="N644" t="s">
        <v>5</v>
      </c>
      <c r="O644" t="b">
        <v>0</v>
      </c>
      <c r="P644">
        <v>2</v>
      </c>
      <c r="Q644" t="s">
        <v>588</v>
      </c>
      <c r="R644" t="s">
        <v>589</v>
      </c>
      <c r="S644" t="s">
        <v>5</v>
      </c>
      <c r="T644" t="s">
        <v>590</v>
      </c>
      <c r="U644" t="s">
        <v>591</v>
      </c>
      <c r="V644" t="s">
        <v>592</v>
      </c>
      <c r="W644">
        <v>21</v>
      </c>
      <c r="X644" t="s">
        <v>6</v>
      </c>
      <c r="Z644" t="s">
        <v>5</v>
      </c>
      <c r="AA644" t="s">
        <v>8</v>
      </c>
      <c r="AB644">
        <v>109</v>
      </c>
      <c r="AC644" t="s">
        <v>32</v>
      </c>
      <c r="AD644">
        <v>439</v>
      </c>
    </row>
    <row r="645" spans="1:30" x14ac:dyDescent="0.3">
      <c r="A645">
        <v>17064245</v>
      </c>
      <c r="B645" s="3">
        <v>45688</v>
      </c>
      <c r="C645">
        <v>2025</v>
      </c>
      <c r="D645">
        <v>1</v>
      </c>
      <c r="E645" t="s">
        <v>1579</v>
      </c>
      <c r="F645" t="s">
        <v>0</v>
      </c>
      <c r="G645" t="s">
        <v>10</v>
      </c>
      <c r="H645" t="b">
        <v>0</v>
      </c>
      <c r="I645" t="b">
        <v>0</v>
      </c>
      <c r="J645" t="b">
        <v>0</v>
      </c>
      <c r="K645" t="b">
        <v>0</v>
      </c>
      <c r="L645" t="s">
        <v>779</v>
      </c>
      <c r="M645" t="s">
        <v>779</v>
      </c>
      <c r="N645" t="s">
        <v>5</v>
      </c>
      <c r="O645" t="b">
        <v>0</v>
      </c>
      <c r="P645">
        <v>1</v>
      </c>
      <c r="Q645" t="s">
        <v>2127</v>
      </c>
      <c r="R645" t="s">
        <v>2128</v>
      </c>
      <c r="S645">
        <v>42</v>
      </c>
      <c r="T645" t="s">
        <v>1333</v>
      </c>
      <c r="U645" t="s">
        <v>2129</v>
      </c>
      <c r="V645" t="s">
        <v>5</v>
      </c>
      <c r="W645">
        <v>4</v>
      </c>
      <c r="X645" t="s">
        <v>40</v>
      </c>
      <c r="Z645" t="s">
        <v>5</v>
      </c>
      <c r="AA645" t="s">
        <v>5</v>
      </c>
      <c r="AC645" t="s">
        <v>56</v>
      </c>
      <c r="AD645">
        <v>421</v>
      </c>
    </row>
    <row r="646" spans="1:30" x14ac:dyDescent="0.3">
      <c r="A646">
        <v>17064396</v>
      </c>
      <c r="B646" s="3">
        <v>45688</v>
      </c>
      <c r="C646">
        <v>2025</v>
      </c>
      <c r="D646">
        <v>1</v>
      </c>
      <c r="E646" t="s">
        <v>1579</v>
      </c>
      <c r="F646" t="s">
        <v>0</v>
      </c>
      <c r="G646" t="s">
        <v>10</v>
      </c>
      <c r="H646" t="b">
        <v>0</v>
      </c>
      <c r="I646" t="b">
        <v>0</v>
      </c>
      <c r="J646" t="b">
        <v>0</v>
      </c>
      <c r="K646" t="b">
        <v>0</v>
      </c>
      <c r="L646" t="s">
        <v>779</v>
      </c>
      <c r="M646" t="s">
        <v>779</v>
      </c>
      <c r="N646" t="s">
        <v>5</v>
      </c>
      <c r="O646" t="b">
        <v>0</v>
      </c>
      <c r="P646">
        <v>1</v>
      </c>
      <c r="Q646" t="s">
        <v>2127</v>
      </c>
      <c r="R646" t="s">
        <v>2128</v>
      </c>
      <c r="S646">
        <v>42</v>
      </c>
      <c r="T646" t="s">
        <v>1333</v>
      </c>
      <c r="U646" t="s">
        <v>2129</v>
      </c>
      <c r="V646" t="s">
        <v>5</v>
      </c>
      <c r="W646">
        <v>4</v>
      </c>
      <c r="X646" t="s">
        <v>40</v>
      </c>
      <c r="Z646" t="s">
        <v>5</v>
      </c>
      <c r="AA646" t="s">
        <v>5</v>
      </c>
      <c r="AC646" t="s">
        <v>56</v>
      </c>
      <c r="AD646">
        <v>421</v>
      </c>
    </row>
    <row r="647" spans="1:30" x14ac:dyDescent="0.3">
      <c r="A647">
        <v>17064508</v>
      </c>
      <c r="B647" s="3">
        <v>45688</v>
      </c>
      <c r="C647">
        <v>2025</v>
      </c>
      <c r="D647">
        <v>1</v>
      </c>
      <c r="E647" t="s">
        <v>1579</v>
      </c>
      <c r="F647" t="s">
        <v>0</v>
      </c>
      <c r="G647" t="s">
        <v>10</v>
      </c>
      <c r="H647" t="b">
        <v>0</v>
      </c>
      <c r="I647" t="b">
        <v>0</v>
      </c>
      <c r="J647" t="b">
        <v>0</v>
      </c>
      <c r="K647" t="b">
        <v>0</v>
      </c>
      <c r="L647" t="s">
        <v>779</v>
      </c>
      <c r="M647" t="s">
        <v>779</v>
      </c>
      <c r="N647" t="s">
        <v>5</v>
      </c>
      <c r="O647" t="b">
        <v>0</v>
      </c>
      <c r="P647">
        <v>1</v>
      </c>
      <c r="Q647" t="s">
        <v>2127</v>
      </c>
      <c r="R647" t="s">
        <v>2128</v>
      </c>
      <c r="S647">
        <v>42</v>
      </c>
      <c r="T647" t="s">
        <v>1333</v>
      </c>
      <c r="U647" t="s">
        <v>2129</v>
      </c>
      <c r="V647" t="s">
        <v>5</v>
      </c>
      <c r="W647">
        <v>4</v>
      </c>
      <c r="X647" t="s">
        <v>40</v>
      </c>
      <c r="Z647" t="s">
        <v>5</v>
      </c>
      <c r="AA647" t="s">
        <v>5</v>
      </c>
      <c r="AC647" t="s">
        <v>56</v>
      </c>
      <c r="AD647">
        <v>421</v>
      </c>
    </row>
    <row r="648" spans="1:30" x14ac:dyDescent="0.3">
      <c r="A648">
        <v>17066957</v>
      </c>
      <c r="B648" s="3">
        <v>45670</v>
      </c>
      <c r="C648">
        <v>2025</v>
      </c>
      <c r="D648">
        <v>1</v>
      </c>
      <c r="E648" t="s">
        <v>1579</v>
      </c>
      <c r="F648" t="s">
        <v>0</v>
      </c>
      <c r="G648" t="s">
        <v>562</v>
      </c>
      <c r="H648" t="b">
        <v>0</v>
      </c>
      <c r="I648" t="b">
        <v>0</v>
      </c>
      <c r="J648" t="b">
        <v>0</v>
      </c>
      <c r="K648" t="b">
        <v>0</v>
      </c>
      <c r="L648" t="s">
        <v>2035</v>
      </c>
      <c r="M648" t="s">
        <v>2036</v>
      </c>
      <c r="N648" t="s">
        <v>57</v>
      </c>
      <c r="O648" t="b">
        <v>1</v>
      </c>
      <c r="P648">
        <v>6</v>
      </c>
      <c r="Q648" t="s">
        <v>1352</v>
      </c>
      <c r="R648" t="s">
        <v>1353</v>
      </c>
      <c r="S648">
        <v>64</v>
      </c>
      <c r="T648" t="s">
        <v>83</v>
      </c>
      <c r="U648" t="s">
        <v>1354</v>
      </c>
      <c r="V648" t="s">
        <v>1355</v>
      </c>
      <c r="W648">
        <v>9</v>
      </c>
      <c r="X648" t="s">
        <v>6</v>
      </c>
      <c r="Z648" t="s">
        <v>5</v>
      </c>
      <c r="AA648" t="s">
        <v>5</v>
      </c>
      <c r="AC648" t="s">
        <v>199</v>
      </c>
      <c r="AD648">
        <v>439</v>
      </c>
    </row>
    <row r="649" spans="1:30" x14ac:dyDescent="0.3">
      <c r="A649">
        <v>17071489</v>
      </c>
      <c r="B649" s="3">
        <v>45680</v>
      </c>
      <c r="C649">
        <v>2025</v>
      </c>
      <c r="D649">
        <v>1</v>
      </c>
      <c r="E649" t="s">
        <v>1579</v>
      </c>
      <c r="F649" t="s">
        <v>0</v>
      </c>
      <c r="G649" t="s">
        <v>10</v>
      </c>
      <c r="H649" t="b">
        <v>0</v>
      </c>
      <c r="I649" t="b">
        <v>0</v>
      </c>
      <c r="J649" t="b">
        <v>0</v>
      </c>
      <c r="K649" t="b">
        <v>0</v>
      </c>
      <c r="L649" t="s">
        <v>2130</v>
      </c>
      <c r="M649" t="s">
        <v>720</v>
      </c>
      <c r="N649" t="s">
        <v>70</v>
      </c>
      <c r="O649" t="b">
        <v>0</v>
      </c>
      <c r="P649">
        <v>21</v>
      </c>
      <c r="Q649" t="s">
        <v>367</v>
      </c>
      <c r="R649" t="s">
        <v>368</v>
      </c>
      <c r="S649">
        <v>42</v>
      </c>
      <c r="T649" t="s">
        <v>60</v>
      </c>
      <c r="U649" t="s">
        <v>81</v>
      </c>
      <c r="V649" t="s">
        <v>82</v>
      </c>
      <c r="W649">
        <v>11</v>
      </c>
      <c r="X649" t="s">
        <v>6</v>
      </c>
      <c r="Y649">
        <v>48</v>
      </c>
      <c r="Z649" t="s">
        <v>7</v>
      </c>
      <c r="AA649" t="s">
        <v>8</v>
      </c>
      <c r="AC649" t="s">
        <v>9</v>
      </c>
      <c r="AD649">
        <v>429</v>
      </c>
    </row>
    <row r="650" spans="1:30" x14ac:dyDescent="0.3">
      <c r="A650">
        <v>17082396</v>
      </c>
      <c r="B650" s="3">
        <v>45679</v>
      </c>
      <c r="C650">
        <v>2025</v>
      </c>
      <c r="D650">
        <v>1</v>
      </c>
      <c r="E650" t="s">
        <v>1579</v>
      </c>
      <c r="F650" t="s">
        <v>125</v>
      </c>
      <c r="G650" t="s">
        <v>10</v>
      </c>
      <c r="H650" t="b">
        <v>0</v>
      </c>
      <c r="I650" t="b">
        <v>0</v>
      </c>
      <c r="J650" t="b">
        <v>0</v>
      </c>
      <c r="K650" t="b">
        <v>0</v>
      </c>
      <c r="L650" t="s">
        <v>192</v>
      </c>
      <c r="M650" t="s">
        <v>192</v>
      </c>
      <c r="N650" t="s">
        <v>5</v>
      </c>
      <c r="O650" t="b">
        <v>0</v>
      </c>
      <c r="P650">
        <v>1</v>
      </c>
      <c r="Q650" t="s">
        <v>226</v>
      </c>
      <c r="R650" t="s">
        <v>227</v>
      </c>
      <c r="S650" t="s">
        <v>5</v>
      </c>
      <c r="T650" t="s">
        <v>5</v>
      </c>
      <c r="U650" t="s">
        <v>228</v>
      </c>
      <c r="V650" t="s">
        <v>5</v>
      </c>
      <c r="W650">
        <v>1</v>
      </c>
      <c r="X650" t="s">
        <v>31</v>
      </c>
      <c r="Y650">
        <v>66</v>
      </c>
      <c r="Z650" t="s">
        <v>67</v>
      </c>
      <c r="AA650" t="s">
        <v>15</v>
      </c>
      <c r="AC650" t="s">
        <v>32</v>
      </c>
      <c r="AD650">
        <v>430</v>
      </c>
    </row>
    <row r="651" spans="1:30" x14ac:dyDescent="0.3">
      <c r="A651">
        <v>17094063</v>
      </c>
      <c r="B651" s="3">
        <v>45685</v>
      </c>
      <c r="C651">
        <v>2025</v>
      </c>
      <c r="D651">
        <v>1</v>
      </c>
      <c r="E651" t="s">
        <v>1579</v>
      </c>
      <c r="F651" t="s">
        <v>0</v>
      </c>
      <c r="G651" t="s">
        <v>10</v>
      </c>
      <c r="H651" t="b">
        <v>0</v>
      </c>
      <c r="I651" t="b">
        <v>0</v>
      </c>
      <c r="J651" t="b">
        <v>0</v>
      </c>
      <c r="K651" t="b">
        <v>0</v>
      </c>
      <c r="L651" t="s">
        <v>1426</v>
      </c>
      <c r="M651" t="s">
        <v>1426</v>
      </c>
      <c r="N651" t="s">
        <v>5</v>
      </c>
      <c r="O651" t="b">
        <v>0</v>
      </c>
      <c r="P651">
        <v>1</v>
      </c>
      <c r="Q651" t="s">
        <v>141</v>
      </c>
      <c r="R651" t="s">
        <v>142</v>
      </c>
      <c r="S651">
        <v>48</v>
      </c>
      <c r="T651" t="s">
        <v>143</v>
      </c>
      <c r="U651" t="s">
        <v>144</v>
      </c>
      <c r="V651" t="s">
        <v>5</v>
      </c>
      <c r="W651">
        <v>27</v>
      </c>
      <c r="X651" t="s">
        <v>6</v>
      </c>
      <c r="Z651" t="s">
        <v>5</v>
      </c>
      <c r="AA651" t="s">
        <v>8</v>
      </c>
      <c r="AC651" t="s">
        <v>32</v>
      </c>
      <c r="AD651">
        <v>424</v>
      </c>
    </row>
    <row r="652" spans="1:30" x14ac:dyDescent="0.3">
      <c r="A652">
        <v>17095186</v>
      </c>
      <c r="B652" s="3">
        <v>45687</v>
      </c>
      <c r="C652">
        <v>2025</v>
      </c>
      <c r="D652">
        <v>1</v>
      </c>
      <c r="E652" t="s">
        <v>1579</v>
      </c>
      <c r="F652" t="s">
        <v>0</v>
      </c>
      <c r="G652" t="s">
        <v>384</v>
      </c>
      <c r="H652" t="b">
        <v>1</v>
      </c>
      <c r="I652" t="b">
        <v>1</v>
      </c>
      <c r="J652" t="b">
        <v>1</v>
      </c>
      <c r="K652" t="b">
        <v>0</v>
      </c>
      <c r="L652" t="s">
        <v>2131</v>
      </c>
      <c r="M652" t="s">
        <v>477</v>
      </c>
      <c r="N652" t="s">
        <v>57</v>
      </c>
      <c r="O652" t="b">
        <v>1</v>
      </c>
      <c r="P652">
        <v>4</v>
      </c>
      <c r="Q652" t="s">
        <v>127</v>
      </c>
      <c r="R652" t="s">
        <v>128</v>
      </c>
      <c r="S652">
        <v>58</v>
      </c>
      <c r="T652" t="s">
        <v>80</v>
      </c>
      <c r="U652" t="s">
        <v>129</v>
      </c>
      <c r="V652" t="s">
        <v>130</v>
      </c>
      <c r="W652">
        <v>13</v>
      </c>
      <c r="X652" t="s">
        <v>6</v>
      </c>
      <c r="Y652">
        <v>72</v>
      </c>
      <c r="Z652" t="s">
        <v>67</v>
      </c>
      <c r="AA652" t="s">
        <v>8</v>
      </c>
      <c r="AB652">
        <v>74.38</v>
      </c>
      <c r="AC652" t="s">
        <v>32</v>
      </c>
      <c r="AD652">
        <v>422</v>
      </c>
    </row>
    <row r="653" spans="1:30" x14ac:dyDescent="0.3">
      <c r="A653">
        <v>17099237</v>
      </c>
      <c r="B653" s="3">
        <v>45672</v>
      </c>
      <c r="C653">
        <v>2025</v>
      </c>
      <c r="D653">
        <v>1</v>
      </c>
      <c r="E653" t="s">
        <v>1579</v>
      </c>
      <c r="F653" t="s">
        <v>125</v>
      </c>
      <c r="G653" t="s">
        <v>10</v>
      </c>
      <c r="H653" t="b">
        <v>0</v>
      </c>
      <c r="I653" t="b">
        <v>0</v>
      </c>
      <c r="J653" t="b">
        <v>0</v>
      </c>
      <c r="K653" t="b">
        <v>0</v>
      </c>
      <c r="L653" t="s">
        <v>2132</v>
      </c>
      <c r="M653" t="s">
        <v>546</v>
      </c>
      <c r="N653" t="s">
        <v>63</v>
      </c>
      <c r="O653" t="b">
        <v>0</v>
      </c>
      <c r="P653">
        <v>2</v>
      </c>
      <c r="Q653" t="s">
        <v>423</v>
      </c>
      <c r="R653" t="s">
        <v>424</v>
      </c>
      <c r="S653">
        <v>50</v>
      </c>
      <c r="T653" t="s">
        <v>150</v>
      </c>
      <c r="U653" t="s">
        <v>177</v>
      </c>
      <c r="V653" t="s">
        <v>292</v>
      </c>
      <c r="W653">
        <v>3</v>
      </c>
      <c r="X653" t="s">
        <v>14</v>
      </c>
      <c r="Z653" t="s">
        <v>5</v>
      </c>
      <c r="AA653" t="s">
        <v>15</v>
      </c>
      <c r="AC653" t="s">
        <v>32</v>
      </c>
      <c r="AD653">
        <v>437</v>
      </c>
    </row>
    <row r="654" spans="1:30" x14ac:dyDescent="0.3">
      <c r="A654">
        <v>17103122</v>
      </c>
      <c r="B654" s="3">
        <v>45686</v>
      </c>
      <c r="C654">
        <v>2025</v>
      </c>
      <c r="D654">
        <v>1</v>
      </c>
      <c r="E654" t="s">
        <v>1579</v>
      </c>
      <c r="F654" t="s">
        <v>0</v>
      </c>
      <c r="G654" t="s">
        <v>1</v>
      </c>
      <c r="H654" t="b">
        <v>0</v>
      </c>
      <c r="I654" t="b">
        <v>1</v>
      </c>
      <c r="J654" t="b">
        <v>0</v>
      </c>
      <c r="K654" t="b">
        <v>0</v>
      </c>
      <c r="L654" t="s">
        <v>2133</v>
      </c>
      <c r="M654" t="s">
        <v>339</v>
      </c>
      <c r="N654" t="s">
        <v>5</v>
      </c>
      <c r="O654" t="b">
        <v>0</v>
      </c>
      <c r="P654">
        <v>13</v>
      </c>
      <c r="Q654" t="s">
        <v>367</v>
      </c>
      <c r="R654" t="s">
        <v>368</v>
      </c>
      <c r="S654">
        <v>65</v>
      </c>
      <c r="T654" t="s">
        <v>605</v>
      </c>
      <c r="U654" t="s">
        <v>81</v>
      </c>
      <c r="V654" t="s">
        <v>82</v>
      </c>
      <c r="W654">
        <v>5</v>
      </c>
      <c r="X654" t="s">
        <v>40</v>
      </c>
      <c r="Z654" t="s">
        <v>5</v>
      </c>
      <c r="AA654" t="s">
        <v>15</v>
      </c>
      <c r="AC654" t="s">
        <v>32</v>
      </c>
      <c r="AD654">
        <v>423</v>
      </c>
    </row>
    <row r="655" spans="1:30" x14ac:dyDescent="0.3">
      <c r="A655">
        <v>17105605</v>
      </c>
      <c r="B655" s="3">
        <v>45680</v>
      </c>
      <c r="C655">
        <v>2025</v>
      </c>
      <c r="D655">
        <v>1</v>
      </c>
      <c r="E655" t="s">
        <v>1579</v>
      </c>
      <c r="F655" t="s">
        <v>0</v>
      </c>
      <c r="G655" t="s">
        <v>16</v>
      </c>
      <c r="H655" t="b">
        <v>0</v>
      </c>
      <c r="I655" t="b">
        <v>1</v>
      </c>
      <c r="J655" t="b">
        <v>1</v>
      </c>
      <c r="K655" t="b">
        <v>0</v>
      </c>
      <c r="L655" t="s">
        <v>2134</v>
      </c>
      <c r="M655" t="s">
        <v>842</v>
      </c>
      <c r="N655" t="s">
        <v>57</v>
      </c>
      <c r="O655" t="b">
        <v>1</v>
      </c>
      <c r="P655">
        <v>3</v>
      </c>
      <c r="Q655" t="s">
        <v>1077</v>
      </c>
      <c r="R655" t="s">
        <v>5</v>
      </c>
      <c r="S655">
        <v>58</v>
      </c>
      <c r="T655" t="s">
        <v>1018</v>
      </c>
      <c r="U655" t="s">
        <v>5</v>
      </c>
      <c r="V655" t="s">
        <v>5</v>
      </c>
      <c r="W655">
        <v>10</v>
      </c>
      <c r="X655" t="s">
        <v>6</v>
      </c>
      <c r="Y655">
        <v>74</v>
      </c>
      <c r="Z655" t="s">
        <v>67</v>
      </c>
      <c r="AA655" t="s">
        <v>15</v>
      </c>
      <c r="AB655">
        <v>117.91</v>
      </c>
      <c r="AC655" t="s">
        <v>9</v>
      </c>
      <c r="AD655">
        <v>429</v>
      </c>
    </row>
    <row r="656" spans="1:30" x14ac:dyDescent="0.3">
      <c r="A656">
        <v>17129901</v>
      </c>
      <c r="B656" s="3">
        <v>45684</v>
      </c>
      <c r="C656">
        <v>2025</v>
      </c>
      <c r="D656">
        <v>1</v>
      </c>
      <c r="E656" t="s">
        <v>1579</v>
      </c>
      <c r="F656" t="s">
        <v>0</v>
      </c>
      <c r="G656" t="s">
        <v>1</v>
      </c>
      <c r="H656" t="b">
        <v>0</v>
      </c>
      <c r="I656" t="b">
        <v>1</v>
      </c>
      <c r="J656" t="b">
        <v>0</v>
      </c>
      <c r="K656" t="b">
        <v>0</v>
      </c>
      <c r="L656" t="s">
        <v>1254</v>
      </c>
      <c r="M656" t="s">
        <v>1254</v>
      </c>
      <c r="N656" t="s">
        <v>5</v>
      </c>
      <c r="O656" t="b">
        <v>0</v>
      </c>
      <c r="P656">
        <v>1</v>
      </c>
      <c r="Q656" t="s">
        <v>925</v>
      </c>
      <c r="R656" t="s">
        <v>926</v>
      </c>
      <c r="S656">
        <v>42</v>
      </c>
      <c r="T656" t="s">
        <v>382</v>
      </c>
      <c r="U656" t="s">
        <v>277</v>
      </c>
      <c r="V656" t="s">
        <v>383</v>
      </c>
      <c r="W656">
        <v>5</v>
      </c>
      <c r="X656" t="s">
        <v>40</v>
      </c>
      <c r="Y656">
        <v>58</v>
      </c>
      <c r="Z656" t="s">
        <v>7</v>
      </c>
      <c r="AA656" t="s">
        <v>8</v>
      </c>
      <c r="AC656" t="s">
        <v>32</v>
      </c>
      <c r="AD656">
        <v>425</v>
      </c>
    </row>
    <row r="657" spans="1:30" x14ac:dyDescent="0.3">
      <c r="A657">
        <v>17133367</v>
      </c>
      <c r="B657" s="3">
        <v>45659</v>
      </c>
      <c r="C657">
        <v>2025</v>
      </c>
      <c r="D657">
        <v>1</v>
      </c>
      <c r="E657" t="s">
        <v>1579</v>
      </c>
      <c r="F657" t="s">
        <v>0</v>
      </c>
      <c r="G657" t="s">
        <v>10</v>
      </c>
      <c r="H657" t="b">
        <v>0</v>
      </c>
      <c r="I657" t="b">
        <v>0</v>
      </c>
      <c r="J657" t="b">
        <v>0</v>
      </c>
      <c r="K657" t="b">
        <v>0</v>
      </c>
      <c r="L657" t="s">
        <v>2135</v>
      </c>
      <c r="M657" t="s">
        <v>2135</v>
      </c>
      <c r="N657" t="s">
        <v>21</v>
      </c>
      <c r="O657" t="b">
        <v>0</v>
      </c>
      <c r="P657">
        <v>1</v>
      </c>
      <c r="Q657" t="s">
        <v>444</v>
      </c>
      <c r="R657" t="s">
        <v>445</v>
      </c>
      <c r="S657">
        <v>41</v>
      </c>
      <c r="T657" t="s">
        <v>1087</v>
      </c>
      <c r="U657" t="s">
        <v>447</v>
      </c>
      <c r="V657" t="s">
        <v>172</v>
      </c>
      <c r="W657">
        <v>1</v>
      </c>
      <c r="X657" t="s">
        <v>31</v>
      </c>
      <c r="Y657">
        <v>54</v>
      </c>
      <c r="Z657" t="s">
        <v>7</v>
      </c>
      <c r="AA657" t="s">
        <v>15</v>
      </c>
      <c r="AC657" t="s">
        <v>20</v>
      </c>
      <c r="AD657">
        <v>450</v>
      </c>
    </row>
    <row r="658" spans="1:30" x14ac:dyDescent="0.3">
      <c r="A658">
        <v>17133368</v>
      </c>
      <c r="B658" s="3">
        <v>45664</v>
      </c>
      <c r="C658">
        <v>2025</v>
      </c>
      <c r="D658">
        <v>1</v>
      </c>
      <c r="E658" t="s">
        <v>1579</v>
      </c>
      <c r="F658" t="s">
        <v>0</v>
      </c>
      <c r="G658" t="s">
        <v>1</v>
      </c>
      <c r="H658" t="b">
        <v>0</v>
      </c>
      <c r="I658" t="b">
        <v>1</v>
      </c>
      <c r="J658" t="b">
        <v>0</v>
      </c>
      <c r="K658" t="b">
        <v>0</v>
      </c>
      <c r="L658" t="s">
        <v>2136</v>
      </c>
      <c r="M658" t="s">
        <v>883</v>
      </c>
      <c r="N658" t="s">
        <v>70</v>
      </c>
      <c r="O658" t="b">
        <v>0</v>
      </c>
      <c r="P658">
        <v>16</v>
      </c>
      <c r="Q658" t="s">
        <v>444</v>
      </c>
      <c r="R658" t="s">
        <v>445</v>
      </c>
      <c r="S658">
        <v>41</v>
      </c>
      <c r="T658" t="s">
        <v>619</v>
      </c>
      <c r="U658" t="s">
        <v>447</v>
      </c>
      <c r="V658" t="s">
        <v>172</v>
      </c>
      <c r="W658">
        <v>42</v>
      </c>
      <c r="X658" t="s">
        <v>6</v>
      </c>
      <c r="Y658">
        <v>60</v>
      </c>
      <c r="Z658" t="s">
        <v>7</v>
      </c>
      <c r="AA658" t="s">
        <v>8</v>
      </c>
      <c r="AB658">
        <v>52.5</v>
      </c>
      <c r="AC658" t="s">
        <v>20</v>
      </c>
      <c r="AD658">
        <v>445</v>
      </c>
    </row>
    <row r="659" spans="1:30" x14ac:dyDescent="0.3">
      <c r="A659">
        <v>17143115</v>
      </c>
      <c r="B659" s="3">
        <v>45686</v>
      </c>
      <c r="C659">
        <v>2025</v>
      </c>
      <c r="D659">
        <v>1</v>
      </c>
      <c r="E659" t="s">
        <v>1579</v>
      </c>
      <c r="F659" t="s">
        <v>0</v>
      </c>
      <c r="G659" t="s">
        <v>1</v>
      </c>
      <c r="H659" t="b">
        <v>0</v>
      </c>
      <c r="I659" t="b">
        <v>1</v>
      </c>
      <c r="J659" t="b">
        <v>0</v>
      </c>
      <c r="K659" t="b">
        <v>0</v>
      </c>
      <c r="L659" t="s">
        <v>2137</v>
      </c>
      <c r="M659" t="s">
        <v>736</v>
      </c>
      <c r="N659" t="s">
        <v>2</v>
      </c>
      <c r="O659" t="b">
        <v>1</v>
      </c>
      <c r="P659">
        <v>13</v>
      </c>
      <c r="Q659" t="s">
        <v>824</v>
      </c>
      <c r="R659" t="s">
        <v>825</v>
      </c>
      <c r="S659" t="s">
        <v>5</v>
      </c>
      <c r="T659" t="s">
        <v>826</v>
      </c>
      <c r="U659" t="s">
        <v>271</v>
      </c>
      <c r="V659" t="s">
        <v>827</v>
      </c>
      <c r="W659">
        <v>6</v>
      </c>
      <c r="X659" t="s">
        <v>6</v>
      </c>
      <c r="Y659">
        <v>40</v>
      </c>
      <c r="Z659" t="s">
        <v>61</v>
      </c>
      <c r="AA659" t="s">
        <v>8</v>
      </c>
      <c r="AB659">
        <v>88.888999999999996</v>
      </c>
      <c r="AC659" t="s">
        <v>32</v>
      </c>
      <c r="AD659">
        <v>423</v>
      </c>
    </row>
    <row r="660" spans="1:30" x14ac:dyDescent="0.3">
      <c r="A660">
        <v>17147225</v>
      </c>
      <c r="B660" s="3">
        <v>45673</v>
      </c>
      <c r="C660">
        <v>2025</v>
      </c>
      <c r="D660">
        <v>1</v>
      </c>
      <c r="E660" t="s">
        <v>1579</v>
      </c>
      <c r="F660" t="s">
        <v>0</v>
      </c>
      <c r="G660" t="s">
        <v>10</v>
      </c>
      <c r="H660" t="b">
        <v>0</v>
      </c>
      <c r="I660" t="b">
        <v>0</v>
      </c>
      <c r="J660" t="b">
        <v>0</v>
      </c>
      <c r="K660" t="b">
        <v>0</v>
      </c>
      <c r="L660" t="s">
        <v>2138</v>
      </c>
      <c r="M660" t="s">
        <v>206</v>
      </c>
      <c r="N660" t="s">
        <v>57</v>
      </c>
      <c r="O660" t="b">
        <v>1</v>
      </c>
      <c r="P660">
        <v>3</v>
      </c>
      <c r="Q660" t="s">
        <v>502</v>
      </c>
      <c r="R660" t="s">
        <v>503</v>
      </c>
      <c r="S660">
        <v>42</v>
      </c>
      <c r="T660" t="s">
        <v>62</v>
      </c>
      <c r="U660" t="s">
        <v>325</v>
      </c>
      <c r="V660" t="s">
        <v>504</v>
      </c>
      <c r="W660">
        <v>9</v>
      </c>
      <c r="X660" t="s">
        <v>6</v>
      </c>
      <c r="Z660" t="s">
        <v>5</v>
      </c>
      <c r="AA660" t="s">
        <v>5</v>
      </c>
      <c r="AC660" t="s">
        <v>9</v>
      </c>
      <c r="AD660">
        <v>436</v>
      </c>
    </row>
    <row r="661" spans="1:30" x14ac:dyDescent="0.3">
      <c r="A661">
        <v>17157448</v>
      </c>
      <c r="B661" s="3">
        <v>45663</v>
      </c>
      <c r="C661">
        <v>2025</v>
      </c>
      <c r="D661">
        <v>1</v>
      </c>
      <c r="E661" t="s">
        <v>1579</v>
      </c>
      <c r="F661" t="s">
        <v>0</v>
      </c>
      <c r="G661" t="s">
        <v>1</v>
      </c>
      <c r="H661" t="b">
        <v>0</v>
      </c>
      <c r="I661" t="b">
        <v>1</v>
      </c>
      <c r="J661" t="b">
        <v>0</v>
      </c>
      <c r="K661" t="b">
        <v>0</v>
      </c>
      <c r="L661" t="s">
        <v>2139</v>
      </c>
      <c r="M661" t="s">
        <v>244</v>
      </c>
      <c r="N661" t="s">
        <v>118</v>
      </c>
      <c r="O661" t="b">
        <v>0</v>
      </c>
      <c r="P661">
        <v>15</v>
      </c>
      <c r="Q661" t="s">
        <v>367</v>
      </c>
      <c r="R661" t="s">
        <v>368</v>
      </c>
      <c r="S661">
        <v>42</v>
      </c>
      <c r="T661" t="s">
        <v>801</v>
      </c>
      <c r="U661" t="s">
        <v>81</v>
      </c>
      <c r="V661" t="s">
        <v>82</v>
      </c>
      <c r="W661">
        <v>11</v>
      </c>
      <c r="X661" t="s">
        <v>6</v>
      </c>
      <c r="Y661">
        <v>43</v>
      </c>
      <c r="Z661" t="s">
        <v>7</v>
      </c>
      <c r="AA661" t="s">
        <v>8</v>
      </c>
      <c r="AC661" t="s">
        <v>101</v>
      </c>
      <c r="AD661">
        <v>446</v>
      </c>
    </row>
    <row r="662" spans="1:30" x14ac:dyDescent="0.3">
      <c r="A662">
        <v>17159111</v>
      </c>
      <c r="B662" s="3">
        <v>45666</v>
      </c>
      <c r="C662">
        <v>2025</v>
      </c>
      <c r="D662">
        <v>1</v>
      </c>
      <c r="E662" t="s">
        <v>1579</v>
      </c>
      <c r="F662" t="s">
        <v>0</v>
      </c>
      <c r="G662" t="s">
        <v>10</v>
      </c>
      <c r="H662" t="b">
        <v>0</v>
      </c>
      <c r="I662" t="b">
        <v>0</v>
      </c>
      <c r="J662" t="b">
        <v>0</v>
      </c>
      <c r="K662" t="b">
        <v>0</v>
      </c>
      <c r="L662" t="s">
        <v>2140</v>
      </c>
      <c r="M662" t="s">
        <v>533</v>
      </c>
      <c r="N662" t="s">
        <v>5</v>
      </c>
      <c r="O662" t="b">
        <v>0</v>
      </c>
      <c r="P662">
        <v>4</v>
      </c>
      <c r="Q662" t="s">
        <v>632</v>
      </c>
      <c r="R662" t="s">
        <v>633</v>
      </c>
      <c r="S662" t="s">
        <v>5</v>
      </c>
      <c r="T662" t="s">
        <v>5</v>
      </c>
      <c r="U662" t="s">
        <v>634</v>
      </c>
      <c r="V662" t="s">
        <v>5</v>
      </c>
      <c r="W662">
        <v>1</v>
      </c>
      <c r="X662" t="s">
        <v>31</v>
      </c>
      <c r="Y662">
        <v>59</v>
      </c>
      <c r="Z662" t="s">
        <v>7</v>
      </c>
      <c r="AA662" t="s">
        <v>8</v>
      </c>
      <c r="AC662" t="s">
        <v>32</v>
      </c>
      <c r="AD662">
        <v>443</v>
      </c>
    </row>
    <row r="663" spans="1:30" x14ac:dyDescent="0.3">
      <c r="A663">
        <v>17160484</v>
      </c>
      <c r="B663" s="3">
        <v>45669</v>
      </c>
      <c r="C663">
        <v>2025</v>
      </c>
      <c r="D663">
        <v>1</v>
      </c>
      <c r="E663" t="s">
        <v>1579</v>
      </c>
      <c r="F663" t="s">
        <v>0</v>
      </c>
      <c r="G663" t="s">
        <v>1</v>
      </c>
      <c r="H663" t="b">
        <v>0</v>
      </c>
      <c r="I663" t="b">
        <v>1</v>
      </c>
      <c r="J663" t="b">
        <v>0</v>
      </c>
      <c r="K663" t="b">
        <v>0</v>
      </c>
      <c r="L663" t="s">
        <v>2141</v>
      </c>
      <c r="M663" t="s">
        <v>428</v>
      </c>
      <c r="N663" t="s">
        <v>5</v>
      </c>
      <c r="O663" t="b">
        <v>0</v>
      </c>
      <c r="P663">
        <v>8</v>
      </c>
      <c r="Q663" t="s">
        <v>630</v>
      </c>
      <c r="R663" t="s">
        <v>5</v>
      </c>
      <c r="S663" t="s">
        <v>5</v>
      </c>
      <c r="T663" t="s">
        <v>664</v>
      </c>
      <c r="U663" t="s">
        <v>5</v>
      </c>
      <c r="V663" t="s">
        <v>5</v>
      </c>
      <c r="W663">
        <v>4</v>
      </c>
      <c r="X663" t="s">
        <v>40</v>
      </c>
      <c r="Y663">
        <v>63</v>
      </c>
      <c r="Z663" t="s">
        <v>7</v>
      </c>
      <c r="AA663" t="s">
        <v>8</v>
      </c>
      <c r="AC663" t="s">
        <v>32</v>
      </c>
      <c r="AD663">
        <v>440</v>
      </c>
    </row>
    <row r="664" spans="1:30" x14ac:dyDescent="0.3">
      <c r="A664">
        <v>17174041</v>
      </c>
      <c r="B664" s="3">
        <v>45674</v>
      </c>
      <c r="C664">
        <v>2025</v>
      </c>
      <c r="D664">
        <v>1</v>
      </c>
      <c r="E664" t="s">
        <v>1579</v>
      </c>
      <c r="F664" t="s">
        <v>0</v>
      </c>
      <c r="G664" t="s">
        <v>1</v>
      </c>
      <c r="H664" t="b">
        <v>0</v>
      </c>
      <c r="I664" t="b">
        <v>1</v>
      </c>
      <c r="J664" t="b">
        <v>0</v>
      </c>
      <c r="K664" t="b">
        <v>0</v>
      </c>
      <c r="L664" t="s">
        <v>2142</v>
      </c>
      <c r="M664" t="s">
        <v>971</v>
      </c>
      <c r="N664" t="s">
        <v>5</v>
      </c>
      <c r="O664" t="b">
        <v>0</v>
      </c>
      <c r="P664">
        <v>4</v>
      </c>
      <c r="Q664" t="s">
        <v>208</v>
      </c>
      <c r="R664" t="s">
        <v>209</v>
      </c>
      <c r="S664" t="s">
        <v>5</v>
      </c>
      <c r="T664" t="s">
        <v>183</v>
      </c>
      <c r="U664" t="s">
        <v>210</v>
      </c>
      <c r="V664" t="s">
        <v>5</v>
      </c>
      <c r="W664">
        <v>1</v>
      </c>
      <c r="X664" t="s">
        <v>31</v>
      </c>
      <c r="Y664">
        <v>50</v>
      </c>
      <c r="Z664" t="s">
        <v>7</v>
      </c>
      <c r="AA664" t="s">
        <v>8</v>
      </c>
      <c r="AB664">
        <v>84</v>
      </c>
      <c r="AC664" t="s">
        <v>32</v>
      </c>
      <c r="AD664">
        <v>435</v>
      </c>
    </row>
    <row r="665" spans="1:30" x14ac:dyDescent="0.3">
      <c r="A665">
        <v>17176773</v>
      </c>
      <c r="B665" s="3">
        <v>45660</v>
      </c>
      <c r="C665">
        <v>2025</v>
      </c>
      <c r="D665">
        <v>1</v>
      </c>
      <c r="E665" t="s">
        <v>1579</v>
      </c>
      <c r="F665" t="s">
        <v>0</v>
      </c>
      <c r="G665" t="s">
        <v>1</v>
      </c>
      <c r="H665" t="b">
        <v>0</v>
      </c>
      <c r="I665" t="b">
        <v>1</v>
      </c>
      <c r="J665" t="b">
        <v>0</v>
      </c>
      <c r="K665" t="b">
        <v>0</v>
      </c>
      <c r="L665" t="s">
        <v>2143</v>
      </c>
      <c r="M665" t="s">
        <v>647</v>
      </c>
      <c r="N665" t="s">
        <v>5</v>
      </c>
      <c r="O665" t="b">
        <v>0</v>
      </c>
      <c r="P665">
        <v>12</v>
      </c>
      <c r="Q665" t="s">
        <v>316</v>
      </c>
      <c r="R665" t="s">
        <v>317</v>
      </c>
      <c r="S665" t="s">
        <v>5</v>
      </c>
      <c r="T665" t="s">
        <v>183</v>
      </c>
      <c r="U665" t="s">
        <v>318</v>
      </c>
      <c r="V665" t="s">
        <v>319</v>
      </c>
      <c r="W665">
        <v>2</v>
      </c>
      <c r="X665" t="s">
        <v>14</v>
      </c>
      <c r="Z665" t="s">
        <v>5</v>
      </c>
      <c r="AA665" t="s">
        <v>8</v>
      </c>
      <c r="AB665">
        <v>38.548999999999999</v>
      </c>
      <c r="AC665" t="s">
        <v>32</v>
      </c>
      <c r="AD665">
        <v>449</v>
      </c>
    </row>
    <row r="666" spans="1:30" x14ac:dyDescent="0.3">
      <c r="A666">
        <v>17182235</v>
      </c>
      <c r="B666" s="3">
        <v>45660</v>
      </c>
      <c r="C666">
        <v>2025</v>
      </c>
      <c r="D666">
        <v>1</v>
      </c>
      <c r="E666" t="s">
        <v>1579</v>
      </c>
      <c r="F666" t="s">
        <v>0</v>
      </c>
      <c r="G666" t="s">
        <v>1</v>
      </c>
      <c r="H666" t="b">
        <v>0</v>
      </c>
      <c r="I666" t="b">
        <v>1</v>
      </c>
      <c r="J666" t="b">
        <v>0</v>
      </c>
      <c r="K666" t="b">
        <v>0</v>
      </c>
      <c r="L666" t="s">
        <v>2144</v>
      </c>
      <c r="M666" t="s">
        <v>439</v>
      </c>
      <c r="N666" t="s">
        <v>12</v>
      </c>
      <c r="O666" t="b">
        <v>1</v>
      </c>
      <c r="P666">
        <v>4</v>
      </c>
      <c r="Q666" t="s">
        <v>1433</v>
      </c>
      <c r="R666" t="s">
        <v>1434</v>
      </c>
      <c r="S666">
        <v>48</v>
      </c>
      <c r="T666" t="s">
        <v>1435</v>
      </c>
      <c r="U666" t="s">
        <v>1238</v>
      </c>
      <c r="V666" t="s">
        <v>1436</v>
      </c>
      <c r="W666">
        <v>18</v>
      </c>
      <c r="X666" t="s">
        <v>6</v>
      </c>
      <c r="Y666">
        <v>75</v>
      </c>
      <c r="Z666" t="s">
        <v>67</v>
      </c>
      <c r="AA666" t="s">
        <v>15</v>
      </c>
      <c r="AB666">
        <v>53.8</v>
      </c>
      <c r="AC666" t="s">
        <v>20</v>
      </c>
      <c r="AD666">
        <v>449</v>
      </c>
    </row>
    <row r="667" spans="1:30" x14ac:dyDescent="0.3">
      <c r="A667">
        <v>17186977</v>
      </c>
      <c r="B667" s="3">
        <v>45677</v>
      </c>
      <c r="C667">
        <v>2025</v>
      </c>
      <c r="D667">
        <v>1</v>
      </c>
      <c r="E667" t="s">
        <v>1579</v>
      </c>
      <c r="F667" t="s">
        <v>0</v>
      </c>
      <c r="G667" t="s">
        <v>1</v>
      </c>
      <c r="H667" t="b">
        <v>0</v>
      </c>
      <c r="I667" t="b">
        <v>1</v>
      </c>
      <c r="J667" t="b">
        <v>0</v>
      </c>
      <c r="K667" t="b">
        <v>0</v>
      </c>
      <c r="L667" t="s">
        <v>2145</v>
      </c>
      <c r="M667" t="s">
        <v>1213</v>
      </c>
      <c r="N667" t="s">
        <v>57</v>
      </c>
      <c r="O667" t="b">
        <v>1</v>
      </c>
      <c r="P667">
        <v>2</v>
      </c>
      <c r="Q667" t="s">
        <v>1392</v>
      </c>
      <c r="R667" t="s">
        <v>5</v>
      </c>
      <c r="S667">
        <v>48</v>
      </c>
      <c r="T667" t="s">
        <v>74</v>
      </c>
      <c r="U667" t="s">
        <v>5</v>
      </c>
      <c r="V667" t="s">
        <v>5</v>
      </c>
      <c r="W667">
        <v>24</v>
      </c>
      <c r="X667" t="s">
        <v>6</v>
      </c>
      <c r="Y667">
        <v>66</v>
      </c>
      <c r="Z667" t="s">
        <v>67</v>
      </c>
      <c r="AA667" t="s">
        <v>15</v>
      </c>
      <c r="AB667">
        <v>83.46</v>
      </c>
      <c r="AC667" t="s">
        <v>32</v>
      </c>
      <c r="AD667">
        <v>432</v>
      </c>
    </row>
    <row r="668" spans="1:30" x14ac:dyDescent="0.3">
      <c r="A668">
        <v>17195653</v>
      </c>
      <c r="B668" s="3">
        <v>45660</v>
      </c>
      <c r="C668">
        <v>2025</v>
      </c>
      <c r="D668">
        <v>1</v>
      </c>
      <c r="E668" t="s">
        <v>1579</v>
      </c>
      <c r="F668" t="s">
        <v>0</v>
      </c>
      <c r="G668" t="s">
        <v>1</v>
      </c>
      <c r="H668" t="b">
        <v>0</v>
      </c>
      <c r="I668" t="b">
        <v>1</v>
      </c>
      <c r="J668" t="b">
        <v>0</v>
      </c>
      <c r="K668" t="b">
        <v>0</v>
      </c>
      <c r="L668" t="s">
        <v>2146</v>
      </c>
      <c r="M668" t="s">
        <v>2147</v>
      </c>
      <c r="N668" t="s">
        <v>57</v>
      </c>
      <c r="O668" t="b">
        <v>1</v>
      </c>
      <c r="P668">
        <v>26</v>
      </c>
      <c r="Q668" t="s">
        <v>1428</v>
      </c>
      <c r="R668" t="s">
        <v>1429</v>
      </c>
      <c r="S668">
        <v>65</v>
      </c>
      <c r="T668" t="s">
        <v>49</v>
      </c>
      <c r="U668" t="s">
        <v>1430</v>
      </c>
      <c r="V668" t="s">
        <v>1431</v>
      </c>
      <c r="W668">
        <v>23</v>
      </c>
      <c r="X668" t="s">
        <v>6</v>
      </c>
      <c r="Y668">
        <v>45</v>
      </c>
      <c r="Z668" t="s">
        <v>7</v>
      </c>
      <c r="AA668" t="s">
        <v>8</v>
      </c>
      <c r="AC668" t="s">
        <v>254</v>
      </c>
      <c r="AD668">
        <v>449</v>
      </c>
    </row>
    <row r="669" spans="1:30" x14ac:dyDescent="0.3">
      <c r="A669">
        <v>17196061</v>
      </c>
      <c r="B669" s="3">
        <v>45658</v>
      </c>
      <c r="C669">
        <v>2025</v>
      </c>
      <c r="D669">
        <v>1</v>
      </c>
      <c r="E669" t="s">
        <v>1579</v>
      </c>
      <c r="F669" t="s">
        <v>0</v>
      </c>
      <c r="G669" t="s">
        <v>10</v>
      </c>
      <c r="H669" t="b">
        <v>0</v>
      </c>
      <c r="I669" t="b">
        <v>0</v>
      </c>
      <c r="J669" t="b">
        <v>0</v>
      </c>
      <c r="K669" t="b">
        <v>0</v>
      </c>
      <c r="L669" t="s">
        <v>2148</v>
      </c>
      <c r="M669" t="s">
        <v>1394</v>
      </c>
      <c r="N669" t="s">
        <v>63</v>
      </c>
      <c r="O669" t="b">
        <v>0</v>
      </c>
      <c r="P669">
        <v>10</v>
      </c>
      <c r="Q669" t="s">
        <v>588</v>
      </c>
      <c r="R669" t="s">
        <v>589</v>
      </c>
      <c r="S669" t="s">
        <v>5</v>
      </c>
      <c r="T669" t="s">
        <v>590</v>
      </c>
      <c r="U669" t="s">
        <v>591</v>
      </c>
      <c r="V669" t="s">
        <v>592</v>
      </c>
      <c r="W669">
        <v>14</v>
      </c>
      <c r="X669" t="s">
        <v>6</v>
      </c>
      <c r="Y669">
        <v>18</v>
      </c>
      <c r="Z669" t="s">
        <v>19</v>
      </c>
      <c r="AA669" t="s">
        <v>8</v>
      </c>
      <c r="AB669">
        <v>54</v>
      </c>
      <c r="AC669" t="s">
        <v>32</v>
      </c>
      <c r="AD669">
        <v>451</v>
      </c>
    </row>
    <row r="670" spans="1:30" x14ac:dyDescent="0.3">
      <c r="A670">
        <v>17210544</v>
      </c>
      <c r="B670" s="3">
        <v>45664</v>
      </c>
      <c r="C670">
        <v>2025</v>
      </c>
      <c r="D670">
        <v>1</v>
      </c>
      <c r="E670" t="s">
        <v>1579</v>
      </c>
      <c r="F670" t="s">
        <v>125</v>
      </c>
      <c r="G670" t="s">
        <v>10</v>
      </c>
      <c r="H670" t="b">
        <v>0</v>
      </c>
      <c r="I670" t="b">
        <v>0</v>
      </c>
      <c r="J670" t="b">
        <v>0</v>
      </c>
      <c r="K670" t="b">
        <v>0</v>
      </c>
      <c r="L670" t="s">
        <v>717</v>
      </c>
      <c r="M670" t="s">
        <v>717</v>
      </c>
      <c r="N670" t="s">
        <v>5</v>
      </c>
      <c r="O670" t="b">
        <v>0</v>
      </c>
      <c r="P670">
        <v>1</v>
      </c>
      <c r="Q670" t="s">
        <v>230</v>
      </c>
      <c r="R670" t="s">
        <v>268</v>
      </c>
      <c r="S670">
        <v>48</v>
      </c>
      <c r="T670" t="s">
        <v>785</v>
      </c>
      <c r="U670" t="s">
        <v>231</v>
      </c>
      <c r="V670" t="s">
        <v>232</v>
      </c>
      <c r="W670">
        <v>5</v>
      </c>
      <c r="X670" t="s">
        <v>40</v>
      </c>
      <c r="Z670" t="s">
        <v>5</v>
      </c>
      <c r="AA670" t="s">
        <v>5</v>
      </c>
      <c r="AC670" t="s">
        <v>32</v>
      </c>
      <c r="AD670">
        <v>445</v>
      </c>
    </row>
    <row r="671" spans="1:30" x14ac:dyDescent="0.3">
      <c r="A671">
        <v>17214768</v>
      </c>
      <c r="B671" s="3">
        <v>45678</v>
      </c>
      <c r="C671">
        <v>2025</v>
      </c>
      <c r="D671">
        <v>1</v>
      </c>
      <c r="E671" t="s">
        <v>1579</v>
      </c>
      <c r="F671" t="s">
        <v>0</v>
      </c>
      <c r="G671" t="s">
        <v>10</v>
      </c>
      <c r="H671" t="b">
        <v>0</v>
      </c>
      <c r="I671" t="b">
        <v>0</v>
      </c>
      <c r="J671" t="b">
        <v>0</v>
      </c>
      <c r="K671" t="b">
        <v>0</v>
      </c>
      <c r="L671" t="s">
        <v>2149</v>
      </c>
      <c r="M671" t="s">
        <v>2150</v>
      </c>
      <c r="N671" t="s">
        <v>5</v>
      </c>
      <c r="O671" t="b">
        <v>0</v>
      </c>
      <c r="P671">
        <v>4</v>
      </c>
      <c r="Q671" t="s">
        <v>2151</v>
      </c>
      <c r="R671" t="s">
        <v>2152</v>
      </c>
      <c r="S671">
        <v>65</v>
      </c>
      <c r="T671" t="s">
        <v>868</v>
      </c>
      <c r="U671" t="s">
        <v>2153</v>
      </c>
      <c r="V671" t="s">
        <v>5</v>
      </c>
      <c r="W671">
        <v>27</v>
      </c>
      <c r="X671" t="s">
        <v>6</v>
      </c>
      <c r="Y671">
        <v>25</v>
      </c>
      <c r="Z671" t="s">
        <v>61</v>
      </c>
      <c r="AA671" t="s">
        <v>8</v>
      </c>
      <c r="AC671" t="s">
        <v>284</v>
      </c>
      <c r="AD671">
        <v>431</v>
      </c>
    </row>
    <row r="672" spans="1:30" x14ac:dyDescent="0.3">
      <c r="A672">
        <v>17215800</v>
      </c>
      <c r="B672" s="3">
        <v>45664</v>
      </c>
      <c r="C672">
        <v>2025</v>
      </c>
      <c r="D672">
        <v>1</v>
      </c>
      <c r="E672" t="s">
        <v>1579</v>
      </c>
      <c r="F672" t="s">
        <v>0</v>
      </c>
      <c r="G672" t="s">
        <v>10</v>
      </c>
      <c r="H672" t="b">
        <v>0</v>
      </c>
      <c r="I672" t="b">
        <v>0</v>
      </c>
      <c r="J672" t="b">
        <v>0</v>
      </c>
      <c r="K672" t="b">
        <v>0</v>
      </c>
      <c r="L672" t="s">
        <v>2154</v>
      </c>
      <c r="M672" t="s">
        <v>1404</v>
      </c>
      <c r="N672" t="s">
        <v>17</v>
      </c>
      <c r="O672" t="b">
        <v>0</v>
      </c>
      <c r="P672">
        <v>2</v>
      </c>
      <c r="Q672" t="s">
        <v>486</v>
      </c>
      <c r="R672" t="s">
        <v>487</v>
      </c>
      <c r="S672">
        <v>65</v>
      </c>
      <c r="T672" t="s">
        <v>901</v>
      </c>
      <c r="U672" t="s">
        <v>488</v>
      </c>
      <c r="V672" t="s">
        <v>489</v>
      </c>
      <c r="W672">
        <v>14</v>
      </c>
      <c r="X672" t="s">
        <v>6</v>
      </c>
      <c r="Y672">
        <v>5.3333333333333304</v>
      </c>
      <c r="Z672" t="s">
        <v>46</v>
      </c>
      <c r="AA672" t="s">
        <v>15</v>
      </c>
      <c r="AB672">
        <v>16</v>
      </c>
      <c r="AC672" t="s">
        <v>47</v>
      </c>
      <c r="AD672">
        <v>445</v>
      </c>
    </row>
    <row r="673" spans="1:30" x14ac:dyDescent="0.3">
      <c r="A673">
        <v>17220619</v>
      </c>
      <c r="B673" s="3">
        <v>45672</v>
      </c>
      <c r="C673">
        <v>2025</v>
      </c>
      <c r="D673">
        <v>1</v>
      </c>
      <c r="E673" t="s">
        <v>1579</v>
      </c>
      <c r="F673" t="s">
        <v>0</v>
      </c>
      <c r="G673" t="s">
        <v>10</v>
      </c>
      <c r="H673" t="b">
        <v>0</v>
      </c>
      <c r="I673" t="b">
        <v>0</v>
      </c>
      <c r="J673" t="b">
        <v>0</v>
      </c>
      <c r="K673" t="b">
        <v>0</v>
      </c>
      <c r="L673" t="s">
        <v>296</v>
      </c>
      <c r="M673" t="s">
        <v>296</v>
      </c>
      <c r="N673" t="s">
        <v>12</v>
      </c>
      <c r="O673" t="b">
        <v>1</v>
      </c>
      <c r="P673">
        <v>1</v>
      </c>
      <c r="Q673" t="s">
        <v>1221</v>
      </c>
      <c r="R673" t="s">
        <v>1222</v>
      </c>
      <c r="S673" t="s">
        <v>5</v>
      </c>
      <c r="T673" t="s">
        <v>83</v>
      </c>
      <c r="U673" t="s">
        <v>1223</v>
      </c>
      <c r="V673" t="s">
        <v>5</v>
      </c>
      <c r="W673">
        <v>2</v>
      </c>
      <c r="X673" t="s">
        <v>14</v>
      </c>
      <c r="Z673" t="s">
        <v>5</v>
      </c>
      <c r="AA673" t="s">
        <v>15</v>
      </c>
      <c r="AC673" t="s">
        <v>1008</v>
      </c>
      <c r="AD673">
        <v>437</v>
      </c>
    </row>
    <row r="674" spans="1:30" x14ac:dyDescent="0.3">
      <c r="A674">
        <v>17223076</v>
      </c>
      <c r="B674" s="3">
        <v>45687</v>
      </c>
      <c r="C674">
        <v>2025</v>
      </c>
      <c r="D674">
        <v>1</v>
      </c>
      <c r="E674" t="s">
        <v>1579</v>
      </c>
      <c r="F674" t="s">
        <v>0</v>
      </c>
      <c r="G674" t="s">
        <v>10</v>
      </c>
      <c r="H674" t="b">
        <v>0</v>
      </c>
      <c r="I674" t="b">
        <v>0</v>
      </c>
      <c r="J674" t="b">
        <v>0</v>
      </c>
      <c r="K674" t="b">
        <v>0</v>
      </c>
      <c r="L674" t="s">
        <v>1546</v>
      </c>
      <c r="M674" t="s">
        <v>708</v>
      </c>
      <c r="N674" t="s">
        <v>57</v>
      </c>
      <c r="O674" t="b">
        <v>1</v>
      </c>
      <c r="P674">
        <v>2</v>
      </c>
      <c r="Q674" t="s">
        <v>673</v>
      </c>
      <c r="R674" t="s">
        <v>674</v>
      </c>
      <c r="S674">
        <v>65</v>
      </c>
      <c r="T674" t="s">
        <v>427</v>
      </c>
      <c r="U674" t="s">
        <v>675</v>
      </c>
      <c r="V674" t="s">
        <v>676</v>
      </c>
      <c r="W674">
        <v>9</v>
      </c>
      <c r="X674" t="s">
        <v>6</v>
      </c>
      <c r="Y674">
        <v>63</v>
      </c>
      <c r="Z674" t="s">
        <v>7</v>
      </c>
      <c r="AA674" t="s">
        <v>8</v>
      </c>
      <c r="AB674">
        <v>64</v>
      </c>
      <c r="AC674" t="s">
        <v>25</v>
      </c>
      <c r="AD674">
        <v>422</v>
      </c>
    </row>
    <row r="675" spans="1:30" x14ac:dyDescent="0.3">
      <c r="A675">
        <v>17224324</v>
      </c>
      <c r="B675" s="3">
        <v>45685</v>
      </c>
      <c r="C675">
        <v>2025</v>
      </c>
      <c r="D675">
        <v>1</v>
      </c>
      <c r="E675" t="s">
        <v>1579</v>
      </c>
      <c r="F675" t="s">
        <v>0</v>
      </c>
      <c r="G675" t="s">
        <v>10</v>
      </c>
      <c r="H675" t="b">
        <v>0</v>
      </c>
      <c r="I675" t="b">
        <v>0</v>
      </c>
      <c r="J675" t="b">
        <v>0</v>
      </c>
      <c r="K675" t="b">
        <v>0</v>
      </c>
      <c r="L675" t="s">
        <v>2155</v>
      </c>
      <c r="M675" t="s">
        <v>713</v>
      </c>
      <c r="N675" t="s">
        <v>70</v>
      </c>
      <c r="O675" t="b">
        <v>0</v>
      </c>
      <c r="P675">
        <v>34</v>
      </c>
      <c r="Q675" t="s">
        <v>135</v>
      </c>
      <c r="R675" t="s">
        <v>136</v>
      </c>
      <c r="S675">
        <v>58</v>
      </c>
      <c r="T675" t="s">
        <v>299</v>
      </c>
      <c r="U675" t="s">
        <v>81</v>
      </c>
      <c r="V675" t="s">
        <v>137</v>
      </c>
      <c r="W675">
        <v>20</v>
      </c>
      <c r="X675" t="s">
        <v>6</v>
      </c>
      <c r="Y675">
        <v>73</v>
      </c>
      <c r="Z675" t="s">
        <v>67</v>
      </c>
      <c r="AA675" t="s">
        <v>15</v>
      </c>
      <c r="AC675" t="s">
        <v>9</v>
      </c>
      <c r="AD675">
        <v>424</v>
      </c>
    </row>
    <row r="676" spans="1:30" x14ac:dyDescent="0.3">
      <c r="A676">
        <v>17224845</v>
      </c>
      <c r="B676" s="3">
        <v>45670</v>
      </c>
      <c r="C676">
        <v>2025</v>
      </c>
      <c r="D676">
        <v>1</v>
      </c>
      <c r="E676" t="s">
        <v>1579</v>
      </c>
      <c r="F676" t="s">
        <v>0</v>
      </c>
      <c r="G676" t="s">
        <v>10</v>
      </c>
      <c r="H676" t="b">
        <v>0</v>
      </c>
      <c r="I676" t="b">
        <v>0</v>
      </c>
      <c r="J676" t="b">
        <v>0</v>
      </c>
      <c r="K676" t="b">
        <v>0</v>
      </c>
      <c r="L676" t="s">
        <v>2156</v>
      </c>
      <c r="M676" t="s">
        <v>466</v>
      </c>
      <c r="N676" t="s">
        <v>118</v>
      </c>
      <c r="O676" t="b">
        <v>0</v>
      </c>
      <c r="P676">
        <v>24</v>
      </c>
      <c r="Q676" t="s">
        <v>320</v>
      </c>
      <c r="R676" t="s">
        <v>321</v>
      </c>
      <c r="S676">
        <v>58</v>
      </c>
      <c r="T676" t="s">
        <v>212</v>
      </c>
      <c r="U676" t="s">
        <v>4</v>
      </c>
      <c r="V676" t="s">
        <v>322</v>
      </c>
      <c r="W676">
        <v>9</v>
      </c>
      <c r="X676" t="s">
        <v>6</v>
      </c>
      <c r="Y676">
        <v>47</v>
      </c>
      <c r="Z676" t="s">
        <v>7</v>
      </c>
      <c r="AA676" t="s">
        <v>8</v>
      </c>
      <c r="AC676" t="s">
        <v>9</v>
      </c>
      <c r="AD676">
        <v>439</v>
      </c>
    </row>
    <row r="677" spans="1:30" x14ac:dyDescent="0.3">
      <c r="A677">
        <v>17225726</v>
      </c>
      <c r="B677" s="3">
        <v>45686</v>
      </c>
      <c r="C677">
        <v>2025</v>
      </c>
      <c r="D677">
        <v>1</v>
      </c>
      <c r="E677" t="s">
        <v>1579</v>
      </c>
      <c r="F677" t="s">
        <v>0</v>
      </c>
      <c r="G677" t="s">
        <v>10</v>
      </c>
      <c r="H677" t="b">
        <v>0</v>
      </c>
      <c r="I677" t="b">
        <v>0</v>
      </c>
      <c r="J677" t="b">
        <v>0</v>
      </c>
      <c r="K677" t="b">
        <v>0</v>
      </c>
      <c r="L677" t="s">
        <v>1543</v>
      </c>
      <c r="M677" t="s">
        <v>463</v>
      </c>
      <c r="N677" t="s">
        <v>21</v>
      </c>
      <c r="O677" t="b">
        <v>0</v>
      </c>
      <c r="P677">
        <v>55</v>
      </c>
      <c r="Q677" t="s">
        <v>305</v>
      </c>
      <c r="R677" t="s">
        <v>306</v>
      </c>
      <c r="S677">
        <v>65</v>
      </c>
      <c r="T677" t="s">
        <v>83</v>
      </c>
      <c r="U677" t="s">
        <v>307</v>
      </c>
      <c r="V677" t="s">
        <v>5</v>
      </c>
      <c r="W677">
        <v>58</v>
      </c>
      <c r="X677" t="s">
        <v>6</v>
      </c>
      <c r="Y677">
        <v>33</v>
      </c>
      <c r="Z677" t="s">
        <v>61</v>
      </c>
      <c r="AA677" t="s">
        <v>8</v>
      </c>
      <c r="AB677">
        <v>57</v>
      </c>
      <c r="AC677" t="s">
        <v>9</v>
      </c>
      <c r="AD677">
        <v>423</v>
      </c>
    </row>
    <row r="678" spans="1:30" x14ac:dyDescent="0.3">
      <c r="A678">
        <v>17226112</v>
      </c>
      <c r="B678" s="3">
        <v>45678</v>
      </c>
      <c r="C678">
        <v>2025</v>
      </c>
      <c r="D678">
        <v>1</v>
      </c>
      <c r="E678" t="s">
        <v>1579</v>
      </c>
      <c r="F678" t="s">
        <v>0</v>
      </c>
      <c r="G678" t="s">
        <v>10</v>
      </c>
      <c r="H678" t="b">
        <v>0</v>
      </c>
      <c r="I678" t="b">
        <v>0</v>
      </c>
      <c r="J678" t="b">
        <v>0</v>
      </c>
      <c r="K678" t="b">
        <v>0</v>
      </c>
      <c r="L678" t="s">
        <v>1340</v>
      </c>
      <c r="M678" t="s">
        <v>1340</v>
      </c>
      <c r="N678" t="s">
        <v>5</v>
      </c>
      <c r="O678" t="b">
        <v>0</v>
      </c>
      <c r="P678">
        <v>1</v>
      </c>
      <c r="Q678" t="s">
        <v>1045</v>
      </c>
      <c r="R678" t="s">
        <v>1046</v>
      </c>
      <c r="S678">
        <v>59</v>
      </c>
      <c r="T678" t="s">
        <v>5</v>
      </c>
      <c r="U678" t="s">
        <v>72</v>
      </c>
      <c r="V678" t="s">
        <v>1047</v>
      </c>
      <c r="W678">
        <v>1</v>
      </c>
      <c r="X678" t="s">
        <v>31</v>
      </c>
      <c r="Y678">
        <v>53</v>
      </c>
      <c r="Z678" t="s">
        <v>7</v>
      </c>
      <c r="AA678" t="s">
        <v>8</v>
      </c>
      <c r="AC678" t="s">
        <v>25</v>
      </c>
      <c r="AD678">
        <v>431</v>
      </c>
    </row>
    <row r="679" spans="1:30" x14ac:dyDescent="0.3">
      <c r="A679">
        <v>17228732</v>
      </c>
      <c r="B679" s="3">
        <v>45663</v>
      </c>
      <c r="C679">
        <v>2025</v>
      </c>
      <c r="D679">
        <v>1</v>
      </c>
      <c r="E679" t="s">
        <v>1579</v>
      </c>
      <c r="F679" t="s">
        <v>125</v>
      </c>
      <c r="G679" t="s">
        <v>10</v>
      </c>
      <c r="H679" t="b">
        <v>0</v>
      </c>
      <c r="I679" t="b">
        <v>0</v>
      </c>
      <c r="J679" t="b">
        <v>0</v>
      </c>
      <c r="K679" t="b">
        <v>0</v>
      </c>
      <c r="L679" t="s">
        <v>2157</v>
      </c>
      <c r="M679" t="s">
        <v>741</v>
      </c>
      <c r="N679" t="s">
        <v>70</v>
      </c>
      <c r="O679" t="b">
        <v>0</v>
      </c>
      <c r="P679">
        <v>26</v>
      </c>
      <c r="Q679" t="s">
        <v>866</v>
      </c>
      <c r="R679" t="s">
        <v>867</v>
      </c>
      <c r="S679">
        <v>48</v>
      </c>
      <c r="T679" t="s">
        <v>621</v>
      </c>
      <c r="U679" t="s">
        <v>622</v>
      </c>
      <c r="V679" t="s">
        <v>5</v>
      </c>
      <c r="W679">
        <v>32</v>
      </c>
      <c r="X679" t="s">
        <v>6</v>
      </c>
      <c r="Z679" t="s">
        <v>5</v>
      </c>
      <c r="AA679" t="s">
        <v>8</v>
      </c>
      <c r="AB679">
        <v>59</v>
      </c>
      <c r="AC679" t="s">
        <v>32</v>
      </c>
      <c r="AD679">
        <v>446</v>
      </c>
    </row>
    <row r="680" spans="1:30" x14ac:dyDescent="0.3">
      <c r="A680">
        <v>17231128</v>
      </c>
      <c r="B680" s="3">
        <v>45672</v>
      </c>
      <c r="C680">
        <v>2025</v>
      </c>
      <c r="D680">
        <v>1</v>
      </c>
      <c r="E680" t="s">
        <v>1579</v>
      </c>
      <c r="F680" t="s">
        <v>0</v>
      </c>
      <c r="G680" t="s">
        <v>1</v>
      </c>
      <c r="H680" t="b">
        <v>0</v>
      </c>
      <c r="I680" t="b">
        <v>1</v>
      </c>
      <c r="J680" t="b">
        <v>0</v>
      </c>
      <c r="K680" t="b">
        <v>0</v>
      </c>
      <c r="L680" t="s">
        <v>2158</v>
      </c>
      <c r="M680" t="s">
        <v>580</v>
      </c>
      <c r="N680" t="s">
        <v>140</v>
      </c>
      <c r="O680" t="b">
        <v>0</v>
      </c>
      <c r="P680">
        <v>10</v>
      </c>
      <c r="Q680" t="s">
        <v>289</v>
      </c>
      <c r="R680" t="s">
        <v>290</v>
      </c>
      <c r="S680" t="s">
        <v>5</v>
      </c>
      <c r="T680" t="s">
        <v>291</v>
      </c>
      <c r="U680" t="s">
        <v>271</v>
      </c>
      <c r="V680" t="s">
        <v>292</v>
      </c>
      <c r="W680">
        <v>7</v>
      </c>
      <c r="X680" t="s">
        <v>6</v>
      </c>
      <c r="Y680">
        <v>62</v>
      </c>
      <c r="Z680" t="s">
        <v>7</v>
      </c>
      <c r="AA680" t="s">
        <v>15</v>
      </c>
      <c r="AC680" t="s">
        <v>154</v>
      </c>
      <c r="AD680">
        <v>437</v>
      </c>
    </row>
    <row r="681" spans="1:30" x14ac:dyDescent="0.3">
      <c r="A681">
        <v>17232131</v>
      </c>
      <c r="B681" s="3">
        <v>45665</v>
      </c>
      <c r="C681">
        <v>2025</v>
      </c>
      <c r="D681">
        <v>1</v>
      </c>
      <c r="E681" t="s">
        <v>1579</v>
      </c>
      <c r="F681" t="s">
        <v>0</v>
      </c>
      <c r="G681" t="s">
        <v>151</v>
      </c>
      <c r="H681" t="b">
        <v>0</v>
      </c>
      <c r="I681" t="b">
        <v>1</v>
      </c>
      <c r="J681" t="b">
        <v>0</v>
      </c>
      <c r="K681" t="b">
        <v>1</v>
      </c>
      <c r="L681" t="s">
        <v>2159</v>
      </c>
      <c r="M681" t="s">
        <v>401</v>
      </c>
      <c r="N681" t="s">
        <v>2</v>
      </c>
      <c r="O681" t="b">
        <v>1</v>
      </c>
      <c r="P681">
        <v>17</v>
      </c>
      <c r="Q681" t="s">
        <v>85</v>
      </c>
      <c r="R681" t="s">
        <v>86</v>
      </c>
      <c r="S681">
        <v>48</v>
      </c>
      <c r="T681" t="s">
        <v>239</v>
      </c>
      <c r="U681" t="s">
        <v>88</v>
      </c>
      <c r="V681" t="s">
        <v>89</v>
      </c>
      <c r="W681">
        <v>5</v>
      </c>
      <c r="X681" t="s">
        <v>40</v>
      </c>
      <c r="Y681">
        <v>80</v>
      </c>
      <c r="Z681" t="s">
        <v>67</v>
      </c>
      <c r="AA681" t="s">
        <v>8</v>
      </c>
      <c r="AB681">
        <v>69.840999999999994</v>
      </c>
      <c r="AC681" t="s">
        <v>32</v>
      </c>
      <c r="AD681">
        <v>444</v>
      </c>
    </row>
    <row r="682" spans="1:30" x14ac:dyDescent="0.3">
      <c r="A682">
        <v>17240349</v>
      </c>
      <c r="B682" s="3">
        <v>45680</v>
      </c>
      <c r="C682">
        <v>2025</v>
      </c>
      <c r="D682">
        <v>1</v>
      </c>
      <c r="E682" t="s">
        <v>1579</v>
      </c>
      <c r="F682" t="s">
        <v>0</v>
      </c>
      <c r="G682" t="s">
        <v>1</v>
      </c>
      <c r="H682" t="b">
        <v>0</v>
      </c>
      <c r="I682" t="b">
        <v>1</v>
      </c>
      <c r="J682" t="b">
        <v>0</v>
      </c>
      <c r="K682" t="b">
        <v>0</v>
      </c>
      <c r="L682" t="s">
        <v>2160</v>
      </c>
      <c r="M682" t="s">
        <v>997</v>
      </c>
      <c r="N682" t="s">
        <v>118</v>
      </c>
      <c r="O682" t="b">
        <v>0</v>
      </c>
      <c r="P682">
        <v>30</v>
      </c>
      <c r="Q682" t="s">
        <v>367</v>
      </c>
      <c r="R682" t="s">
        <v>368</v>
      </c>
      <c r="S682">
        <v>42</v>
      </c>
      <c r="T682" t="s">
        <v>801</v>
      </c>
      <c r="U682" t="s">
        <v>81</v>
      </c>
      <c r="V682" t="s">
        <v>82</v>
      </c>
      <c r="W682">
        <v>25</v>
      </c>
      <c r="X682" t="s">
        <v>6</v>
      </c>
      <c r="Y682">
        <v>40</v>
      </c>
      <c r="Z682" t="s">
        <v>61</v>
      </c>
      <c r="AA682" t="s">
        <v>8</v>
      </c>
      <c r="AC682" t="s">
        <v>101</v>
      </c>
      <c r="AD682">
        <v>429</v>
      </c>
    </row>
    <row r="683" spans="1:30" x14ac:dyDescent="0.3">
      <c r="A683">
        <v>17240528</v>
      </c>
      <c r="B683" s="3">
        <v>45668</v>
      </c>
      <c r="C683">
        <v>2025</v>
      </c>
      <c r="D683">
        <v>1</v>
      </c>
      <c r="E683" t="s">
        <v>1579</v>
      </c>
      <c r="F683" t="s">
        <v>0</v>
      </c>
      <c r="G683" t="s">
        <v>1</v>
      </c>
      <c r="H683" t="b">
        <v>0</v>
      </c>
      <c r="I683" t="b">
        <v>1</v>
      </c>
      <c r="J683" t="b">
        <v>0</v>
      </c>
      <c r="K683" t="b">
        <v>0</v>
      </c>
      <c r="L683" t="s">
        <v>2161</v>
      </c>
      <c r="M683" t="s">
        <v>267</v>
      </c>
      <c r="N683" t="s">
        <v>5</v>
      </c>
      <c r="O683" t="b">
        <v>0</v>
      </c>
      <c r="P683">
        <v>13</v>
      </c>
      <c r="Q683" t="s">
        <v>1205</v>
      </c>
      <c r="R683" t="s">
        <v>1206</v>
      </c>
      <c r="S683">
        <v>65</v>
      </c>
      <c r="T683" t="s">
        <v>83</v>
      </c>
      <c r="U683" t="s">
        <v>1207</v>
      </c>
      <c r="V683" t="s">
        <v>5</v>
      </c>
      <c r="W683">
        <v>21</v>
      </c>
      <c r="X683" t="s">
        <v>6</v>
      </c>
      <c r="Y683">
        <v>88</v>
      </c>
      <c r="Z683" t="s">
        <v>196</v>
      </c>
      <c r="AA683" t="s">
        <v>15</v>
      </c>
      <c r="AB683">
        <v>73</v>
      </c>
      <c r="AC683" t="s">
        <v>558</v>
      </c>
      <c r="AD683">
        <v>441</v>
      </c>
    </row>
    <row r="684" spans="1:30" x14ac:dyDescent="0.3">
      <c r="A684">
        <v>17246161</v>
      </c>
      <c r="B684" s="3">
        <v>45685</v>
      </c>
      <c r="C684">
        <v>2025</v>
      </c>
      <c r="D684">
        <v>1</v>
      </c>
      <c r="E684" t="s">
        <v>1579</v>
      </c>
      <c r="F684" t="s">
        <v>125</v>
      </c>
      <c r="G684" t="s">
        <v>10</v>
      </c>
      <c r="H684" t="b">
        <v>0</v>
      </c>
      <c r="I684" t="b">
        <v>0</v>
      </c>
      <c r="J684" t="b">
        <v>0</v>
      </c>
      <c r="K684" t="b">
        <v>0</v>
      </c>
      <c r="L684" t="s">
        <v>2162</v>
      </c>
      <c r="M684" t="s">
        <v>192</v>
      </c>
      <c r="N684" t="s">
        <v>5</v>
      </c>
      <c r="O684" t="b">
        <v>0</v>
      </c>
      <c r="P684">
        <v>2</v>
      </c>
      <c r="Q684" t="s">
        <v>127</v>
      </c>
      <c r="R684" t="s">
        <v>128</v>
      </c>
      <c r="S684">
        <v>65</v>
      </c>
      <c r="T684" t="s">
        <v>83</v>
      </c>
      <c r="U684" t="s">
        <v>129</v>
      </c>
      <c r="V684" t="s">
        <v>130</v>
      </c>
      <c r="W684">
        <v>1</v>
      </c>
      <c r="X684" t="s">
        <v>31</v>
      </c>
      <c r="Y684">
        <v>79</v>
      </c>
      <c r="Z684" t="s">
        <v>67</v>
      </c>
      <c r="AA684" t="s">
        <v>8</v>
      </c>
      <c r="AC684" t="s">
        <v>32</v>
      </c>
      <c r="AD684">
        <v>424</v>
      </c>
    </row>
    <row r="685" spans="1:30" x14ac:dyDescent="0.3">
      <c r="A685">
        <v>17250632</v>
      </c>
      <c r="B685" s="3">
        <v>45681</v>
      </c>
      <c r="C685">
        <v>2025</v>
      </c>
      <c r="D685">
        <v>1</v>
      </c>
      <c r="E685" t="s">
        <v>1579</v>
      </c>
      <c r="F685" t="s">
        <v>125</v>
      </c>
      <c r="G685" t="s">
        <v>10</v>
      </c>
      <c r="H685" t="b">
        <v>0</v>
      </c>
      <c r="I685" t="b">
        <v>0</v>
      </c>
      <c r="J685" t="b">
        <v>0</v>
      </c>
      <c r="K685" t="b">
        <v>0</v>
      </c>
      <c r="L685" t="s">
        <v>2163</v>
      </c>
      <c r="M685" t="s">
        <v>431</v>
      </c>
      <c r="N685" t="s">
        <v>118</v>
      </c>
      <c r="O685" t="b">
        <v>0</v>
      </c>
      <c r="P685">
        <v>29</v>
      </c>
      <c r="Q685" t="s">
        <v>367</v>
      </c>
      <c r="R685" t="s">
        <v>368</v>
      </c>
      <c r="S685">
        <v>42</v>
      </c>
      <c r="T685" t="s">
        <v>60</v>
      </c>
      <c r="U685" t="s">
        <v>81</v>
      </c>
      <c r="V685" t="s">
        <v>82</v>
      </c>
      <c r="W685">
        <v>9</v>
      </c>
      <c r="X685" t="s">
        <v>6</v>
      </c>
      <c r="Y685">
        <v>44</v>
      </c>
      <c r="Z685" t="s">
        <v>7</v>
      </c>
      <c r="AA685" t="s">
        <v>8</v>
      </c>
      <c r="AC685" t="s">
        <v>101</v>
      </c>
      <c r="AD685">
        <v>428</v>
      </c>
    </row>
    <row r="686" spans="1:30" x14ac:dyDescent="0.3">
      <c r="A686">
        <v>17252816</v>
      </c>
      <c r="B686" s="3">
        <v>45678</v>
      </c>
      <c r="C686">
        <v>2025</v>
      </c>
      <c r="D686">
        <v>1</v>
      </c>
      <c r="E686" t="s">
        <v>1579</v>
      </c>
      <c r="F686" t="s">
        <v>0</v>
      </c>
      <c r="G686" t="s">
        <v>1</v>
      </c>
      <c r="H686" t="b">
        <v>0</v>
      </c>
      <c r="I686" t="b">
        <v>1</v>
      </c>
      <c r="J686" t="b">
        <v>0</v>
      </c>
      <c r="K686" t="b">
        <v>0</v>
      </c>
      <c r="L686" t="s">
        <v>2164</v>
      </c>
      <c r="M686" t="s">
        <v>736</v>
      </c>
      <c r="N686" t="s">
        <v>63</v>
      </c>
      <c r="O686" t="b">
        <v>0</v>
      </c>
      <c r="P686">
        <v>6</v>
      </c>
      <c r="Q686" t="s">
        <v>289</v>
      </c>
      <c r="R686" t="s">
        <v>290</v>
      </c>
      <c r="S686" t="s">
        <v>5</v>
      </c>
      <c r="T686" t="s">
        <v>291</v>
      </c>
      <c r="U686" t="s">
        <v>271</v>
      </c>
      <c r="V686" t="s">
        <v>292</v>
      </c>
      <c r="W686">
        <v>10</v>
      </c>
      <c r="X686" t="s">
        <v>6</v>
      </c>
      <c r="Y686">
        <v>32</v>
      </c>
      <c r="Z686" t="s">
        <v>61</v>
      </c>
      <c r="AA686" t="s">
        <v>15</v>
      </c>
      <c r="AC686" t="s">
        <v>9</v>
      </c>
      <c r="AD686">
        <v>431</v>
      </c>
    </row>
    <row r="687" spans="1:30" x14ac:dyDescent="0.3">
      <c r="A687">
        <v>17257492</v>
      </c>
      <c r="B687" s="3">
        <v>45673</v>
      </c>
      <c r="C687">
        <v>2025</v>
      </c>
      <c r="D687">
        <v>1</v>
      </c>
      <c r="E687" t="s">
        <v>1579</v>
      </c>
      <c r="F687" t="s">
        <v>0</v>
      </c>
      <c r="G687" t="s">
        <v>220</v>
      </c>
      <c r="H687" t="b">
        <v>0</v>
      </c>
      <c r="I687" t="b">
        <v>0</v>
      </c>
      <c r="J687" t="b">
        <v>0</v>
      </c>
      <c r="K687" t="b">
        <v>1</v>
      </c>
      <c r="L687" t="s">
        <v>2165</v>
      </c>
      <c r="M687" t="s">
        <v>1191</v>
      </c>
      <c r="N687" t="s">
        <v>5</v>
      </c>
      <c r="O687" t="b">
        <v>0</v>
      </c>
      <c r="P687">
        <v>2</v>
      </c>
      <c r="Q687" t="s">
        <v>85</v>
      </c>
      <c r="R687" t="s">
        <v>86</v>
      </c>
      <c r="S687" t="s">
        <v>5</v>
      </c>
      <c r="T687" t="s">
        <v>1062</v>
      </c>
      <c r="U687" t="s">
        <v>88</v>
      </c>
      <c r="V687" t="s">
        <v>89</v>
      </c>
      <c r="W687">
        <v>7</v>
      </c>
      <c r="X687" t="s">
        <v>6</v>
      </c>
      <c r="Y687">
        <v>59</v>
      </c>
      <c r="Z687" t="s">
        <v>7</v>
      </c>
      <c r="AA687" t="s">
        <v>8</v>
      </c>
      <c r="AB687">
        <v>81.632999999999996</v>
      </c>
      <c r="AC687" t="s">
        <v>32</v>
      </c>
      <c r="AD687">
        <v>436</v>
      </c>
    </row>
    <row r="688" spans="1:30" x14ac:dyDescent="0.3">
      <c r="A688">
        <v>17257908</v>
      </c>
      <c r="B688" s="3">
        <v>45666</v>
      </c>
      <c r="C688">
        <v>2025</v>
      </c>
      <c r="D688">
        <v>1</v>
      </c>
      <c r="E688" t="s">
        <v>1579</v>
      </c>
      <c r="F688" t="s">
        <v>125</v>
      </c>
      <c r="G688" t="s">
        <v>10</v>
      </c>
      <c r="H688" t="b">
        <v>0</v>
      </c>
      <c r="I688" t="b">
        <v>0</v>
      </c>
      <c r="J688" t="b">
        <v>0</v>
      </c>
      <c r="K688" t="b">
        <v>0</v>
      </c>
      <c r="L688" t="s">
        <v>2166</v>
      </c>
      <c r="M688" t="s">
        <v>1122</v>
      </c>
      <c r="N688" t="s">
        <v>5</v>
      </c>
      <c r="O688" t="b">
        <v>0</v>
      </c>
      <c r="P688">
        <v>6</v>
      </c>
      <c r="Q688" t="s">
        <v>1077</v>
      </c>
      <c r="R688" t="s">
        <v>5</v>
      </c>
      <c r="S688">
        <v>58</v>
      </c>
      <c r="T688" t="s">
        <v>977</v>
      </c>
      <c r="U688" t="s">
        <v>5</v>
      </c>
      <c r="V688" t="s">
        <v>5</v>
      </c>
      <c r="W688">
        <v>3</v>
      </c>
      <c r="X688" t="s">
        <v>14</v>
      </c>
      <c r="Y688">
        <v>25</v>
      </c>
      <c r="Z688" t="s">
        <v>61</v>
      </c>
      <c r="AA688" t="s">
        <v>8</v>
      </c>
      <c r="AC688" t="s">
        <v>32</v>
      </c>
      <c r="AD688">
        <v>443</v>
      </c>
    </row>
    <row r="689" spans="1:30" x14ac:dyDescent="0.3">
      <c r="A689">
        <v>17264229</v>
      </c>
      <c r="B689" s="3">
        <v>45688</v>
      </c>
      <c r="C689">
        <v>2025</v>
      </c>
      <c r="D689">
        <v>1</v>
      </c>
      <c r="E689" t="s">
        <v>1579</v>
      </c>
      <c r="F689" t="s">
        <v>0</v>
      </c>
      <c r="G689" t="s">
        <v>1006</v>
      </c>
      <c r="H689" t="b">
        <v>1</v>
      </c>
      <c r="I689" t="b">
        <v>0</v>
      </c>
      <c r="J689" t="b">
        <v>1</v>
      </c>
      <c r="K689" t="b">
        <v>0</v>
      </c>
      <c r="L689" t="s">
        <v>2167</v>
      </c>
      <c r="M689" t="s">
        <v>1442</v>
      </c>
      <c r="N689" t="s">
        <v>140</v>
      </c>
      <c r="O689" t="b">
        <v>0</v>
      </c>
      <c r="P689">
        <v>4</v>
      </c>
      <c r="Q689" t="s">
        <v>930</v>
      </c>
      <c r="R689" t="s">
        <v>931</v>
      </c>
      <c r="S689">
        <v>42</v>
      </c>
      <c r="T689" t="s">
        <v>932</v>
      </c>
      <c r="U689" t="s">
        <v>144</v>
      </c>
      <c r="V689" t="s">
        <v>5</v>
      </c>
      <c r="W689">
        <v>3</v>
      </c>
      <c r="X689" t="s">
        <v>14</v>
      </c>
      <c r="Y689">
        <v>58</v>
      </c>
      <c r="Z689" t="s">
        <v>7</v>
      </c>
      <c r="AA689" t="s">
        <v>15</v>
      </c>
      <c r="AB689">
        <v>61.6</v>
      </c>
      <c r="AC689" t="s">
        <v>20</v>
      </c>
      <c r="AD689">
        <v>421</v>
      </c>
    </row>
    <row r="690" spans="1:30" x14ac:dyDescent="0.3">
      <c r="A690">
        <v>17268356</v>
      </c>
      <c r="B690" s="3">
        <v>45673</v>
      </c>
      <c r="C690">
        <v>2025</v>
      </c>
      <c r="D690">
        <v>1</v>
      </c>
      <c r="E690" t="s">
        <v>1579</v>
      </c>
      <c r="F690" t="s">
        <v>0</v>
      </c>
      <c r="G690" t="s">
        <v>10</v>
      </c>
      <c r="H690" t="b">
        <v>0</v>
      </c>
      <c r="I690" t="b">
        <v>0</v>
      </c>
      <c r="J690" t="b">
        <v>0</v>
      </c>
      <c r="K690" t="b">
        <v>0</v>
      </c>
      <c r="L690" t="s">
        <v>2168</v>
      </c>
      <c r="M690" t="s">
        <v>262</v>
      </c>
      <c r="N690" t="s">
        <v>5</v>
      </c>
      <c r="O690" t="b">
        <v>0</v>
      </c>
      <c r="P690">
        <v>6</v>
      </c>
      <c r="Q690" t="s">
        <v>952</v>
      </c>
      <c r="R690" t="s">
        <v>953</v>
      </c>
      <c r="S690">
        <v>48</v>
      </c>
      <c r="T690" t="s">
        <v>998</v>
      </c>
      <c r="U690" t="s">
        <v>29</v>
      </c>
      <c r="V690" t="s">
        <v>5</v>
      </c>
      <c r="W690">
        <v>4</v>
      </c>
      <c r="X690" t="s">
        <v>40</v>
      </c>
      <c r="Y690">
        <v>85</v>
      </c>
      <c r="Z690" t="s">
        <v>196</v>
      </c>
      <c r="AA690" t="s">
        <v>15</v>
      </c>
      <c r="AC690" t="s">
        <v>32</v>
      </c>
      <c r="AD690">
        <v>436</v>
      </c>
    </row>
    <row r="691" spans="1:30" x14ac:dyDescent="0.3">
      <c r="A691">
        <v>17284583</v>
      </c>
      <c r="B691" s="3">
        <v>45677</v>
      </c>
      <c r="C691">
        <v>2025</v>
      </c>
      <c r="D691">
        <v>1</v>
      </c>
      <c r="E691" t="s">
        <v>1579</v>
      </c>
      <c r="F691" t="s">
        <v>125</v>
      </c>
      <c r="G691" t="s">
        <v>10</v>
      </c>
      <c r="H691" t="b">
        <v>0</v>
      </c>
      <c r="I691" t="b">
        <v>0</v>
      </c>
      <c r="J691" t="b">
        <v>0</v>
      </c>
      <c r="K691" t="b">
        <v>0</v>
      </c>
      <c r="L691" t="s">
        <v>2169</v>
      </c>
      <c r="M691" t="s">
        <v>708</v>
      </c>
      <c r="N691" t="s">
        <v>5</v>
      </c>
      <c r="O691" t="b">
        <v>0</v>
      </c>
      <c r="P691">
        <v>2</v>
      </c>
      <c r="Q691" t="s">
        <v>908</v>
      </c>
      <c r="R691" t="s">
        <v>909</v>
      </c>
      <c r="S691">
        <v>58</v>
      </c>
      <c r="T691" t="s">
        <v>687</v>
      </c>
      <c r="U691" t="s">
        <v>153</v>
      </c>
      <c r="V691" t="s">
        <v>24</v>
      </c>
      <c r="W691">
        <v>8</v>
      </c>
      <c r="X691" t="s">
        <v>6</v>
      </c>
      <c r="Y691">
        <v>52</v>
      </c>
      <c r="Z691" t="s">
        <v>7</v>
      </c>
      <c r="AA691" t="s">
        <v>8</v>
      </c>
      <c r="AC691" t="s">
        <v>32</v>
      </c>
      <c r="AD691">
        <v>432</v>
      </c>
    </row>
    <row r="692" spans="1:30" x14ac:dyDescent="0.3">
      <c r="A692">
        <v>17285690</v>
      </c>
      <c r="B692" s="3">
        <v>45685</v>
      </c>
      <c r="C692">
        <v>2025</v>
      </c>
      <c r="D692">
        <v>1</v>
      </c>
      <c r="E692" t="s">
        <v>1579</v>
      </c>
      <c r="F692" t="s">
        <v>0</v>
      </c>
      <c r="G692" t="s">
        <v>10</v>
      </c>
      <c r="H692" t="b">
        <v>0</v>
      </c>
      <c r="I692" t="b">
        <v>0</v>
      </c>
      <c r="J692" t="b">
        <v>0</v>
      </c>
      <c r="K692" t="b">
        <v>0</v>
      </c>
      <c r="L692" t="s">
        <v>2170</v>
      </c>
      <c r="M692" t="s">
        <v>735</v>
      </c>
      <c r="N692" t="s">
        <v>5</v>
      </c>
      <c r="O692" t="b">
        <v>0</v>
      </c>
      <c r="P692">
        <v>3</v>
      </c>
      <c r="Q692" t="s">
        <v>1454</v>
      </c>
      <c r="R692" t="s">
        <v>1455</v>
      </c>
      <c r="S692" t="s">
        <v>5</v>
      </c>
      <c r="T692" t="s">
        <v>5</v>
      </c>
      <c r="U692" t="s">
        <v>72</v>
      </c>
      <c r="V692" t="s">
        <v>5</v>
      </c>
      <c r="W692">
        <v>1</v>
      </c>
      <c r="X692" t="s">
        <v>31</v>
      </c>
      <c r="Y692">
        <v>80</v>
      </c>
      <c r="Z692" t="s">
        <v>67</v>
      </c>
      <c r="AA692" t="s">
        <v>5</v>
      </c>
      <c r="AC692" t="s">
        <v>32</v>
      </c>
      <c r="AD692">
        <v>424</v>
      </c>
    </row>
    <row r="693" spans="1:30" x14ac:dyDescent="0.3">
      <c r="A693">
        <v>17287763</v>
      </c>
      <c r="B693" s="3">
        <v>45660</v>
      </c>
      <c r="C693">
        <v>2025</v>
      </c>
      <c r="D693">
        <v>1</v>
      </c>
      <c r="E693" t="s">
        <v>1579</v>
      </c>
      <c r="F693" t="s">
        <v>125</v>
      </c>
      <c r="G693" t="s">
        <v>10</v>
      </c>
      <c r="H693" t="b">
        <v>0</v>
      </c>
      <c r="I693" t="b">
        <v>0</v>
      </c>
      <c r="J693" t="b">
        <v>0</v>
      </c>
      <c r="K693" t="b">
        <v>0</v>
      </c>
      <c r="L693" t="s">
        <v>2171</v>
      </c>
      <c r="M693" t="s">
        <v>546</v>
      </c>
      <c r="N693" t="s">
        <v>57</v>
      </c>
      <c r="O693" t="b">
        <v>1</v>
      </c>
      <c r="P693">
        <v>3</v>
      </c>
      <c r="Q693" t="s">
        <v>175</v>
      </c>
      <c r="R693" t="s">
        <v>176</v>
      </c>
      <c r="S693">
        <v>50</v>
      </c>
      <c r="T693" t="s">
        <v>150</v>
      </c>
      <c r="U693" t="s">
        <v>177</v>
      </c>
      <c r="V693" t="s">
        <v>178</v>
      </c>
      <c r="W693">
        <v>19</v>
      </c>
      <c r="X693" t="s">
        <v>6</v>
      </c>
      <c r="Z693" t="s">
        <v>5</v>
      </c>
      <c r="AA693" t="s">
        <v>8</v>
      </c>
      <c r="AC693" t="s">
        <v>32</v>
      </c>
      <c r="AD693">
        <v>449</v>
      </c>
    </row>
    <row r="694" spans="1:30" x14ac:dyDescent="0.3">
      <c r="A694">
        <v>17289108</v>
      </c>
      <c r="B694" s="3">
        <v>45677</v>
      </c>
      <c r="C694">
        <v>2025</v>
      </c>
      <c r="D694">
        <v>1</v>
      </c>
      <c r="E694" t="s">
        <v>1579</v>
      </c>
      <c r="F694" t="s">
        <v>0</v>
      </c>
      <c r="G694" t="s">
        <v>10</v>
      </c>
      <c r="H694" t="b">
        <v>0</v>
      </c>
      <c r="I694" t="b">
        <v>0</v>
      </c>
      <c r="J694" t="b">
        <v>0</v>
      </c>
      <c r="K694" t="b">
        <v>0</v>
      </c>
      <c r="L694" t="s">
        <v>2172</v>
      </c>
      <c r="M694" t="s">
        <v>1298</v>
      </c>
      <c r="N694" t="s">
        <v>5</v>
      </c>
      <c r="O694" t="b">
        <v>0</v>
      </c>
      <c r="P694">
        <v>3</v>
      </c>
      <c r="Q694" t="s">
        <v>208</v>
      </c>
      <c r="R694" t="s">
        <v>286</v>
      </c>
      <c r="S694" t="s">
        <v>5</v>
      </c>
      <c r="T694" t="s">
        <v>5</v>
      </c>
      <c r="U694" t="s">
        <v>210</v>
      </c>
      <c r="V694" t="s">
        <v>5</v>
      </c>
      <c r="W694">
        <v>1</v>
      </c>
      <c r="X694" t="s">
        <v>31</v>
      </c>
      <c r="Y694">
        <v>91</v>
      </c>
      <c r="Z694" t="s">
        <v>196</v>
      </c>
      <c r="AA694" t="s">
        <v>8</v>
      </c>
      <c r="AC694" t="s">
        <v>32</v>
      </c>
      <c r="AD694">
        <v>432</v>
      </c>
    </row>
    <row r="695" spans="1:30" x14ac:dyDescent="0.3">
      <c r="A695">
        <v>17294907</v>
      </c>
      <c r="B695" s="3">
        <v>45665</v>
      </c>
      <c r="C695">
        <v>2025</v>
      </c>
      <c r="D695">
        <v>1</v>
      </c>
      <c r="E695" t="s">
        <v>1579</v>
      </c>
      <c r="F695" t="s">
        <v>0</v>
      </c>
      <c r="G695" t="s">
        <v>220</v>
      </c>
      <c r="H695" t="b">
        <v>0</v>
      </c>
      <c r="I695" t="b">
        <v>0</v>
      </c>
      <c r="J695" t="b">
        <v>0</v>
      </c>
      <c r="K695" t="b">
        <v>1</v>
      </c>
      <c r="L695" t="s">
        <v>2173</v>
      </c>
      <c r="M695" t="s">
        <v>280</v>
      </c>
      <c r="N695" t="s">
        <v>118</v>
      </c>
      <c r="O695" t="b">
        <v>0</v>
      </c>
      <c r="P695">
        <v>9</v>
      </c>
      <c r="Q695" t="s">
        <v>208</v>
      </c>
      <c r="R695" t="s">
        <v>286</v>
      </c>
      <c r="S695">
        <v>48</v>
      </c>
      <c r="T695" t="s">
        <v>80</v>
      </c>
      <c r="U695" t="s">
        <v>210</v>
      </c>
      <c r="V695" t="s">
        <v>5</v>
      </c>
      <c r="W695">
        <v>4</v>
      </c>
      <c r="X695" t="s">
        <v>40</v>
      </c>
      <c r="Y695">
        <v>65</v>
      </c>
      <c r="Z695" t="s">
        <v>7</v>
      </c>
      <c r="AA695" t="s">
        <v>8</v>
      </c>
      <c r="AB695">
        <v>56.689</v>
      </c>
      <c r="AC695" t="s">
        <v>32</v>
      </c>
      <c r="AD695">
        <v>444</v>
      </c>
    </row>
    <row r="696" spans="1:30" x14ac:dyDescent="0.3">
      <c r="A696">
        <v>17298908</v>
      </c>
      <c r="B696" s="3">
        <v>45687</v>
      </c>
      <c r="C696">
        <v>2025</v>
      </c>
      <c r="D696">
        <v>1</v>
      </c>
      <c r="E696" t="s">
        <v>1579</v>
      </c>
      <c r="F696" t="s">
        <v>0</v>
      </c>
      <c r="G696" t="s">
        <v>10</v>
      </c>
      <c r="H696" t="b">
        <v>0</v>
      </c>
      <c r="I696" t="b">
        <v>0</v>
      </c>
      <c r="J696" t="b">
        <v>0</v>
      </c>
      <c r="K696" t="b">
        <v>0</v>
      </c>
      <c r="L696" t="s">
        <v>2174</v>
      </c>
      <c r="M696" t="s">
        <v>1007</v>
      </c>
      <c r="N696" t="s">
        <v>63</v>
      </c>
      <c r="O696" t="b">
        <v>0</v>
      </c>
      <c r="P696">
        <v>5</v>
      </c>
      <c r="Q696" t="s">
        <v>208</v>
      </c>
      <c r="R696" t="s">
        <v>286</v>
      </c>
      <c r="S696" t="s">
        <v>5</v>
      </c>
      <c r="T696" t="s">
        <v>80</v>
      </c>
      <c r="U696" t="s">
        <v>210</v>
      </c>
      <c r="V696" t="s">
        <v>5</v>
      </c>
      <c r="W696">
        <v>1</v>
      </c>
      <c r="X696" t="s">
        <v>31</v>
      </c>
      <c r="Y696">
        <v>74</v>
      </c>
      <c r="Z696" t="s">
        <v>67</v>
      </c>
      <c r="AA696" t="s">
        <v>8</v>
      </c>
      <c r="AB696">
        <v>97</v>
      </c>
      <c r="AC696" t="s">
        <v>32</v>
      </c>
      <c r="AD696">
        <v>422</v>
      </c>
    </row>
    <row r="697" spans="1:30" x14ac:dyDescent="0.3">
      <c r="A697">
        <v>17304792</v>
      </c>
      <c r="B697" s="3">
        <v>45674</v>
      </c>
      <c r="C697">
        <v>2025</v>
      </c>
      <c r="D697">
        <v>1</v>
      </c>
      <c r="E697" t="s">
        <v>1579</v>
      </c>
      <c r="F697" t="s">
        <v>0</v>
      </c>
      <c r="G697" t="s">
        <v>10</v>
      </c>
      <c r="H697" t="b">
        <v>0</v>
      </c>
      <c r="I697" t="b">
        <v>0</v>
      </c>
      <c r="J697" t="b">
        <v>0</v>
      </c>
      <c r="K697" t="b">
        <v>0</v>
      </c>
      <c r="L697" t="s">
        <v>2175</v>
      </c>
      <c r="M697" t="s">
        <v>2176</v>
      </c>
      <c r="N697" t="s">
        <v>5</v>
      </c>
      <c r="O697" t="b">
        <v>0</v>
      </c>
      <c r="P697">
        <v>2</v>
      </c>
      <c r="Q697" t="s">
        <v>1820</v>
      </c>
      <c r="R697" t="s">
        <v>5</v>
      </c>
      <c r="S697">
        <v>64</v>
      </c>
      <c r="T697" t="s">
        <v>5</v>
      </c>
      <c r="U697" t="s">
        <v>5</v>
      </c>
      <c r="V697" t="s">
        <v>5</v>
      </c>
      <c r="W697">
        <v>2</v>
      </c>
      <c r="X697" t="s">
        <v>14</v>
      </c>
      <c r="Z697" t="s">
        <v>5</v>
      </c>
      <c r="AA697" t="s">
        <v>5</v>
      </c>
      <c r="AC697" t="s">
        <v>9</v>
      </c>
      <c r="AD697">
        <v>435</v>
      </c>
    </row>
    <row r="698" spans="1:30" x14ac:dyDescent="0.3">
      <c r="A698">
        <v>17304810</v>
      </c>
      <c r="B698" s="3">
        <v>45674</v>
      </c>
      <c r="C698">
        <v>2025</v>
      </c>
      <c r="D698">
        <v>1</v>
      </c>
      <c r="E698" t="s">
        <v>1579</v>
      </c>
      <c r="F698" t="s">
        <v>0</v>
      </c>
      <c r="G698" t="s">
        <v>10</v>
      </c>
      <c r="H698" t="b">
        <v>0</v>
      </c>
      <c r="I698" t="b">
        <v>0</v>
      </c>
      <c r="J698" t="b">
        <v>0</v>
      </c>
      <c r="K698" t="b">
        <v>0</v>
      </c>
      <c r="L698" t="s">
        <v>1827</v>
      </c>
      <c r="M698" t="s">
        <v>1740</v>
      </c>
      <c r="N698" t="s">
        <v>5</v>
      </c>
      <c r="O698" t="b">
        <v>0</v>
      </c>
      <c r="P698">
        <v>2</v>
      </c>
      <c r="Q698" t="s">
        <v>1820</v>
      </c>
      <c r="R698" t="s">
        <v>5</v>
      </c>
      <c r="S698">
        <v>64</v>
      </c>
      <c r="T698" t="s">
        <v>5</v>
      </c>
      <c r="U698" t="s">
        <v>5</v>
      </c>
      <c r="V698" t="s">
        <v>5</v>
      </c>
      <c r="W698">
        <v>2</v>
      </c>
      <c r="X698" t="s">
        <v>14</v>
      </c>
      <c r="Z698" t="s">
        <v>5</v>
      </c>
      <c r="AA698" t="s">
        <v>5</v>
      </c>
      <c r="AC698" t="s">
        <v>9</v>
      </c>
      <c r="AD698">
        <v>435</v>
      </c>
    </row>
    <row r="699" spans="1:30" x14ac:dyDescent="0.3">
      <c r="A699">
        <v>17305715</v>
      </c>
      <c r="B699" s="3">
        <v>45674</v>
      </c>
      <c r="C699">
        <v>2025</v>
      </c>
      <c r="D699">
        <v>1</v>
      </c>
      <c r="E699" t="s">
        <v>1579</v>
      </c>
      <c r="F699" t="s">
        <v>0</v>
      </c>
      <c r="G699" t="s">
        <v>1</v>
      </c>
      <c r="H699" t="b">
        <v>0</v>
      </c>
      <c r="I699" t="b">
        <v>1</v>
      </c>
      <c r="J699" t="b">
        <v>0</v>
      </c>
      <c r="K699" t="b">
        <v>0</v>
      </c>
      <c r="L699" t="s">
        <v>2177</v>
      </c>
      <c r="M699" t="s">
        <v>1179</v>
      </c>
      <c r="N699" t="s">
        <v>5</v>
      </c>
      <c r="O699" t="b">
        <v>0</v>
      </c>
      <c r="P699">
        <v>2</v>
      </c>
      <c r="Q699" t="s">
        <v>1450</v>
      </c>
      <c r="R699" t="s">
        <v>1451</v>
      </c>
      <c r="S699">
        <v>65</v>
      </c>
      <c r="T699" t="s">
        <v>1545</v>
      </c>
      <c r="U699" t="s">
        <v>1452</v>
      </c>
      <c r="V699" t="s">
        <v>5</v>
      </c>
      <c r="W699">
        <v>2</v>
      </c>
      <c r="X699" t="s">
        <v>14</v>
      </c>
      <c r="Y699">
        <v>2</v>
      </c>
      <c r="Z699" t="s">
        <v>219</v>
      </c>
      <c r="AA699" t="s">
        <v>15</v>
      </c>
      <c r="AC699" t="s">
        <v>32</v>
      </c>
      <c r="AD699">
        <v>435</v>
      </c>
    </row>
    <row r="700" spans="1:30" x14ac:dyDescent="0.3">
      <c r="A700">
        <v>17309502</v>
      </c>
      <c r="B700" s="3">
        <v>45663</v>
      </c>
      <c r="C700">
        <v>2025</v>
      </c>
      <c r="D700">
        <v>1</v>
      </c>
      <c r="E700" t="s">
        <v>1579</v>
      </c>
      <c r="F700" t="s">
        <v>0</v>
      </c>
      <c r="G700" t="s">
        <v>10</v>
      </c>
      <c r="H700" t="b">
        <v>0</v>
      </c>
      <c r="I700" t="b">
        <v>0</v>
      </c>
      <c r="J700" t="b">
        <v>0</v>
      </c>
      <c r="K700" t="b">
        <v>0</v>
      </c>
      <c r="L700" t="s">
        <v>756</v>
      </c>
      <c r="M700" t="s">
        <v>756</v>
      </c>
      <c r="N700" t="s">
        <v>12</v>
      </c>
      <c r="O700" t="b">
        <v>1</v>
      </c>
      <c r="P700">
        <v>1</v>
      </c>
      <c r="Q700" t="s">
        <v>807</v>
      </c>
      <c r="R700" t="s">
        <v>808</v>
      </c>
      <c r="S700">
        <v>58</v>
      </c>
      <c r="T700" t="s">
        <v>739</v>
      </c>
      <c r="U700" t="s">
        <v>81</v>
      </c>
      <c r="V700" t="s">
        <v>5</v>
      </c>
      <c r="W700">
        <v>5</v>
      </c>
      <c r="X700" t="s">
        <v>40</v>
      </c>
      <c r="Y700">
        <v>57</v>
      </c>
      <c r="Z700" t="s">
        <v>7</v>
      </c>
      <c r="AA700" t="s">
        <v>15</v>
      </c>
      <c r="AC700" t="s">
        <v>32</v>
      </c>
      <c r="AD700">
        <v>446</v>
      </c>
    </row>
    <row r="701" spans="1:30" x14ac:dyDescent="0.3">
      <c r="A701">
        <v>17331078</v>
      </c>
      <c r="B701" s="3">
        <v>45685</v>
      </c>
      <c r="C701">
        <v>2025</v>
      </c>
      <c r="D701">
        <v>1</v>
      </c>
      <c r="E701" t="s">
        <v>1579</v>
      </c>
      <c r="F701" t="s">
        <v>125</v>
      </c>
      <c r="G701" t="s">
        <v>10</v>
      </c>
      <c r="H701" t="b">
        <v>0</v>
      </c>
      <c r="I701" t="b">
        <v>0</v>
      </c>
      <c r="J701" t="b">
        <v>0</v>
      </c>
      <c r="K701" t="b">
        <v>0</v>
      </c>
      <c r="L701" t="s">
        <v>2178</v>
      </c>
      <c r="M701" t="s">
        <v>1078</v>
      </c>
      <c r="N701" t="s">
        <v>57</v>
      </c>
      <c r="O701" t="b">
        <v>1</v>
      </c>
      <c r="P701">
        <v>3</v>
      </c>
      <c r="Q701" t="s">
        <v>588</v>
      </c>
      <c r="R701" t="s">
        <v>589</v>
      </c>
      <c r="S701" t="s">
        <v>5</v>
      </c>
      <c r="T701" t="s">
        <v>590</v>
      </c>
      <c r="U701" t="s">
        <v>591</v>
      </c>
      <c r="V701" t="s">
        <v>592</v>
      </c>
      <c r="W701">
        <v>16</v>
      </c>
      <c r="X701" t="s">
        <v>6</v>
      </c>
      <c r="Y701">
        <v>40</v>
      </c>
      <c r="Z701" t="s">
        <v>61</v>
      </c>
      <c r="AA701" t="s">
        <v>8</v>
      </c>
      <c r="AB701">
        <v>99.8</v>
      </c>
      <c r="AC701" t="s">
        <v>32</v>
      </c>
      <c r="AD701">
        <v>424</v>
      </c>
    </row>
    <row r="702" spans="1:30" x14ac:dyDescent="0.3">
      <c r="A702">
        <v>17336752</v>
      </c>
      <c r="B702" s="3">
        <v>45686</v>
      </c>
      <c r="C702">
        <v>2025</v>
      </c>
      <c r="D702">
        <v>1</v>
      </c>
      <c r="E702" t="s">
        <v>1579</v>
      </c>
      <c r="F702" t="s">
        <v>0</v>
      </c>
      <c r="G702" t="s">
        <v>10</v>
      </c>
      <c r="H702" t="b">
        <v>0</v>
      </c>
      <c r="I702" t="b">
        <v>0</v>
      </c>
      <c r="J702" t="b">
        <v>0</v>
      </c>
      <c r="K702" t="b">
        <v>0</v>
      </c>
      <c r="L702" t="s">
        <v>2179</v>
      </c>
      <c r="M702" t="s">
        <v>439</v>
      </c>
      <c r="N702" t="s">
        <v>229</v>
      </c>
      <c r="O702" t="b">
        <v>0</v>
      </c>
      <c r="P702">
        <v>11</v>
      </c>
      <c r="Q702" t="s">
        <v>320</v>
      </c>
      <c r="R702" t="s">
        <v>321</v>
      </c>
      <c r="S702">
        <v>58</v>
      </c>
      <c r="T702" t="s">
        <v>594</v>
      </c>
      <c r="U702" t="s">
        <v>4</v>
      </c>
      <c r="V702" t="s">
        <v>322</v>
      </c>
      <c r="W702">
        <v>21</v>
      </c>
      <c r="X702" t="s">
        <v>6</v>
      </c>
      <c r="Y702">
        <v>64</v>
      </c>
      <c r="Z702" t="s">
        <v>7</v>
      </c>
      <c r="AA702" t="s">
        <v>8</v>
      </c>
      <c r="AC702" t="s">
        <v>9</v>
      </c>
      <c r="AD702">
        <v>423</v>
      </c>
    </row>
    <row r="703" spans="1:30" x14ac:dyDescent="0.3">
      <c r="A703">
        <v>17339265</v>
      </c>
      <c r="B703" s="3">
        <v>45671</v>
      </c>
      <c r="C703">
        <v>2025</v>
      </c>
      <c r="D703">
        <v>1</v>
      </c>
      <c r="E703" t="s">
        <v>1579</v>
      </c>
      <c r="F703" t="s">
        <v>125</v>
      </c>
      <c r="G703" t="s">
        <v>10</v>
      </c>
      <c r="H703" t="b">
        <v>0</v>
      </c>
      <c r="I703" t="b">
        <v>0</v>
      </c>
      <c r="J703" t="b">
        <v>0</v>
      </c>
      <c r="K703" t="b">
        <v>0</v>
      </c>
      <c r="L703" t="s">
        <v>2180</v>
      </c>
      <c r="M703" t="s">
        <v>138</v>
      </c>
      <c r="N703" t="s">
        <v>63</v>
      </c>
      <c r="O703" t="b">
        <v>0</v>
      </c>
      <c r="P703">
        <v>6</v>
      </c>
      <c r="Q703" t="s">
        <v>245</v>
      </c>
      <c r="R703" t="s">
        <v>246</v>
      </c>
      <c r="S703" t="s">
        <v>5</v>
      </c>
      <c r="T703" t="s">
        <v>426</v>
      </c>
      <c r="U703" t="s">
        <v>210</v>
      </c>
      <c r="V703" t="s">
        <v>248</v>
      </c>
      <c r="W703">
        <v>6</v>
      </c>
      <c r="X703" t="s">
        <v>6</v>
      </c>
      <c r="Y703">
        <v>81</v>
      </c>
      <c r="Z703" t="s">
        <v>196</v>
      </c>
      <c r="AA703" t="s">
        <v>8</v>
      </c>
      <c r="AB703">
        <v>58.503</v>
      </c>
      <c r="AC703" t="s">
        <v>32</v>
      </c>
      <c r="AD703">
        <v>438</v>
      </c>
    </row>
    <row r="704" spans="1:30" x14ac:dyDescent="0.3">
      <c r="A704">
        <v>17339300</v>
      </c>
      <c r="B704" s="3">
        <v>45671</v>
      </c>
      <c r="C704">
        <v>2025</v>
      </c>
      <c r="D704">
        <v>1</v>
      </c>
      <c r="E704" t="s">
        <v>1579</v>
      </c>
      <c r="F704" t="s">
        <v>0</v>
      </c>
      <c r="G704" t="s">
        <v>10</v>
      </c>
      <c r="H704" t="b">
        <v>0</v>
      </c>
      <c r="I704" t="b">
        <v>0</v>
      </c>
      <c r="J704" t="b">
        <v>0</v>
      </c>
      <c r="K704" t="b">
        <v>0</v>
      </c>
      <c r="L704" t="s">
        <v>2181</v>
      </c>
      <c r="M704" t="s">
        <v>459</v>
      </c>
      <c r="N704" t="s">
        <v>57</v>
      </c>
      <c r="O704" t="b">
        <v>1</v>
      </c>
      <c r="P704">
        <v>4</v>
      </c>
      <c r="Q704" t="s">
        <v>208</v>
      </c>
      <c r="R704" t="s">
        <v>209</v>
      </c>
      <c r="S704">
        <v>48</v>
      </c>
      <c r="T704" t="s">
        <v>2182</v>
      </c>
      <c r="U704" t="s">
        <v>210</v>
      </c>
      <c r="V704" t="s">
        <v>5</v>
      </c>
      <c r="W704">
        <v>6</v>
      </c>
      <c r="X704" t="s">
        <v>6</v>
      </c>
      <c r="Y704">
        <v>55</v>
      </c>
      <c r="Z704" t="s">
        <v>7</v>
      </c>
      <c r="AA704" t="s">
        <v>8</v>
      </c>
      <c r="AC704" t="s">
        <v>32</v>
      </c>
      <c r="AD704">
        <v>438</v>
      </c>
    </row>
    <row r="705" spans="1:30" x14ac:dyDescent="0.3">
      <c r="A705">
        <v>17348213</v>
      </c>
      <c r="B705" s="3">
        <v>45665</v>
      </c>
      <c r="C705">
        <v>2025</v>
      </c>
      <c r="D705">
        <v>1</v>
      </c>
      <c r="E705" t="s">
        <v>1579</v>
      </c>
      <c r="F705" t="s">
        <v>0</v>
      </c>
      <c r="G705" t="s">
        <v>10</v>
      </c>
      <c r="H705" t="b">
        <v>0</v>
      </c>
      <c r="I705" t="b">
        <v>0</v>
      </c>
      <c r="J705" t="b">
        <v>0</v>
      </c>
      <c r="K705" t="b">
        <v>0</v>
      </c>
      <c r="L705" t="s">
        <v>2183</v>
      </c>
      <c r="M705" t="s">
        <v>985</v>
      </c>
      <c r="N705" t="s">
        <v>5</v>
      </c>
      <c r="O705" t="b">
        <v>0</v>
      </c>
      <c r="P705">
        <v>2</v>
      </c>
      <c r="Q705" t="s">
        <v>208</v>
      </c>
      <c r="R705" t="s">
        <v>286</v>
      </c>
      <c r="S705">
        <v>48</v>
      </c>
      <c r="T705" t="s">
        <v>80</v>
      </c>
      <c r="U705" t="s">
        <v>210</v>
      </c>
      <c r="V705" t="s">
        <v>5</v>
      </c>
      <c r="W705">
        <v>4</v>
      </c>
      <c r="X705" t="s">
        <v>40</v>
      </c>
      <c r="Y705">
        <v>55</v>
      </c>
      <c r="Z705" t="s">
        <v>7</v>
      </c>
      <c r="AA705" t="s">
        <v>8</v>
      </c>
      <c r="AC705" t="s">
        <v>32</v>
      </c>
      <c r="AD705">
        <v>444</v>
      </c>
    </row>
    <row r="706" spans="1:30" x14ac:dyDescent="0.3">
      <c r="A706">
        <v>17349706</v>
      </c>
      <c r="B706" s="3">
        <v>45678</v>
      </c>
      <c r="C706">
        <v>2025</v>
      </c>
      <c r="D706">
        <v>1</v>
      </c>
      <c r="E706" t="s">
        <v>1579</v>
      </c>
      <c r="F706" t="s">
        <v>0</v>
      </c>
      <c r="G706" t="s">
        <v>10</v>
      </c>
      <c r="H706" t="b">
        <v>0</v>
      </c>
      <c r="I706" t="b">
        <v>0</v>
      </c>
      <c r="J706" t="b">
        <v>0</v>
      </c>
      <c r="K706" t="b">
        <v>0</v>
      </c>
      <c r="L706" t="s">
        <v>2184</v>
      </c>
      <c r="M706" t="s">
        <v>216</v>
      </c>
      <c r="N706" t="s">
        <v>63</v>
      </c>
      <c r="O706" t="b">
        <v>0</v>
      </c>
      <c r="P706">
        <v>13</v>
      </c>
      <c r="Q706" t="s">
        <v>135</v>
      </c>
      <c r="R706" t="s">
        <v>136</v>
      </c>
      <c r="S706">
        <v>58</v>
      </c>
      <c r="T706" t="s">
        <v>299</v>
      </c>
      <c r="U706" t="s">
        <v>81</v>
      </c>
      <c r="V706" t="s">
        <v>137</v>
      </c>
      <c r="W706">
        <v>28</v>
      </c>
      <c r="X706" t="s">
        <v>6</v>
      </c>
      <c r="Y706">
        <v>38</v>
      </c>
      <c r="Z706" t="s">
        <v>61</v>
      </c>
      <c r="AA706" t="s">
        <v>15</v>
      </c>
      <c r="AB706">
        <v>99</v>
      </c>
      <c r="AC706" t="s">
        <v>9</v>
      </c>
      <c r="AD706">
        <v>431</v>
      </c>
    </row>
    <row r="707" spans="1:30" x14ac:dyDescent="0.3">
      <c r="A707">
        <v>17353462</v>
      </c>
      <c r="B707" s="3">
        <v>45665</v>
      </c>
      <c r="C707">
        <v>2025</v>
      </c>
      <c r="D707">
        <v>1</v>
      </c>
      <c r="E707" t="s">
        <v>1579</v>
      </c>
      <c r="F707" t="s">
        <v>125</v>
      </c>
      <c r="G707" t="s">
        <v>10</v>
      </c>
      <c r="H707" t="b">
        <v>0</v>
      </c>
      <c r="I707" t="b">
        <v>0</v>
      </c>
      <c r="J707" t="b">
        <v>0</v>
      </c>
      <c r="K707" t="b">
        <v>0</v>
      </c>
      <c r="L707" t="s">
        <v>1541</v>
      </c>
      <c r="M707" t="s">
        <v>546</v>
      </c>
      <c r="N707" t="s">
        <v>5</v>
      </c>
      <c r="O707" t="b">
        <v>0</v>
      </c>
      <c r="P707">
        <v>2</v>
      </c>
      <c r="Q707" t="s">
        <v>423</v>
      </c>
      <c r="R707" t="s">
        <v>424</v>
      </c>
      <c r="S707">
        <v>50</v>
      </c>
      <c r="T707" t="s">
        <v>150</v>
      </c>
      <c r="U707" t="s">
        <v>177</v>
      </c>
      <c r="V707" t="s">
        <v>292</v>
      </c>
      <c r="W707">
        <v>6</v>
      </c>
      <c r="X707" t="s">
        <v>6</v>
      </c>
      <c r="Z707" t="s">
        <v>5</v>
      </c>
      <c r="AA707" t="s">
        <v>15</v>
      </c>
      <c r="AC707" t="s">
        <v>32</v>
      </c>
      <c r="AD707">
        <v>444</v>
      </c>
    </row>
    <row r="708" spans="1:30" x14ac:dyDescent="0.3">
      <c r="A708">
        <v>17354106</v>
      </c>
      <c r="B708" s="3">
        <v>45685</v>
      </c>
      <c r="C708">
        <v>2025</v>
      </c>
      <c r="D708">
        <v>1</v>
      </c>
      <c r="E708" t="s">
        <v>1579</v>
      </c>
      <c r="F708" t="s">
        <v>0</v>
      </c>
      <c r="G708" t="s">
        <v>1</v>
      </c>
      <c r="H708" t="b">
        <v>0</v>
      </c>
      <c r="I708" t="b">
        <v>1</v>
      </c>
      <c r="J708" t="b">
        <v>0</v>
      </c>
      <c r="K708" t="b">
        <v>0</v>
      </c>
      <c r="L708" t="s">
        <v>2185</v>
      </c>
      <c r="M708" t="s">
        <v>838</v>
      </c>
      <c r="N708" t="s">
        <v>17</v>
      </c>
      <c r="O708" t="b">
        <v>0</v>
      </c>
      <c r="P708">
        <v>28</v>
      </c>
      <c r="Q708" t="s">
        <v>135</v>
      </c>
      <c r="R708" t="s">
        <v>136</v>
      </c>
      <c r="S708">
        <v>58</v>
      </c>
      <c r="T708" t="s">
        <v>62</v>
      </c>
      <c r="U708" t="s">
        <v>81</v>
      </c>
      <c r="V708" t="s">
        <v>137</v>
      </c>
      <c r="W708">
        <v>20</v>
      </c>
      <c r="X708" t="s">
        <v>6</v>
      </c>
      <c r="Y708">
        <v>38</v>
      </c>
      <c r="Z708" t="s">
        <v>61</v>
      </c>
      <c r="AA708" t="s">
        <v>8</v>
      </c>
      <c r="AC708" t="s">
        <v>9</v>
      </c>
      <c r="AD708">
        <v>424</v>
      </c>
    </row>
    <row r="709" spans="1:30" x14ac:dyDescent="0.3">
      <c r="A709">
        <v>17354416</v>
      </c>
      <c r="B709" s="3">
        <v>45668</v>
      </c>
      <c r="C709">
        <v>2025</v>
      </c>
      <c r="D709">
        <v>1</v>
      </c>
      <c r="E709" t="s">
        <v>1579</v>
      </c>
      <c r="F709" t="s">
        <v>0</v>
      </c>
      <c r="G709" t="s">
        <v>1</v>
      </c>
      <c r="H709" t="b">
        <v>0</v>
      </c>
      <c r="I709" t="b">
        <v>1</v>
      </c>
      <c r="J709" t="b">
        <v>0</v>
      </c>
      <c r="K709" t="b">
        <v>0</v>
      </c>
      <c r="L709" t="s">
        <v>2186</v>
      </c>
      <c r="M709" t="s">
        <v>563</v>
      </c>
      <c r="N709" t="s">
        <v>2</v>
      </c>
      <c r="O709" t="b">
        <v>1</v>
      </c>
      <c r="P709">
        <v>17</v>
      </c>
      <c r="Q709" t="s">
        <v>440</v>
      </c>
      <c r="R709" t="s">
        <v>5</v>
      </c>
      <c r="S709">
        <v>48</v>
      </c>
      <c r="T709" t="s">
        <v>13</v>
      </c>
      <c r="U709" t="s">
        <v>5</v>
      </c>
      <c r="V709" t="s">
        <v>5</v>
      </c>
      <c r="W709">
        <v>10</v>
      </c>
      <c r="X709" t="s">
        <v>6</v>
      </c>
      <c r="Y709">
        <v>83</v>
      </c>
      <c r="Z709" t="s">
        <v>196</v>
      </c>
      <c r="AA709" t="s">
        <v>8</v>
      </c>
      <c r="AB709">
        <v>47.619</v>
      </c>
      <c r="AC709" t="s">
        <v>32</v>
      </c>
      <c r="AD709">
        <v>441</v>
      </c>
    </row>
    <row r="710" spans="1:30" x14ac:dyDescent="0.3">
      <c r="A710">
        <v>17354834</v>
      </c>
      <c r="B710" s="3">
        <v>45685</v>
      </c>
      <c r="C710">
        <v>2025</v>
      </c>
      <c r="D710">
        <v>1</v>
      </c>
      <c r="E710" t="s">
        <v>1579</v>
      </c>
      <c r="F710" t="s">
        <v>125</v>
      </c>
      <c r="G710" t="s">
        <v>10</v>
      </c>
      <c r="H710" t="b">
        <v>0</v>
      </c>
      <c r="I710" t="b">
        <v>0</v>
      </c>
      <c r="J710" t="b">
        <v>0</v>
      </c>
      <c r="K710" t="b">
        <v>0</v>
      </c>
      <c r="L710" t="s">
        <v>2187</v>
      </c>
      <c r="M710" t="s">
        <v>526</v>
      </c>
      <c r="N710" t="s">
        <v>5</v>
      </c>
      <c r="O710" t="b">
        <v>0</v>
      </c>
      <c r="P710">
        <v>3</v>
      </c>
      <c r="Q710" t="s">
        <v>208</v>
      </c>
      <c r="R710" t="s">
        <v>286</v>
      </c>
      <c r="S710">
        <v>48</v>
      </c>
      <c r="T710" t="s">
        <v>80</v>
      </c>
      <c r="U710" t="s">
        <v>210</v>
      </c>
      <c r="V710" t="s">
        <v>5</v>
      </c>
      <c r="W710">
        <v>1</v>
      </c>
      <c r="X710" t="s">
        <v>31</v>
      </c>
      <c r="Y710">
        <v>76</v>
      </c>
      <c r="Z710" t="s">
        <v>67</v>
      </c>
      <c r="AA710" t="s">
        <v>8</v>
      </c>
      <c r="AC710" t="s">
        <v>32</v>
      </c>
      <c r="AD710">
        <v>424</v>
      </c>
    </row>
    <row r="711" spans="1:30" x14ac:dyDescent="0.3">
      <c r="A711">
        <v>17356215</v>
      </c>
      <c r="B711" s="3">
        <v>45666</v>
      </c>
      <c r="C711">
        <v>2025</v>
      </c>
      <c r="D711">
        <v>1</v>
      </c>
      <c r="E711" t="s">
        <v>1579</v>
      </c>
      <c r="F711" t="s">
        <v>0</v>
      </c>
      <c r="G711" t="s">
        <v>1</v>
      </c>
      <c r="H711" t="b">
        <v>0</v>
      </c>
      <c r="I711" t="b">
        <v>1</v>
      </c>
      <c r="J711" t="b">
        <v>0</v>
      </c>
      <c r="K711" t="b">
        <v>0</v>
      </c>
      <c r="L711" t="s">
        <v>2188</v>
      </c>
      <c r="M711" t="s">
        <v>1385</v>
      </c>
      <c r="N711" t="s">
        <v>63</v>
      </c>
      <c r="O711" t="b">
        <v>0</v>
      </c>
      <c r="P711">
        <v>4</v>
      </c>
      <c r="Q711" t="s">
        <v>289</v>
      </c>
      <c r="R711" t="s">
        <v>290</v>
      </c>
      <c r="S711" t="s">
        <v>5</v>
      </c>
      <c r="T711" t="s">
        <v>291</v>
      </c>
      <c r="U711" t="s">
        <v>271</v>
      </c>
      <c r="V711" t="s">
        <v>292</v>
      </c>
      <c r="W711">
        <v>10</v>
      </c>
      <c r="X711" t="s">
        <v>6</v>
      </c>
      <c r="Y711">
        <v>34</v>
      </c>
      <c r="Z711" t="s">
        <v>61</v>
      </c>
      <c r="AA711" t="s">
        <v>8</v>
      </c>
      <c r="AC711" t="s">
        <v>9</v>
      </c>
      <c r="AD711">
        <v>443</v>
      </c>
    </row>
    <row r="712" spans="1:30" x14ac:dyDescent="0.3">
      <c r="A712">
        <v>17366187</v>
      </c>
      <c r="B712" s="3">
        <v>45665</v>
      </c>
      <c r="C712">
        <v>2025</v>
      </c>
      <c r="D712">
        <v>1</v>
      </c>
      <c r="E712" t="s">
        <v>1579</v>
      </c>
      <c r="F712" t="s">
        <v>0</v>
      </c>
      <c r="G712" t="s">
        <v>1</v>
      </c>
      <c r="H712" t="b">
        <v>0</v>
      </c>
      <c r="I712" t="b">
        <v>1</v>
      </c>
      <c r="J712" t="b">
        <v>0</v>
      </c>
      <c r="K712" t="b">
        <v>0</v>
      </c>
      <c r="L712" t="s">
        <v>1508</v>
      </c>
      <c r="M712" t="s">
        <v>62</v>
      </c>
      <c r="N712" t="s">
        <v>57</v>
      </c>
      <c r="O712" t="b">
        <v>1</v>
      </c>
      <c r="P712">
        <v>12</v>
      </c>
      <c r="Q712" t="s">
        <v>502</v>
      </c>
      <c r="R712" t="s">
        <v>503</v>
      </c>
      <c r="S712" t="s">
        <v>5</v>
      </c>
      <c r="T712" t="s">
        <v>62</v>
      </c>
      <c r="U712" t="s">
        <v>325</v>
      </c>
      <c r="V712" t="s">
        <v>504</v>
      </c>
      <c r="W712">
        <v>10</v>
      </c>
      <c r="X712" t="s">
        <v>6</v>
      </c>
      <c r="Z712" t="s">
        <v>5</v>
      </c>
      <c r="AA712" t="s">
        <v>5</v>
      </c>
      <c r="AC712" t="s">
        <v>9</v>
      </c>
      <c r="AD712">
        <v>444</v>
      </c>
    </row>
    <row r="713" spans="1:30" x14ac:dyDescent="0.3">
      <c r="A713">
        <v>17366698</v>
      </c>
      <c r="B713" s="3">
        <v>45687</v>
      </c>
      <c r="C713">
        <v>2025</v>
      </c>
      <c r="D713">
        <v>1</v>
      </c>
      <c r="E713" t="s">
        <v>1579</v>
      </c>
      <c r="F713" t="s">
        <v>0</v>
      </c>
      <c r="G713" t="s">
        <v>1</v>
      </c>
      <c r="H713" t="b">
        <v>0</v>
      </c>
      <c r="I713" t="b">
        <v>1</v>
      </c>
      <c r="J713" t="b">
        <v>0</v>
      </c>
      <c r="K713" t="b">
        <v>0</v>
      </c>
      <c r="L713" t="s">
        <v>2189</v>
      </c>
      <c r="M713" t="s">
        <v>206</v>
      </c>
      <c r="N713" t="s">
        <v>21</v>
      </c>
      <c r="O713" t="b">
        <v>0</v>
      </c>
      <c r="P713">
        <v>20</v>
      </c>
      <c r="Q713" t="s">
        <v>1459</v>
      </c>
      <c r="R713" t="s">
        <v>1539</v>
      </c>
      <c r="S713">
        <v>48</v>
      </c>
      <c r="T713" t="s">
        <v>1232</v>
      </c>
      <c r="U713" t="s">
        <v>798</v>
      </c>
      <c r="V713" t="s">
        <v>5</v>
      </c>
      <c r="W713">
        <v>19</v>
      </c>
      <c r="X713" t="s">
        <v>6</v>
      </c>
      <c r="Y713">
        <v>52</v>
      </c>
      <c r="Z713" t="s">
        <v>7</v>
      </c>
      <c r="AA713" t="s">
        <v>8</v>
      </c>
      <c r="AC713" t="s">
        <v>9</v>
      </c>
      <c r="AD713">
        <v>422</v>
      </c>
    </row>
    <row r="714" spans="1:30" x14ac:dyDescent="0.3">
      <c r="A714">
        <v>17367452</v>
      </c>
      <c r="B714" s="3">
        <v>45688</v>
      </c>
      <c r="C714">
        <v>2025</v>
      </c>
      <c r="D714">
        <v>1</v>
      </c>
      <c r="E714" t="s">
        <v>1579</v>
      </c>
      <c r="F714" t="s">
        <v>125</v>
      </c>
      <c r="G714" t="s">
        <v>10</v>
      </c>
      <c r="H714" t="b">
        <v>0</v>
      </c>
      <c r="I714" t="b">
        <v>0</v>
      </c>
      <c r="J714" t="b">
        <v>0</v>
      </c>
      <c r="K714" t="b">
        <v>0</v>
      </c>
      <c r="L714" t="s">
        <v>340</v>
      </c>
      <c r="M714" t="s">
        <v>102</v>
      </c>
      <c r="N714" t="s">
        <v>5</v>
      </c>
      <c r="O714" t="b">
        <v>0</v>
      </c>
      <c r="P714">
        <v>2</v>
      </c>
      <c r="Q714" t="s">
        <v>34</v>
      </c>
      <c r="R714" t="s">
        <v>35</v>
      </c>
      <c r="S714">
        <v>48</v>
      </c>
      <c r="T714" t="s">
        <v>265</v>
      </c>
      <c r="U714" t="s">
        <v>37</v>
      </c>
      <c r="V714" t="s">
        <v>38</v>
      </c>
      <c r="W714">
        <v>4</v>
      </c>
      <c r="X714" t="s">
        <v>40</v>
      </c>
      <c r="Z714" t="s">
        <v>5</v>
      </c>
      <c r="AA714" t="s">
        <v>15</v>
      </c>
      <c r="AC714" t="s">
        <v>32</v>
      </c>
      <c r="AD714">
        <v>421</v>
      </c>
    </row>
    <row r="715" spans="1:30" x14ac:dyDescent="0.3">
      <c r="A715">
        <v>17369809</v>
      </c>
      <c r="B715" s="3">
        <v>45685</v>
      </c>
      <c r="C715">
        <v>2025</v>
      </c>
      <c r="D715">
        <v>1</v>
      </c>
      <c r="E715" t="s">
        <v>1579</v>
      </c>
      <c r="F715" t="s">
        <v>125</v>
      </c>
      <c r="G715" t="s">
        <v>10</v>
      </c>
      <c r="H715" t="b">
        <v>0</v>
      </c>
      <c r="I715" t="b">
        <v>0</v>
      </c>
      <c r="J715" t="b">
        <v>0</v>
      </c>
      <c r="K715" t="b">
        <v>0</v>
      </c>
      <c r="L715" t="s">
        <v>2190</v>
      </c>
      <c r="M715" t="s">
        <v>54</v>
      </c>
      <c r="N715" t="s">
        <v>118</v>
      </c>
      <c r="O715" t="b">
        <v>0</v>
      </c>
      <c r="P715">
        <v>31</v>
      </c>
      <c r="Q715" t="s">
        <v>973</v>
      </c>
      <c r="R715" t="s">
        <v>974</v>
      </c>
      <c r="S715">
        <v>48</v>
      </c>
      <c r="T715" t="s">
        <v>975</v>
      </c>
      <c r="U715" t="s">
        <v>976</v>
      </c>
      <c r="V715" t="s">
        <v>5</v>
      </c>
      <c r="W715">
        <v>7</v>
      </c>
      <c r="X715" t="s">
        <v>6</v>
      </c>
      <c r="Z715" t="s">
        <v>5</v>
      </c>
      <c r="AA715" t="s">
        <v>8</v>
      </c>
      <c r="AC715" t="s">
        <v>32</v>
      </c>
      <c r="AD715">
        <v>424</v>
      </c>
    </row>
    <row r="716" spans="1:30" x14ac:dyDescent="0.3">
      <c r="A716">
        <v>17374642</v>
      </c>
      <c r="B716" s="3">
        <v>45670</v>
      </c>
      <c r="C716">
        <v>2025</v>
      </c>
      <c r="D716">
        <v>1</v>
      </c>
      <c r="E716" t="s">
        <v>1579</v>
      </c>
      <c r="F716" t="s">
        <v>125</v>
      </c>
      <c r="G716" t="s">
        <v>10</v>
      </c>
      <c r="H716" t="b">
        <v>0</v>
      </c>
      <c r="I716" t="b">
        <v>0</v>
      </c>
      <c r="J716" t="b">
        <v>0</v>
      </c>
      <c r="K716" t="b">
        <v>0</v>
      </c>
      <c r="L716" t="s">
        <v>2191</v>
      </c>
      <c r="M716" t="s">
        <v>1530</v>
      </c>
      <c r="N716" t="s">
        <v>5</v>
      </c>
      <c r="O716" t="b">
        <v>0</v>
      </c>
      <c r="P716">
        <v>6</v>
      </c>
      <c r="Q716" t="s">
        <v>162</v>
      </c>
      <c r="R716" t="s">
        <v>163</v>
      </c>
      <c r="S716" t="s">
        <v>5</v>
      </c>
      <c r="T716" t="s">
        <v>1203</v>
      </c>
      <c r="U716" t="s">
        <v>88</v>
      </c>
      <c r="V716" t="s">
        <v>89</v>
      </c>
      <c r="W716">
        <v>1</v>
      </c>
      <c r="X716" t="s">
        <v>31</v>
      </c>
      <c r="Y716">
        <v>70</v>
      </c>
      <c r="Z716" t="s">
        <v>67</v>
      </c>
      <c r="AA716" t="s">
        <v>8</v>
      </c>
      <c r="AB716">
        <v>73.923000000000002</v>
      </c>
      <c r="AC716" t="s">
        <v>32</v>
      </c>
      <c r="AD716">
        <v>439</v>
      </c>
    </row>
    <row r="717" spans="1:30" x14ac:dyDescent="0.3">
      <c r="A717">
        <v>17386672</v>
      </c>
      <c r="B717" s="3">
        <v>45667</v>
      </c>
      <c r="C717">
        <v>2025</v>
      </c>
      <c r="D717">
        <v>1</v>
      </c>
      <c r="E717" t="s">
        <v>1579</v>
      </c>
      <c r="F717" t="s">
        <v>0</v>
      </c>
      <c r="G717" t="s">
        <v>384</v>
      </c>
      <c r="H717" t="b">
        <v>1</v>
      </c>
      <c r="I717" t="b">
        <v>1</v>
      </c>
      <c r="J717" t="b">
        <v>1</v>
      </c>
      <c r="K717" t="b">
        <v>0</v>
      </c>
      <c r="L717" t="s">
        <v>2192</v>
      </c>
      <c r="M717" t="s">
        <v>397</v>
      </c>
      <c r="N717" t="s">
        <v>5</v>
      </c>
      <c r="O717" t="b">
        <v>0</v>
      </c>
      <c r="P717">
        <v>16</v>
      </c>
      <c r="Q717" t="s">
        <v>389</v>
      </c>
      <c r="R717" t="s">
        <v>390</v>
      </c>
      <c r="S717">
        <v>65</v>
      </c>
      <c r="T717" t="s">
        <v>609</v>
      </c>
      <c r="U717" t="s">
        <v>391</v>
      </c>
      <c r="V717" t="s">
        <v>392</v>
      </c>
      <c r="W717">
        <v>8</v>
      </c>
      <c r="X717" t="s">
        <v>6</v>
      </c>
      <c r="Y717">
        <v>0.25</v>
      </c>
      <c r="Z717" t="s">
        <v>219</v>
      </c>
      <c r="AA717" t="s">
        <v>15</v>
      </c>
      <c r="AC717" t="s">
        <v>558</v>
      </c>
      <c r="AD717">
        <v>442</v>
      </c>
    </row>
    <row r="718" spans="1:30" x14ac:dyDescent="0.3">
      <c r="A718">
        <v>17389619</v>
      </c>
      <c r="B718" s="3">
        <v>45685</v>
      </c>
      <c r="C718">
        <v>2025</v>
      </c>
      <c r="D718">
        <v>1</v>
      </c>
      <c r="E718" t="s">
        <v>1579</v>
      </c>
      <c r="F718" t="s">
        <v>125</v>
      </c>
      <c r="G718" t="s">
        <v>10</v>
      </c>
      <c r="H718" t="b">
        <v>0</v>
      </c>
      <c r="I718" t="b">
        <v>0</v>
      </c>
      <c r="J718" t="b">
        <v>0</v>
      </c>
      <c r="K718" t="b">
        <v>0</v>
      </c>
      <c r="L718" t="s">
        <v>1019</v>
      </c>
      <c r="M718" t="s">
        <v>1019</v>
      </c>
      <c r="N718" t="s">
        <v>12</v>
      </c>
      <c r="O718" t="b">
        <v>1</v>
      </c>
      <c r="P718">
        <v>1</v>
      </c>
      <c r="Q718" t="s">
        <v>542</v>
      </c>
      <c r="R718" t="s">
        <v>5</v>
      </c>
      <c r="S718" t="s">
        <v>5</v>
      </c>
      <c r="T718" t="s">
        <v>131</v>
      </c>
      <c r="U718" t="s">
        <v>5</v>
      </c>
      <c r="V718" t="s">
        <v>5</v>
      </c>
      <c r="W718">
        <v>2</v>
      </c>
      <c r="X718" t="s">
        <v>14</v>
      </c>
      <c r="Z718" t="s">
        <v>5</v>
      </c>
      <c r="AA718" t="s">
        <v>8</v>
      </c>
      <c r="AC718" t="s">
        <v>32</v>
      </c>
      <c r="AD718">
        <v>424</v>
      </c>
    </row>
    <row r="719" spans="1:30" x14ac:dyDescent="0.3">
      <c r="A719">
        <v>17390121</v>
      </c>
      <c r="B719" s="3">
        <v>45664</v>
      </c>
      <c r="C719">
        <v>2025</v>
      </c>
      <c r="D719">
        <v>1</v>
      </c>
      <c r="E719" t="s">
        <v>1579</v>
      </c>
      <c r="F719" t="s">
        <v>0</v>
      </c>
      <c r="G719" t="s">
        <v>10</v>
      </c>
      <c r="H719" t="b">
        <v>0</v>
      </c>
      <c r="I719" t="b">
        <v>0</v>
      </c>
      <c r="J719" t="b">
        <v>0</v>
      </c>
      <c r="K719" t="b">
        <v>0</v>
      </c>
      <c r="L719" t="s">
        <v>2193</v>
      </c>
      <c r="M719" t="s">
        <v>1501</v>
      </c>
      <c r="N719" t="s">
        <v>17</v>
      </c>
      <c r="O719" t="b">
        <v>0</v>
      </c>
      <c r="P719">
        <v>2</v>
      </c>
      <c r="Q719" t="s">
        <v>781</v>
      </c>
      <c r="R719" t="s">
        <v>782</v>
      </c>
      <c r="S719">
        <v>65</v>
      </c>
      <c r="T719" t="s">
        <v>1365</v>
      </c>
      <c r="U719" t="s">
        <v>783</v>
      </c>
      <c r="V719" t="s">
        <v>784</v>
      </c>
      <c r="W719">
        <v>22</v>
      </c>
      <c r="X719" t="s">
        <v>6</v>
      </c>
      <c r="Z719" t="s">
        <v>5</v>
      </c>
      <c r="AA719" t="s">
        <v>5</v>
      </c>
      <c r="AC719" t="s">
        <v>47</v>
      </c>
      <c r="AD719">
        <v>445</v>
      </c>
    </row>
    <row r="720" spans="1:30" x14ac:dyDescent="0.3">
      <c r="A720">
        <v>17393179</v>
      </c>
      <c r="B720" s="3">
        <v>45672</v>
      </c>
      <c r="C720">
        <v>2025</v>
      </c>
      <c r="D720">
        <v>1</v>
      </c>
      <c r="E720" t="s">
        <v>1579</v>
      </c>
      <c r="F720" t="s">
        <v>125</v>
      </c>
      <c r="G720" t="s">
        <v>10</v>
      </c>
      <c r="H720" t="b">
        <v>0</v>
      </c>
      <c r="I720" t="b">
        <v>0</v>
      </c>
      <c r="J720" t="b">
        <v>0</v>
      </c>
      <c r="K720" t="b">
        <v>0</v>
      </c>
      <c r="L720" t="s">
        <v>2194</v>
      </c>
      <c r="M720" t="s">
        <v>1578</v>
      </c>
      <c r="N720" t="s">
        <v>5</v>
      </c>
      <c r="O720" t="b">
        <v>0</v>
      </c>
      <c r="P720">
        <v>5</v>
      </c>
      <c r="Q720" t="s">
        <v>282</v>
      </c>
      <c r="R720" t="s">
        <v>5</v>
      </c>
      <c r="S720" t="s">
        <v>5</v>
      </c>
      <c r="T720" t="s">
        <v>283</v>
      </c>
      <c r="U720" t="s">
        <v>5</v>
      </c>
      <c r="V720" t="s">
        <v>5</v>
      </c>
      <c r="W720">
        <v>21</v>
      </c>
      <c r="X720" t="s">
        <v>6</v>
      </c>
      <c r="Y720">
        <v>61</v>
      </c>
      <c r="Z720" t="s">
        <v>7</v>
      </c>
      <c r="AA720" t="s">
        <v>15</v>
      </c>
      <c r="AB720">
        <v>87</v>
      </c>
      <c r="AC720" t="s">
        <v>32</v>
      </c>
      <c r="AD720">
        <v>437</v>
      </c>
    </row>
    <row r="721" spans="1:30" x14ac:dyDescent="0.3">
      <c r="A721">
        <v>17393424</v>
      </c>
      <c r="B721" s="3">
        <v>45688</v>
      </c>
      <c r="C721">
        <v>2025</v>
      </c>
      <c r="D721">
        <v>1</v>
      </c>
      <c r="E721" t="s">
        <v>1579</v>
      </c>
      <c r="F721" t="s">
        <v>0</v>
      </c>
      <c r="G721" t="s">
        <v>10</v>
      </c>
      <c r="H721" t="b">
        <v>0</v>
      </c>
      <c r="I721" t="b">
        <v>0</v>
      </c>
      <c r="J721" t="b">
        <v>0</v>
      </c>
      <c r="K721" t="b">
        <v>0</v>
      </c>
      <c r="L721" t="s">
        <v>2195</v>
      </c>
      <c r="M721" t="s">
        <v>708</v>
      </c>
      <c r="N721" t="s">
        <v>57</v>
      </c>
      <c r="O721" t="b">
        <v>1</v>
      </c>
      <c r="P721">
        <v>11</v>
      </c>
      <c r="Q721" t="s">
        <v>588</v>
      </c>
      <c r="R721" t="s">
        <v>589</v>
      </c>
      <c r="S721" t="s">
        <v>5</v>
      </c>
      <c r="T721" t="s">
        <v>977</v>
      </c>
      <c r="U721" t="s">
        <v>591</v>
      </c>
      <c r="V721" t="s">
        <v>592</v>
      </c>
      <c r="W721">
        <v>25</v>
      </c>
      <c r="X721" t="s">
        <v>6</v>
      </c>
      <c r="Y721">
        <v>52</v>
      </c>
      <c r="Z721" t="s">
        <v>7</v>
      </c>
      <c r="AA721" t="s">
        <v>8</v>
      </c>
      <c r="AB721">
        <v>99</v>
      </c>
      <c r="AC721" t="s">
        <v>32</v>
      </c>
      <c r="AD721">
        <v>421</v>
      </c>
    </row>
    <row r="722" spans="1:30" x14ac:dyDescent="0.3">
      <c r="A722">
        <v>17396878</v>
      </c>
      <c r="B722" s="3">
        <v>45672</v>
      </c>
      <c r="C722">
        <v>2025</v>
      </c>
      <c r="D722">
        <v>1</v>
      </c>
      <c r="E722" t="s">
        <v>1579</v>
      </c>
      <c r="F722" t="s">
        <v>125</v>
      </c>
      <c r="G722" t="s">
        <v>10</v>
      </c>
      <c r="H722" t="b">
        <v>0</v>
      </c>
      <c r="I722" t="b">
        <v>0</v>
      </c>
      <c r="J722" t="b">
        <v>0</v>
      </c>
      <c r="K722" t="b">
        <v>0</v>
      </c>
      <c r="L722" t="s">
        <v>1335</v>
      </c>
      <c r="M722" t="s">
        <v>1335</v>
      </c>
      <c r="N722" t="s">
        <v>5</v>
      </c>
      <c r="O722" t="b">
        <v>0</v>
      </c>
      <c r="P722">
        <v>1</v>
      </c>
      <c r="Q722" t="s">
        <v>162</v>
      </c>
      <c r="R722" t="s">
        <v>163</v>
      </c>
      <c r="S722" t="s">
        <v>5</v>
      </c>
      <c r="T722" t="s">
        <v>5</v>
      </c>
      <c r="U722" t="s">
        <v>88</v>
      </c>
      <c r="V722" t="s">
        <v>89</v>
      </c>
      <c r="W722">
        <v>1</v>
      </c>
      <c r="X722" t="s">
        <v>31</v>
      </c>
      <c r="Y722">
        <v>79</v>
      </c>
      <c r="Z722" t="s">
        <v>67</v>
      </c>
      <c r="AA722" t="s">
        <v>5</v>
      </c>
      <c r="AC722" t="s">
        <v>32</v>
      </c>
      <c r="AD722">
        <v>437</v>
      </c>
    </row>
    <row r="723" spans="1:30" x14ac:dyDescent="0.3">
      <c r="A723">
        <v>17404410</v>
      </c>
      <c r="B723" s="3">
        <v>45670</v>
      </c>
      <c r="C723">
        <v>2025</v>
      </c>
      <c r="D723">
        <v>1</v>
      </c>
      <c r="E723" t="s">
        <v>1579</v>
      </c>
      <c r="F723" t="s">
        <v>0</v>
      </c>
      <c r="G723" t="s">
        <v>1</v>
      </c>
      <c r="H723" t="b">
        <v>0</v>
      </c>
      <c r="I723" t="b">
        <v>1</v>
      </c>
      <c r="J723" t="b">
        <v>0</v>
      </c>
      <c r="K723" t="b">
        <v>0</v>
      </c>
      <c r="L723" t="s">
        <v>2196</v>
      </c>
      <c r="M723" t="s">
        <v>466</v>
      </c>
      <c r="N723" t="s">
        <v>70</v>
      </c>
      <c r="O723" t="b">
        <v>0</v>
      </c>
      <c r="P723">
        <v>9</v>
      </c>
      <c r="Q723" t="s">
        <v>289</v>
      </c>
      <c r="R723" t="s">
        <v>290</v>
      </c>
      <c r="S723" t="s">
        <v>5</v>
      </c>
      <c r="T723" t="s">
        <v>183</v>
      </c>
      <c r="U723" t="s">
        <v>271</v>
      </c>
      <c r="V723" t="s">
        <v>292</v>
      </c>
      <c r="W723">
        <v>16</v>
      </c>
      <c r="X723" t="s">
        <v>6</v>
      </c>
      <c r="Y723">
        <v>53</v>
      </c>
      <c r="Z723" t="s">
        <v>7</v>
      </c>
      <c r="AA723" t="s">
        <v>8</v>
      </c>
      <c r="AC723" t="s">
        <v>9</v>
      </c>
      <c r="AD723">
        <v>439</v>
      </c>
    </row>
    <row r="724" spans="1:30" x14ac:dyDescent="0.3">
      <c r="A724">
        <v>17414853</v>
      </c>
      <c r="B724" s="3">
        <v>45685</v>
      </c>
      <c r="C724">
        <v>2025</v>
      </c>
      <c r="D724">
        <v>1</v>
      </c>
      <c r="E724" t="s">
        <v>1579</v>
      </c>
      <c r="F724" t="s">
        <v>0</v>
      </c>
      <c r="G724" t="s">
        <v>1</v>
      </c>
      <c r="H724" t="b">
        <v>0</v>
      </c>
      <c r="I724" t="b">
        <v>1</v>
      </c>
      <c r="J724" t="b">
        <v>0</v>
      </c>
      <c r="K724" t="b">
        <v>0</v>
      </c>
      <c r="L724" t="s">
        <v>2197</v>
      </c>
      <c r="M724" t="s">
        <v>206</v>
      </c>
      <c r="N724" t="s">
        <v>63</v>
      </c>
      <c r="O724" t="b">
        <v>0</v>
      </c>
      <c r="P724">
        <v>7</v>
      </c>
      <c r="Q724" t="s">
        <v>208</v>
      </c>
      <c r="R724" t="s">
        <v>286</v>
      </c>
      <c r="S724" t="s">
        <v>5</v>
      </c>
      <c r="T724" t="s">
        <v>5</v>
      </c>
      <c r="U724" t="s">
        <v>210</v>
      </c>
      <c r="V724" t="s">
        <v>5</v>
      </c>
      <c r="W724">
        <v>3</v>
      </c>
      <c r="X724" t="s">
        <v>14</v>
      </c>
      <c r="Y724">
        <v>83</v>
      </c>
      <c r="Z724" t="s">
        <v>196</v>
      </c>
      <c r="AA724" t="s">
        <v>8</v>
      </c>
      <c r="AC724" t="s">
        <v>32</v>
      </c>
      <c r="AD724">
        <v>424</v>
      </c>
    </row>
    <row r="725" spans="1:30" x14ac:dyDescent="0.3">
      <c r="A725">
        <v>17427533</v>
      </c>
      <c r="B725" s="3">
        <v>45677</v>
      </c>
      <c r="C725">
        <v>2025</v>
      </c>
      <c r="D725">
        <v>1</v>
      </c>
      <c r="E725" t="s">
        <v>1579</v>
      </c>
      <c r="F725" t="s">
        <v>0</v>
      </c>
      <c r="G725" t="s">
        <v>1</v>
      </c>
      <c r="H725" t="b">
        <v>0</v>
      </c>
      <c r="I725" t="b">
        <v>1</v>
      </c>
      <c r="J725" t="b">
        <v>0</v>
      </c>
      <c r="K725" t="b">
        <v>0</v>
      </c>
      <c r="L725" t="s">
        <v>2198</v>
      </c>
      <c r="M725" t="s">
        <v>432</v>
      </c>
      <c r="N725" t="s">
        <v>57</v>
      </c>
      <c r="O725" t="b">
        <v>1</v>
      </c>
      <c r="P725">
        <v>11</v>
      </c>
      <c r="Q725" t="s">
        <v>904</v>
      </c>
      <c r="R725" t="s">
        <v>905</v>
      </c>
      <c r="S725">
        <v>48</v>
      </c>
      <c r="T725" t="s">
        <v>1327</v>
      </c>
      <c r="U725" t="s">
        <v>906</v>
      </c>
      <c r="V725" t="s">
        <v>5</v>
      </c>
      <c r="W725">
        <v>1</v>
      </c>
      <c r="X725" t="s">
        <v>31</v>
      </c>
      <c r="Z725" t="s">
        <v>5</v>
      </c>
      <c r="AA725" t="s">
        <v>5</v>
      </c>
      <c r="AC725" t="s">
        <v>32</v>
      </c>
      <c r="AD725">
        <v>432</v>
      </c>
    </row>
    <row r="726" spans="1:30" x14ac:dyDescent="0.3">
      <c r="A726">
        <v>17434513</v>
      </c>
      <c r="B726" s="3">
        <v>45678</v>
      </c>
      <c r="C726">
        <v>2025</v>
      </c>
      <c r="D726">
        <v>1</v>
      </c>
      <c r="E726" t="s">
        <v>1579</v>
      </c>
      <c r="F726" t="s">
        <v>0</v>
      </c>
      <c r="G726" t="s">
        <v>1</v>
      </c>
      <c r="H726" t="b">
        <v>0</v>
      </c>
      <c r="I726" t="b">
        <v>1</v>
      </c>
      <c r="J726" t="b">
        <v>0</v>
      </c>
      <c r="K726" t="b">
        <v>0</v>
      </c>
      <c r="L726" t="s">
        <v>2199</v>
      </c>
      <c r="M726" t="s">
        <v>839</v>
      </c>
      <c r="N726" t="s">
        <v>118</v>
      </c>
      <c r="O726" t="b">
        <v>0</v>
      </c>
      <c r="P726">
        <v>5</v>
      </c>
      <c r="Q726" t="s">
        <v>208</v>
      </c>
      <c r="R726" t="s">
        <v>286</v>
      </c>
      <c r="S726">
        <v>48</v>
      </c>
      <c r="T726" t="s">
        <v>80</v>
      </c>
      <c r="U726" t="s">
        <v>210</v>
      </c>
      <c r="V726" t="s">
        <v>5</v>
      </c>
      <c r="W726">
        <v>8</v>
      </c>
      <c r="X726" t="s">
        <v>6</v>
      </c>
      <c r="Y726">
        <v>69</v>
      </c>
      <c r="Z726" t="s">
        <v>67</v>
      </c>
      <c r="AA726" t="s">
        <v>8</v>
      </c>
      <c r="AB726">
        <v>81.2</v>
      </c>
      <c r="AC726" t="s">
        <v>32</v>
      </c>
      <c r="AD726">
        <v>431</v>
      </c>
    </row>
    <row r="727" spans="1:30" x14ac:dyDescent="0.3">
      <c r="A727">
        <v>17436080</v>
      </c>
      <c r="B727" s="3">
        <v>45672</v>
      </c>
      <c r="C727">
        <v>2025</v>
      </c>
      <c r="D727">
        <v>1</v>
      </c>
      <c r="E727" t="s">
        <v>1579</v>
      </c>
      <c r="F727" t="s">
        <v>0</v>
      </c>
      <c r="G727" t="s">
        <v>10</v>
      </c>
      <c r="H727" t="b">
        <v>0</v>
      </c>
      <c r="I727" t="b">
        <v>0</v>
      </c>
      <c r="J727" t="b">
        <v>0</v>
      </c>
      <c r="K727" t="b">
        <v>0</v>
      </c>
      <c r="L727" t="s">
        <v>2200</v>
      </c>
      <c r="M727" t="s">
        <v>206</v>
      </c>
      <c r="N727" t="s">
        <v>57</v>
      </c>
      <c r="O727" t="b">
        <v>1</v>
      </c>
      <c r="P727">
        <v>8</v>
      </c>
      <c r="Q727" t="s">
        <v>588</v>
      </c>
      <c r="R727" t="s">
        <v>589</v>
      </c>
      <c r="S727" t="s">
        <v>5</v>
      </c>
      <c r="T727" t="s">
        <v>590</v>
      </c>
      <c r="U727" t="s">
        <v>591</v>
      </c>
      <c r="V727" t="s">
        <v>592</v>
      </c>
      <c r="W727">
        <v>14</v>
      </c>
      <c r="X727" t="s">
        <v>6</v>
      </c>
      <c r="Y727">
        <v>14</v>
      </c>
      <c r="Z727" t="s">
        <v>19</v>
      </c>
      <c r="AA727" t="s">
        <v>8</v>
      </c>
      <c r="AB727">
        <v>45</v>
      </c>
      <c r="AC727" t="s">
        <v>32</v>
      </c>
      <c r="AD727">
        <v>437</v>
      </c>
    </row>
    <row r="728" spans="1:30" x14ac:dyDescent="0.3">
      <c r="A728">
        <v>17438614</v>
      </c>
      <c r="B728" s="3">
        <v>45665</v>
      </c>
      <c r="C728">
        <v>2025</v>
      </c>
      <c r="D728">
        <v>1</v>
      </c>
      <c r="E728" t="s">
        <v>1579</v>
      </c>
      <c r="F728" t="s">
        <v>0</v>
      </c>
      <c r="G728" t="s">
        <v>1</v>
      </c>
      <c r="H728" t="b">
        <v>0</v>
      </c>
      <c r="I728" t="b">
        <v>1</v>
      </c>
      <c r="J728" t="b">
        <v>0</v>
      </c>
      <c r="K728" t="b">
        <v>0</v>
      </c>
      <c r="L728" t="s">
        <v>2201</v>
      </c>
      <c r="M728" t="s">
        <v>741</v>
      </c>
      <c r="N728" t="s">
        <v>57</v>
      </c>
      <c r="O728" t="b">
        <v>1</v>
      </c>
      <c r="P728">
        <v>68</v>
      </c>
      <c r="Q728" t="s">
        <v>588</v>
      </c>
      <c r="R728" t="s">
        <v>589</v>
      </c>
      <c r="S728" t="s">
        <v>5</v>
      </c>
      <c r="T728" t="s">
        <v>590</v>
      </c>
      <c r="U728" t="s">
        <v>591</v>
      </c>
      <c r="V728" t="s">
        <v>592</v>
      </c>
      <c r="W728">
        <v>60</v>
      </c>
      <c r="X728" t="s">
        <v>6</v>
      </c>
      <c r="Y728">
        <v>57</v>
      </c>
      <c r="Z728" t="s">
        <v>7</v>
      </c>
      <c r="AA728" t="s">
        <v>8</v>
      </c>
      <c r="AB728">
        <v>101</v>
      </c>
      <c r="AC728" t="s">
        <v>32</v>
      </c>
      <c r="AD728">
        <v>444</v>
      </c>
    </row>
    <row r="729" spans="1:30" x14ac:dyDescent="0.3">
      <c r="A729">
        <v>17441956</v>
      </c>
      <c r="B729" s="3">
        <v>45659</v>
      </c>
      <c r="C729">
        <v>2025</v>
      </c>
      <c r="D729">
        <v>1</v>
      </c>
      <c r="E729" t="s">
        <v>1579</v>
      </c>
      <c r="F729" t="s">
        <v>0</v>
      </c>
      <c r="G729" t="s">
        <v>10</v>
      </c>
      <c r="H729" t="b">
        <v>0</v>
      </c>
      <c r="I729" t="b">
        <v>0</v>
      </c>
      <c r="J729" t="b">
        <v>0</v>
      </c>
      <c r="K729" t="b">
        <v>0</v>
      </c>
      <c r="L729" t="s">
        <v>2202</v>
      </c>
      <c r="M729" t="s">
        <v>756</v>
      </c>
      <c r="N729" t="s">
        <v>70</v>
      </c>
      <c r="O729" t="b">
        <v>0</v>
      </c>
      <c r="P729">
        <v>11</v>
      </c>
      <c r="Q729" t="s">
        <v>907</v>
      </c>
      <c r="R729" t="s">
        <v>5</v>
      </c>
      <c r="S729" t="s">
        <v>5</v>
      </c>
      <c r="T729" t="s">
        <v>452</v>
      </c>
      <c r="U729" t="s">
        <v>5</v>
      </c>
      <c r="V729" t="s">
        <v>5</v>
      </c>
      <c r="W729">
        <v>8</v>
      </c>
      <c r="X729" t="s">
        <v>6</v>
      </c>
      <c r="Y729">
        <v>70</v>
      </c>
      <c r="Z729" t="s">
        <v>67</v>
      </c>
      <c r="AA729" t="s">
        <v>15</v>
      </c>
      <c r="AC729" t="s">
        <v>32</v>
      </c>
      <c r="AD729">
        <v>450</v>
      </c>
    </row>
    <row r="730" spans="1:30" x14ac:dyDescent="0.3">
      <c r="A730">
        <v>17447119</v>
      </c>
      <c r="B730" s="3">
        <v>45679</v>
      </c>
      <c r="C730">
        <v>2025</v>
      </c>
      <c r="D730">
        <v>1</v>
      </c>
      <c r="E730" t="s">
        <v>1579</v>
      </c>
      <c r="F730" t="s">
        <v>0</v>
      </c>
      <c r="G730" t="s">
        <v>1</v>
      </c>
      <c r="H730" t="b">
        <v>0</v>
      </c>
      <c r="I730" t="b">
        <v>1</v>
      </c>
      <c r="J730" t="b">
        <v>0</v>
      </c>
      <c r="K730" t="b">
        <v>0</v>
      </c>
      <c r="L730" t="s">
        <v>2203</v>
      </c>
      <c r="M730" t="s">
        <v>297</v>
      </c>
      <c r="N730" t="s">
        <v>57</v>
      </c>
      <c r="O730" t="b">
        <v>1</v>
      </c>
      <c r="P730">
        <v>3</v>
      </c>
      <c r="Q730" t="s">
        <v>1268</v>
      </c>
      <c r="R730" t="s">
        <v>1269</v>
      </c>
      <c r="S730">
        <v>45</v>
      </c>
      <c r="T730" t="s">
        <v>138</v>
      </c>
      <c r="U730" t="s">
        <v>1270</v>
      </c>
      <c r="V730" t="s">
        <v>5</v>
      </c>
      <c r="W730">
        <v>4</v>
      </c>
      <c r="X730" t="s">
        <v>40</v>
      </c>
      <c r="Y730">
        <v>31</v>
      </c>
      <c r="Z730" t="s">
        <v>61</v>
      </c>
      <c r="AA730" t="s">
        <v>15</v>
      </c>
      <c r="AC730" t="s">
        <v>32</v>
      </c>
      <c r="AD730">
        <v>430</v>
      </c>
    </row>
    <row r="731" spans="1:30" x14ac:dyDescent="0.3">
      <c r="A731">
        <v>17457884</v>
      </c>
      <c r="B731" s="3">
        <v>45673</v>
      </c>
      <c r="C731">
        <v>2025</v>
      </c>
      <c r="D731">
        <v>1</v>
      </c>
      <c r="E731" t="s">
        <v>1579</v>
      </c>
      <c r="F731" t="s">
        <v>0</v>
      </c>
      <c r="G731" t="s">
        <v>562</v>
      </c>
      <c r="H731" t="b">
        <v>0</v>
      </c>
      <c r="I731" t="b">
        <v>0</v>
      </c>
      <c r="J731" t="b">
        <v>0</v>
      </c>
      <c r="K731" t="b">
        <v>0</v>
      </c>
      <c r="L731" t="s">
        <v>2204</v>
      </c>
      <c r="M731" t="s">
        <v>274</v>
      </c>
      <c r="N731" t="s">
        <v>5</v>
      </c>
      <c r="O731" t="b">
        <v>0</v>
      </c>
      <c r="P731">
        <v>2</v>
      </c>
      <c r="Q731" t="s">
        <v>328</v>
      </c>
      <c r="R731" t="s">
        <v>329</v>
      </c>
      <c r="S731">
        <v>64</v>
      </c>
      <c r="T731" t="s">
        <v>5</v>
      </c>
      <c r="U731" t="s">
        <v>330</v>
      </c>
      <c r="V731" t="s">
        <v>331</v>
      </c>
      <c r="W731">
        <v>1</v>
      </c>
      <c r="X731" t="s">
        <v>31</v>
      </c>
      <c r="Z731" t="s">
        <v>5</v>
      </c>
      <c r="AA731" t="s">
        <v>5</v>
      </c>
      <c r="AC731" t="s">
        <v>395</v>
      </c>
      <c r="AD731">
        <v>436</v>
      </c>
    </row>
    <row r="732" spans="1:30" x14ac:dyDescent="0.3">
      <c r="A732">
        <v>17457890</v>
      </c>
      <c r="B732" s="3">
        <v>45673</v>
      </c>
      <c r="C732">
        <v>2025</v>
      </c>
      <c r="D732">
        <v>1</v>
      </c>
      <c r="E732" t="s">
        <v>1579</v>
      </c>
      <c r="F732" t="s">
        <v>0</v>
      </c>
      <c r="G732" t="s">
        <v>562</v>
      </c>
      <c r="H732" t="b">
        <v>0</v>
      </c>
      <c r="I732" t="b">
        <v>0</v>
      </c>
      <c r="J732" t="b">
        <v>0</v>
      </c>
      <c r="K732" t="b">
        <v>0</v>
      </c>
      <c r="L732" t="s">
        <v>2205</v>
      </c>
      <c r="M732" t="s">
        <v>274</v>
      </c>
      <c r="N732" t="s">
        <v>5</v>
      </c>
      <c r="O732" t="b">
        <v>0</v>
      </c>
      <c r="P732">
        <v>2</v>
      </c>
      <c r="Q732" t="s">
        <v>328</v>
      </c>
      <c r="R732" t="s">
        <v>329</v>
      </c>
      <c r="S732">
        <v>64</v>
      </c>
      <c r="T732" t="s">
        <v>5</v>
      </c>
      <c r="U732" t="s">
        <v>330</v>
      </c>
      <c r="V732" t="s">
        <v>331</v>
      </c>
      <c r="W732">
        <v>1</v>
      </c>
      <c r="X732" t="s">
        <v>31</v>
      </c>
      <c r="Z732" t="s">
        <v>5</v>
      </c>
      <c r="AA732" t="s">
        <v>5</v>
      </c>
      <c r="AC732" t="s">
        <v>395</v>
      </c>
      <c r="AD732">
        <v>436</v>
      </c>
    </row>
    <row r="733" spans="1:30" x14ac:dyDescent="0.3">
      <c r="A733">
        <v>17463269</v>
      </c>
      <c r="B733" s="3">
        <v>45680</v>
      </c>
      <c r="C733">
        <v>2025</v>
      </c>
      <c r="D733">
        <v>1</v>
      </c>
      <c r="E733" t="s">
        <v>1579</v>
      </c>
      <c r="F733" t="s">
        <v>0</v>
      </c>
      <c r="G733" t="s">
        <v>562</v>
      </c>
      <c r="H733" t="b">
        <v>0</v>
      </c>
      <c r="I733" t="b">
        <v>0</v>
      </c>
      <c r="J733" t="b">
        <v>0</v>
      </c>
      <c r="K733" t="b">
        <v>0</v>
      </c>
      <c r="L733" t="s">
        <v>2206</v>
      </c>
      <c r="M733" t="s">
        <v>1524</v>
      </c>
      <c r="N733" t="s">
        <v>5</v>
      </c>
      <c r="O733" t="b">
        <v>0</v>
      </c>
      <c r="P733">
        <v>3</v>
      </c>
      <c r="Q733" t="s">
        <v>1478</v>
      </c>
      <c r="R733" t="s">
        <v>1479</v>
      </c>
      <c r="S733">
        <v>64</v>
      </c>
      <c r="T733" t="s">
        <v>83</v>
      </c>
      <c r="U733" t="s">
        <v>1480</v>
      </c>
      <c r="V733" t="s">
        <v>5</v>
      </c>
      <c r="W733">
        <v>1</v>
      </c>
      <c r="X733" t="s">
        <v>31</v>
      </c>
      <c r="Z733" t="s">
        <v>5</v>
      </c>
      <c r="AA733" t="s">
        <v>5</v>
      </c>
      <c r="AC733" t="s">
        <v>101</v>
      </c>
      <c r="AD733">
        <v>429</v>
      </c>
    </row>
    <row r="734" spans="1:30" x14ac:dyDescent="0.3">
      <c r="A734">
        <v>17481824</v>
      </c>
      <c r="B734" s="3">
        <v>45660</v>
      </c>
      <c r="C734">
        <v>2025</v>
      </c>
      <c r="D734">
        <v>1</v>
      </c>
      <c r="E734" t="s">
        <v>1579</v>
      </c>
      <c r="F734" t="s">
        <v>0</v>
      </c>
      <c r="G734" t="s">
        <v>10</v>
      </c>
      <c r="H734" t="b">
        <v>0</v>
      </c>
      <c r="I734" t="b">
        <v>0</v>
      </c>
      <c r="J734" t="b">
        <v>0</v>
      </c>
      <c r="K734" t="b">
        <v>0</v>
      </c>
      <c r="L734" t="s">
        <v>2207</v>
      </c>
      <c r="M734" t="s">
        <v>1525</v>
      </c>
      <c r="N734" t="s">
        <v>118</v>
      </c>
      <c r="O734" t="b">
        <v>0</v>
      </c>
      <c r="P734">
        <v>12</v>
      </c>
      <c r="Q734" t="s">
        <v>122</v>
      </c>
      <c r="R734" t="s">
        <v>122</v>
      </c>
      <c r="S734">
        <v>65</v>
      </c>
      <c r="T734" t="s">
        <v>1472</v>
      </c>
      <c r="U734" t="s">
        <v>124</v>
      </c>
      <c r="V734" t="s">
        <v>5</v>
      </c>
      <c r="W734">
        <v>52</v>
      </c>
      <c r="X734" t="s">
        <v>6</v>
      </c>
      <c r="Y734">
        <v>9</v>
      </c>
      <c r="Z734" t="s">
        <v>46</v>
      </c>
      <c r="AA734" t="s">
        <v>15</v>
      </c>
      <c r="AC734" t="s">
        <v>25</v>
      </c>
      <c r="AD734">
        <v>449</v>
      </c>
    </row>
    <row r="735" spans="1:30" x14ac:dyDescent="0.3">
      <c r="A735">
        <v>17484019</v>
      </c>
      <c r="B735" s="3">
        <v>45673</v>
      </c>
      <c r="C735">
        <v>2025</v>
      </c>
      <c r="D735">
        <v>1</v>
      </c>
      <c r="E735" t="s">
        <v>1579</v>
      </c>
      <c r="F735" t="s">
        <v>0</v>
      </c>
      <c r="G735" t="s">
        <v>1</v>
      </c>
      <c r="H735" t="b">
        <v>0</v>
      </c>
      <c r="I735" t="b">
        <v>1</v>
      </c>
      <c r="J735" t="b">
        <v>0</v>
      </c>
      <c r="K735" t="b">
        <v>0</v>
      </c>
      <c r="L735" t="s">
        <v>2208</v>
      </c>
      <c r="M735" t="s">
        <v>396</v>
      </c>
      <c r="N735" t="s">
        <v>5</v>
      </c>
      <c r="O735" t="b">
        <v>0</v>
      </c>
      <c r="P735">
        <v>12</v>
      </c>
      <c r="Q735" t="s">
        <v>289</v>
      </c>
      <c r="R735" t="s">
        <v>290</v>
      </c>
      <c r="S735" t="s">
        <v>5</v>
      </c>
      <c r="T735" t="s">
        <v>291</v>
      </c>
      <c r="U735" t="s">
        <v>271</v>
      </c>
      <c r="V735" t="s">
        <v>292</v>
      </c>
      <c r="W735">
        <v>17</v>
      </c>
      <c r="X735" t="s">
        <v>6</v>
      </c>
      <c r="Y735">
        <v>58</v>
      </c>
      <c r="Z735" t="s">
        <v>7</v>
      </c>
      <c r="AA735" t="s">
        <v>8</v>
      </c>
      <c r="AC735" t="s">
        <v>9</v>
      </c>
      <c r="AD735">
        <v>436</v>
      </c>
    </row>
    <row r="736" spans="1:30" x14ac:dyDescent="0.3">
      <c r="A736">
        <v>17485060</v>
      </c>
      <c r="B736" s="3">
        <v>45665</v>
      </c>
      <c r="C736">
        <v>2025</v>
      </c>
      <c r="D736">
        <v>1</v>
      </c>
      <c r="E736" t="s">
        <v>1579</v>
      </c>
      <c r="F736" t="s">
        <v>0</v>
      </c>
      <c r="G736" t="s">
        <v>10</v>
      </c>
      <c r="H736" t="b">
        <v>0</v>
      </c>
      <c r="I736" t="b">
        <v>0</v>
      </c>
      <c r="J736" t="b">
        <v>0</v>
      </c>
      <c r="K736" t="b">
        <v>0</v>
      </c>
      <c r="L736" t="s">
        <v>2209</v>
      </c>
      <c r="M736" t="s">
        <v>756</v>
      </c>
      <c r="N736" t="s">
        <v>118</v>
      </c>
      <c r="O736" t="b">
        <v>0</v>
      </c>
      <c r="P736">
        <v>5</v>
      </c>
      <c r="Q736" t="s">
        <v>907</v>
      </c>
      <c r="R736" t="s">
        <v>5</v>
      </c>
      <c r="S736" t="s">
        <v>5</v>
      </c>
      <c r="T736" t="s">
        <v>756</v>
      </c>
      <c r="U736" t="s">
        <v>5</v>
      </c>
      <c r="V736" t="s">
        <v>5</v>
      </c>
      <c r="W736">
        <v>3</v>
      </c>
      <c r="X736" t="s">
        <v>14</v>
      </c>
      <c r="Y736">
        <v>19</v>
      </c>
      <c r="Z736" t="s">
        <v>61</v>
      </c>
      <c r="AA736" t="s">
        <v>15</v>
      </c>
      <c r="AC736" t="s">
        <v>32</v>
      </c>
      <c r="AD736">
        <v>444</v>
      </c>
    </row>
    <row r="737" spans="1:30" x14ac:dyDescent="0.3">
      <c r="A737">
        <v>17485999</v>
      </c>
      <c r="B737" s="3">
        <v>45673</v>
      </c>
      <c r="C737">
        <v>2025</v>
      </c>
      <c r="D737">
        <v>1</v>
      </c>
      <c r="E737" t="s">
        <v>1579</v>
      </c>
      <c r="F737" t="s">
        <v>0</v>
      </c>
      <c r="G737" t="s">
        <v>1</v>
      </c>
      <c r="H737" t="b">
        <v>0</v>
      </c>
      <c r="I737" t="b">
        <v>1</v>
      </c>
      <c r="J737" t="b">
        <v>0</v>
      </c>
      <c r="K737" t="b">
        <v>0</v>
      </c>
      <c r="L737" t="s">
        <v>2210</v>
      </c>
      <c r="M737" t="s">
        <v>186</v>
      </c>
      <c r="N737" t="s">
        <v>2</v>
      </c>
      <c r="O737" t="b">
        <v>1</v>
      </c>
      <c r="P737">
        <v>11</v>
      </c>
      <c r="Q737" t="s">
        <v>617</v>
      </c>
      <c r="R737" t="s">
        <v>618</v>
      </c>
      <c r="S737">
        <v>41</v>
      </c>
      <c r="T737" t="s">
        <v>619</v>
      </c>
      <c r="U737" t="s">
        <v>447</v>
      </c>
      <c r="V737" t="s">
        <v>620</v>
      </c>
      <c r="W737">
        <v>39</v>
      </c>
      <c r="X737" t="s">
        <v>6</v>
      </c>
      <c r="Y737">
        <v>70</v>
      </c>
      <c r="Z737" t="s">
        <v>67</v>
      </c>
      <c r="AA737" t="s">
        <v>15</v>
      </c>
      <c r="AB737">
        <v>65.5</v>
      </c>
      <c r="AC737" t="s">
        <v>20</v>
      </c>
      <c r="AD737">
        <v>436</v>
      </c>
    </row>
    <row r="738" spans="1:30" x14ac:dyDescent="0.3">
      <c r="A738">
        <v>17487366</v>
      </c>
      <c r="B738" s="3">
        <v>45667</v>
      </c>
      <c r="C738">
        <v>2025</v>
      </c>
      <c r="D738">
        <v>1</v>
      </c>
      <c r="E738" t="s">
        <v>1579</v>
      </c>
      <c r="F738" t="s">
        <v>0</v>
      </c>
      <c r="G738" t="s">
        <v>1</v>
      </c>
      <c r="H738" t="b">
        <v>0</v>
      </c>
      <c r="I738" t="b">
        <v>1</v>
      </c>
      <c r="J738" t="b">
        <v>0</v>
      </c>
      <c r="K738" t="b">
        <v>0</v>
      </c>
      <c r="L738" t="s">
        <v>2211</v>
      </c>
      <c r="M738" t="s">
        <v>351</v>
      </c>
      <c r="N738" t="s">
        <v>70</v>
      </c>
      <c r="O738" t="b">
        <v>0</v>
      </c>
      <c r="P738">
        <v>58</v>
      </c>
      <c r="Q738" t="s">
        <v>230</v>
      </c>
      <c r="R738" t="s">
        <v>268</v>
      </c>
      <c r="S738">
        <v>65</v>
      </c>
      <c r="T738" t="s">
        <v>269</v>
      </c>
      <c r="U738" t="s">
        <v>231</v>
      </c>
      <c r="V738" t="s">
        <v>232</v>
      </c>
      <c r="W738">
        <v>25</v>
      </c>
      <c r="X738" t="s">
        <v>6</v>
      </c>
      <c r="Z738" t="s">
        <v>5</v>
      </c>
      <c r="AA738" t="s">
        <v>5</v>
      </c>
      <c r="AC738" t="s">
        <v>32</v>
      </c>
      <c r="AD738">
        <v>442</v>
      </c>
    </row>
    <row r="739" spans="1:30" x14ac:dyDescent="0.3">
      <c r="A739">
        <v>17488078</v>
      </c>
      <c r="B739" s="3">
        <v>45659</v>
      </c>
      <c r="C739">
        <v>2025</v>
      </c>
      <c r="D739">
        <v>1</v>
      </c>
      <c r="E739" t="s">
        <v>1579</v>
      </c>
      <c r="F739" t="s">
        <v>0</v>
      </c>
      <c r="G739" t="s">
        <v>10</v>
      </c>
      <c r="H739" t="b">
        <v>0</v>
      </c>
      <c r="I739" t="b">
        <v>0</v>
      </c>
      <c r="J739" t="b">
        <v>0</v>
      </c>
      <c r="K739" t="b">
        <v>0</v>
      </c>
      <c r="L739" t="s">
        <v>2212</v>
      </c>
      <c r="M739" t="s">
        <v>721</v>
      </c>
      <c r="N739" t="s">
        <v>63</v>
      </c>
      <c r="O739" t="b">
        <v>0</v>
      </c>
      <c r="P739">
        <v>12</v>
      </c>
      <c r="Q739" t="s">
        <v>208</v>
      </c>
      <c r="R739" t="s">
        <v>286</v>
      </c>
      <c r="S739">
        <v>48</v>
      </c>
      <c r="T739" t="s">
        <v>5</v>
      </c>
      <c r="U739" t="s">
        <v>210</v>
      </c>
      <c r="V739" t="s">
        <v>5</v>
      </c>
      <c r="W739">
        <v>3</v>
      </c>
      <c r="X739" t="s">
        <v>14</v>
      </c>
      <c r="Y739">
        <v>80</v>
      </c>
      <c r="Z739" t="s">
        <v>67</v>
      </c>
      <c r="AA739" t="s">
        <v>8</v>
      </c>
      <c r="AB739">
        <v>77.11</v>
      </c>
      <c r="AC739" t="s">
        <v>32</v>
      </c>
      <c r="AD739">
        <v>450</v>
      </c>
    </row>
    <row r="740" spans="1:30" x14ac:dyDescent="0.3">
      <c r="A740">
        <v>17492074</v>
      </c>
      <c r="B740" s="3">
        <v>45674</v>
      </c>
      <c r="C740">
        <v>2025</v>
      </c>
      <c r="D740">
        <v>1</v>
      </c>
      <c r="E740" t="s">
        <v>1579</v>
      </c>
      <c r="F740" t="s">
        <v>0</v>
      </c>
      <c r="G740" t="s">
        <v>10</v>
      </c>
      <c r="H740" t="b">
        <v>0</v>
      </c>
      <c r="I740" t="b">
        <v>0</v>
      </c>
      <c r="J740" t="b">
        <v>0</v>
      </c>
      <c r="K740" t="b">
        <v>0</v>
      </c>
      <c r="L740" t="s">
        <v>2213</v>
      </c>
      <c r="M740" t="s">
        <v>708</v>
      </c>
      <c r="N740" t="s">
        <v>5</v>
      </c>
      <c r="O740" t="b">
        <v>0</v>
      </c>
      <c r="P740">
        <v>5</v>
      </c>
      <c r="Q740" t="s">
        <v>1331</v>
      </c>
      <c r="R740" t="s">
        <v>1332</v>
      </c>
      <c r="S740">
        <v>58</v>
      </c>
      <c r="T740" t="s">
        <v>1234</v>
      </c>
      <c r="U740" t="s">
        <v>688</v>
      </c>
      <c r="V740" t="s">
        <v>1100</v>
      </c>
      <c r="W740">
        <v>2</v>
      </c>
      <c r="X740" t="s">
        <v>14</v>
      </c>
      <c r="Y740">
        <v>60</v>
      </c>
      <c r="Z740" t="s">
        <v>7</v>
      </c>
      <c r="AA740" t="s">
        <v>8</v>
      </c>
      <c r="AC740" t="s">
        <v>32</v>
      </c>
      <c r="AD740">
        <v>435</v>
      </c>
    </row>
    <row r="741" spans="1:30" x14ac:dyDescent="0.3">
      <c r="A741">
        <v>17496055</v>
      </c>
      <c r="B741" s="3">
        <v>45688</v>
      </c>
      <c r="C741">
        <v>2025</v>
      </c>
      <c r="D741">
        <v>1</v>
      </c>
      <c r="E741" t="s">
        <v>1579</v>
      </c>
      <c r="F741" t="s">
        <v>0</v>
      </c>
      <c r="G741" t="s">
        <v>1</v>
      </c>
      <c r="H741" t="b">
        <v>0</v>
      </c>
      <c r="I741" t="b">
        <v>1</v>
      </c>
      <c r="J741" t="b">
        <v>0</v>
      </c>
      <c r="K741" t="b">
        <v>0</v>
      </c>
      <c r="L741" t="s">
        <v>1575</v>
      </c>
      <c r="M741" t="s">
        <v>463</v>
      </c>
      <c r="N741" t="s">
        <v>174</v>
      </c>
      <c r="O741" t="b">
        <v>0</v>
      </c>
      <c r="P741">
        <v>48</v>
      </c>
      <c r="Q741" t="s">
        <v>226</v>
      </c>
      <c r="R741" t="s">
        <v>227</v>
      </c>
      <c r="S741" t="s">
        <v>5</v>
      </c>
      <c r="T741" t="s">
        <v>5</v>
      </c>
      <c r="U741" t="s">
        <v>228</v>
      </c>
      <c r="V741" t="s">
        <v>5</v>
      </c>
      <c r="W741">
        <v>45</v>
      </c>
      <c r="X741" t="s">
        <v>6</v>
      </c>
      <c r="Y741">
        <v>51</v>
      </c>
      <c r="Z741" t="s">
        <v>7</v>
      </c>
      <c r="AA741" t="s">
        <v>8</v>
      </c>
      <c r="AB741">
        <v>101</v>
      </c>
      <c r="AC741" t="s">
        <v>9</v>
      </c>
      <c r="AD741">
        <v>421</v>
      </c>
    </row>
    <row r="742" spans="1:30" x14ac:dyDescent="0.3">
      <c r="A742">
        <v>17498872</v>
      </c>
      <c r="B742" s="3">
        <v>45672</v>
      </c>
      <c r="C742">
        <v>2025</v>
      </c>
      <c r="D742">
        <v>1</v>
      </c>
      <c r="E742" t="s">
        <v>1579</v>
      </c>
      <c r="F742" t="s">
        <v>0</v>
      </c>
      <c r="G742" t="s">
        <v>10</v>
      </c>
      <c r="H742" t="b">
        <v>0</v>
      </c>
      <c r="I742" t="b">
        <v>0</v>
      </c>
      <c r="J742" t="b">
        <v>0</v>
      </c>
      <c r="K742" t="b">
        <v>0</v>
      </c>
      <c r="L742" t="s">
        <v>2214</v>
      </c>
      <c r="M742" t="s">
        <v>354</v>
      </c>
      <c r="N742" t="s">
        <v>5</v>
      </c>
      <c r="O742" t="b">
        <v>0</v>
      </c>
      <c r="P742">
        <v>4</v>
      </c>
      <c r="Q742" t="s">
        <v>208</v>
      </c>
      <c r="R742" t="s">
        <v>209</v>
      </c>
      <c r="S742">
        <v>48</v>
      </c>
      <c r="T742" t="s">
        <v>80</v>
      </c>
      <c r="U742" t="s">
        <v>210</v>
      </c>
      <c r="V742" t="s">
        <v>5</v>
      </c>
      <c r="W742">
        <v>2</v>
      </c>
      <c r="X742" t="s">
        <v>14</v>
      </c>
      <c r="Y742">
        <v>77</v>
      </c>
      <c r="Z742" t="s">
        <v>67</v>
      </c>
      <c r="AA742" t="s">
        <v>8</v>
      </c>
      <c r="AC742" t="s">
        <v>32</v>
      </c>
      <c r="AD742">
        <v>437</v>
      </c>
    </row>
    <row r="743" spans="1:30" x14ac:dyDescent="0.3">
      <c r="A743">
        <v>17499972</v>
      </c>
      <c r="B743" s="3">
        <v>45686</v>
      </c>
      <c r="C743">
        <v>2025</v>
      </c>
      <c r="D743">
        <v>1</v>
      </c>
      <c r="E743" t="s">
        <v>1579</v>
      </c>
      <c r="F743" t="s">
        <v>0</v>
      </c>
      <c r="G743" t="s">
        <v>10</v>
      </c>
      <c r="H743" t="b">
        <v>0</v>
      </c>
      <c r="I743" t="b">
        <v>0</v>
      </c>
      <c r="J743" t="b">
        <v>0</v>
      </c>
      <c r="K743" t="b">
        <v>0</v>
      </c>
      <c r="L743" t="s">
        <v>2215</v>
      </c>
      <c r="M743" t="s">
        <v>431</v>
      </c>
      <c r="N743" t="s">
        <v>63</v>
      </c>
      <c r="O743" t="b">
        <v>0</v>
      </c>
      <c r="P743">
        <v>9</v>
      </c>
      <c r="Q743" t="s">
        <v>1153</v>
      </c>
      <c r="R743" t="s">
        <v>1154</v>
      </c>
      <c r="S743">
        <v>58</v>
      </c>
      <c r="T743" t="s">
        <v>597</v>
      </c>
      <c r="U743" t="s">
        <v>1155</v>
      </c>
      <c r="V743" t="s">
        <v>5</v>
      </c>
      <c r="W743">
        <v>2</v>
      </c>
      <c r="X743" t="s">
        <v>14</v>
      </c>
      <c r="Y743">
        <v>46</v>
      </c>
      <c r="Z743" t="s">
        <v>7</v>
      </c>
      <c r="AA743" t="s">
        <v>8</v>
      </c>
      <c r="AC743" t="s">
        <v>9</v>
      </c>
      <c r="AD743">
        <v>423</v>
      </c>
    </row>
    <row r="744" spans="1:30" x14ac:dyDescent="0.3">
      <c r="A744">
        <v>17510300</v>
      </c>
      <c r="B744" s="3">
        <v>45674</v>
      </c>
      <c r="C744">
        <v>2025</v>
      </c>
      <c r="D744">
        <v>1</v>
      </c>
      <c r="E744" t="s">
        <v>1579</v>
      </c>
      <c r="F744" t="s">
        <v>0</v>
      </c>
      <c r="G744" t="s">
        <v>50</v>
      </c>
      <c r="H744" t="b">
        <v>1</v>
      </c>
      <c r="I744" t="b">
        <v>0</v>
      </c>
      <c r="J744" t="b">
        <v>0</v>
      </c>
      <c r="K744" t="b">
        <v>0</v>
      </c>
      <c r="L744" t="s">
        <v>2216</v>
      </c>
      <c r="M744" t="s">
        <v>1066</v>
      </c>
      <c r="N744" t="s">
        <v>57</v>
      </c>
      <c r="O744" t="b">
        <v>1</v>
      </c>
      <c r="P744">
        <v>13</v>
      </c>
      <c r="Q744" t="s">
        <v>528</v>
      </c>
      <c r="R744" t="s">
        <v>529</v>
      </c>
      <c r="S744">
        <v>65</v>
      </c>
      <c r="T744" t="s">
        <v>1214</v>
      </c>
      <c r="U744" t="s">
        <v>531</v>
      </c>
      <c r="V744" t="s">
        <v>392</v>
      </c>
      <c r="W744">
        <v>49</v>
      </c>
      <c r="X744" t="s">
        <v>6</v>
      </c>
      <c r="Y744">
        <v>1.9166666666666601</v>
      </c>
      <c r="Z744" t="s">
        <v>219</v>
      </c>
      <c r="AA744" t="s">
        <v>8</v>
      </c>
      <c r="AC744" t="s">
        <v>9</v>
      </c>
      <c r="AD744">
        <v>435</v>
      </c>
    </row>
    <row r="745" spans="1:30" x14ac:dyDescent="0.3">
      <c r="A745">
        <v>17520714</v>
      </c>
      <c r="B745" s="3">
        <v>45660</v>
      </c>
      <c r="C745">
        <v>2025</v>
      </c>
      <c r="D745">
        <v>1</v>
      </c>
      <c r="E745" t="s">
        <v>1579</v>
      </c>
      <c r="F745" t="s">
        <v>125</v>
      </c>
      <c r="G745" t="s">
        <v>10</v>
      </c>
      <c r="H745" t="b">
        <v>0</v>
      </c>
      <c r="I745" t="b">
        <v>0</v>
      </c>
      <c r="J745" t="b">
        <v>0</v>
      </c>
      <c r="K745" t="b">
        <v>0</v>
      </c>
      <c r="L745" t="s">
        <v>2217</v>
      </c>
      <c r="M745" t="s">
        <v>703</v>
      </c>
      <c r="N745" t="s">
        <v>5</v>
      </c>
      <c r="O745" t="b">
        <v>0</v>
      </c>
      <c r="P745">
        <v>2</v>
      </c>
      <c r="Q745" t="s">
        <v>162</v>
      </c>
      <c r="R745" t="s">
        <v>163</v>
      </c>
      <c r="S745" t="s">
        <v>5</v>
      </c>
      <c r="T745" t="s">
        <v>1203</v>
      </c>
      <c r="U745" t="s">
        <v>88</v>
      </c>
      <c r="V745" t="s">
        <v>89</v>
      </c>
      <c r="W745">
        <v>2</v>
      </c>
      <c r="X745" t="s">
        <v>14</v>
      </c>
      <c r="Y745">
        <v>77</v>
      </c>
      <c r="Z745" t="s">
        <v>67</v>
      </c>
      <c r="AA745" t="s">
        <v>8</v>
      </c>
      <c r="AC745" t="s">
        <v>32</v>
      </c>
      <c r="AD745">
        <v>449</v>
      </c>
    </row>
    <row r="746" spans="1:30" x14ac:dyDescent="0.3">
      <c r="A746">
        <v>17524742</v>
      </c>
      <c r="B746" s="3">
        <v>45687</v>
      </c>
      <c r="C746">
        <v>2025</v>
      </c>
      <c r="D746">
        <v>1</v>
      </c>
      <c r="E746" t="s">
        <v>1579</v>
      </c>
      <c r="F746" t="s">
        <v>0</v>
      </c>
      <c r="G746" t="s">
        <v>10</v>
      </c>
      <c r="H746" t="b">
        <v>0</v>
      </c>
      <c r="I746" t="b">
        <v>0</v>
      </c>
      <c r="J746" t="b">
        <v>0</v>
      </c>
      <c r="K746" t="b">
        <v>0</v>
      </c>
      <c r="L746" t="s">
        <v>2218</v>
      </c>
      <c r="M746" t="s">
        <v>244</v>
      </c>
      <c r="N746" t="s">
        <v>70</v>
      </c>
      <c r="O746" t="b">
        <v>0</v>
      </c>
      <c r="P746">
        <v>25</v>
      </c>
      <c r="Q746" t="s">
        <v>367</v>
      </c>
      <c r="R746" t="s">
        <v>368</v>
      </c>
      <c r="S746">
        <v>40</v>
      </c>
      <c r="T746" t="s">
        <v>60</v>
      </c>
      <c r="U746" t="s">
        <v>81</v>
      </c>
      <c r="V746" t="s">
        <v>82</v>
      </c>
      <c r="W746">
        <v>16</v>
      </c>
      <c r="X746" t="s">
        <v>6</v>
      </c>
      <c r="Y746">
        <v>48</v>
      </c>
      <c r="Z746" t="s">
        <v>7</v>
      </c>
      <c r="AA746" t="s">
        <v>8</v>
      </c>
      <c r="AC746" t="s">
        <v>101</v>
      </c>
      <c r="AD746">
        <v>422</v>
      </c>
    </row>
    <row r="747" spans="1:30" x14ac:dyDescent="0.3">
      <c r="A747">
        <v>17525045</v>
      </c>
      <c r="B747" s="3">
        <v>45687</v>
      </c>
      <c r="C747">
        <v>2025</v>
      </c>
      <c r="D747">
        <v>1</v>
      </c>
      <c r="E747" t="s">
        <v>1579</v>
      </c>
      <c r="F747" t="s">
        <v>0</v>
      </c>
      <c r="G747" t="s">
        <v>10</v>
      </c>
      <c r="H747" t="b">
        <v>0</v>
      </c>
      <c r="I747" t="b">
        <v>0</v>
      </c>
      <c r="J747" t="b">
        <v>0</v>
      </c>
      <c r="K747" t="b">
        <v>0</v>
      </c>
      <c r="L747" t="s">
        <v>2219</v>
      </c>
      <c r="M747" t="s">
        <v>206</v>
      </c>
      <c r="N747" t="s">
        <v>17</v>
      </c>
      <c r="O747" t="b">
        <v>0</v>
      </c>
      <c r="P747">
        <v>24</v>
      </c>
      <c r="Q747" t="s">
        <v>320</v>
      </c>
      <c r="R747" t="s">
        <v>321</v>
      </c>
      <c r="S747">
        <v>58</v>
      </c>
      <c r="T747" t="s">
        <v>237</v>
      </c>
      <c r="U747" t="s">
        <v>4</v>
      </c>
      <c r="V747" t="s">
        <v>322</v>
      </c>
      <c r="W747">
        <v>18</v>
      </c>
      <c r="X747" t="s">
        <v>6</v>
      </c>
      <c r="Y747">
        <v>65</v>
      </c>
      <c r="Z747" t="s">
        <v>7</v>
      </c>
      <c r="AA747" t="s">
        <v>8</v>
      </c>
      <c r="AC747" t="s">
        <v>9</v>
      </c>
      <c r="AD747">
        <v>422</v>
      </c>
    </row>
    <row r="748" spans="1:30" x14ac:dyDescent="0.3">
      <c r="A748">
        <v>17527294</v>
      </c>
      <c r="B748" s="3">
        <v>45674</v>
      </c>
      <c r="C748">
        <v>2025</v>
      </c>
      <c r="D748">
        <v>1</v>
      </c>
      <c r="E748" t="s">
        <v>1579</v>
      </c>
      <c r="F748" t="s">
        <v>0</v>
      </c>
      <c r="G748" t="s">
        <v>10</v>
      </c>
      <c r="H748" t="b">
        <v>0</v>
      </c>
      <c r="I748" t="b">
        <v>0</v>
      </c>
      <c r="J748" t="b">
        <v>0</v>
      </c>
      <c r="K748" t="b">
        <v>0</v>
      </c>
      <c r="L748" t="s">
        <v>2220</v>
      </c>
      <c r="M748" t="s">
        <v>459</v>
      </c>
      <c r="N748" t="s">
        <v>5</v>
      </c>
      <c r="O748" t="b">
        <v>0</v>
      </c>
      <c r="P748">
        <v>4</v>
      </c>
      <c r="Q748" t="s">
        <v>208</v>
      </c>
      <c r="R748" t="s">
        <v>286</v>
      </c>
      <c r="S748">
        <v>48</v>
      </c>
      <c r="T748" t="s">
        <v>5</v>
      </c>
      <c r="U748" t="s">
        <v>210</v>
      </c>
      <c r="V748" t="s">
        <v>5</v>
      </c>
      <c r="W748">
        <v>2</v>
      </c>
      <c r="X748" t="s">
        <v>14</v>
      </c>
      <c r="Y748">
        <v>63</v>
      </c>
      <c r="Z748" t="s">
        <v>7</v>
      </c>
      <c r="AA748" t="s">
        <v>15</v>
      </c>
      <c r="AC748" t="s">
        <v>32</v>
      </c>
      <c r="AD748">
        <v>435</v>
      </c>
    </row>
    <row r="749" spans="1:30" x14ac:dyDescent="0.3">
      <c r="A749">
        <v>17532065</v>
      </c>
      <c r="B749" s="3">
        <v>45677</v>
      </c>
      <c r="C749">
        <v>2025</v>
      </c>
      <c r="D749">
        <v>1</v>
      </c>
      <c r="E749" t="s">
        <v>1579</v>
      </c>
      <c r="F749" t="s">
        <v>0</v>
      </c>
      <c r="G749" t="s">
        <v>10</v>
      </c>
      <c r="H749" t="b">
        <v>0</v>
      </c>
      <c r="I749" t="b">
        <v>0</v>
      </c>
      <c r="J749" t="b">
        <v>0</v>
      </c>
      <c r="K749" t="b">
        <v>0</v>
      </c>
      <c r="L749" t="s">
        <v>2221</v>
      </c>
      <c r="M749" t="s">
        <v>534</v>
      </c>
      <c r="N749" t="s">
        <v>63</v>
      </c>
      <c r="O749" t="b">
        <v>0</v>
      </c>
      <c r="P749">
        <v>12</v>
      </c>
      <c r="Q749" t="s">
        <v>787</v>
      </c>
      <c r="R749" t="s">
        <v>788</v>
      </c>
      <c r="S749">
        <v>48</v>
      </c>
      <c r="T749" t="s">
        <v>105</v>
      </c>
      <c r="U749" t="s">
        <v>789</v>
      </c>
      <c r="V749" t="s">
        <v>5</v>
      </c>
      <c r="W749">
        <v>13</v>
      </c>
      <c r="X749" t="s">
        <v>6</v>
      </c>
      <c r="Y749">
        <v>52</v>
      </c>
      <c r="Z749" t="s">
        <v>7</v>
      </c>
      <c r="AA749" t="s">
        <v>15</v>
      </c>
      <c r="AC749" t="s">
        <v>32</v>
      </c>
      <c r="AD749">
        <v>432</v>
      </c>
    </row>
    <row r="750" spans="1:30" x14ac:dyDescent="0.3">
      <c r="A750">
        <v>17536382</v>
      </c>
      <c r="B750" s="3">
        <v>45687</v>
      </c>
      <c r="C750">
        <v>2025</v>
      </c>
      <c r="D750">
        <v>1</v>
      </c>
      <c r="E750" t="s">
        <v>1579</v>
      </c>
      <c r="F750" t="s">
        <v>0</v>
      </c>
      <c r="G750" t="s">
        <v>562</v>
      </c>
      <c r="H750" t="b">
        <v>0</v>
      </c>
      <c r="I750" t="b">
        <v>0</v>
      </c>
      <c r="J750" t="b">
        <v>0</v>
      </c>
      <c r="K750" t="b">
        <v>0</v>
      </c>
      <c r="L750" t="s">
        <v>2222</v>
      </c>
      <c r="M750" t="s">
        <v>1192</v>
      </c>
      <c r="N750" t="s">
        <v>5</v>
      </c>
      <c r="O750" t="b">
        <v>0</v>
      </c>
      <c r="P750">
        <v>3</v>
      </c>
      <c r="Q750" t="s">
        <v>328</v>
      </c>
      <c r="R750" t="s">
        <v>329</v>
      </c>
      <c r="S750">
        <v>64</v>
      </c>
      <c r="T750" t="s">
        <v>83</v>
      </c>
      <c r="U750" t="s">
        <v>330</v>
      </c>
      <c r="V750" t="s">
        <v>331</v>
      </c>
      <c r="W750">
        <v>1</v>
      </c>
      <c r="X750" t="s">
        <v>31</v>
      </c>
      <c r="Z750" t="s">
        <v>5</v>
      </c>
      <c r="AA750" t="s">
        <v>5</v>
      </c>
      <c r="AC750" t="s">
        <v>395</v>
      </c>
      <c r="AD750">
        <v>422</v>
      </c>
    </row>
    <row r="751" spans="1:30" x14ac:dyDescent="0.3">
      <c r="A751">
        <v>17539419</v>
      </c>
      <c r="B751" s="3">
        <v>45665</v>
      </c>
      <c r="C751">
        <v>2025</v>
      </c>
      <c r="D751">
        <v>1</v>
      </c>
      <c r="E751" t="s">
        <v>1579</v>
      </c>
      <c r="F751" t="s">
        <v>125</v>
      </c>
      <c r="G751" t="s">
        <v>10</v>
      </c>
      <c r="H751" t="b">
        <v>0</v>
      </c>
      <c r="I751" t="b">
        <v>0</v>
      </c>
      <c r="J751" t="b">
        <v>0</v>
      </c>
      <c r="K751" t="b">
        <v>0</v>
      </c>
      <c r="L751" t="s">
        <v>870</v>
      </c>
      <c r="M751" t="s">
        <v>870</v>
      </c>
      <c r="N751" t="s">
        <v>12</v>
      </c>
      <c r="O751" t="b">
        <v>1</v>
      </c>
      <c r="P751">
        <v>1</v>
      </c>
      <c r="Q751" t="s">
        <v>208</v>
      </c>
      <c r="R751" t="s">
        <v>286</v>
      </c>
      <c r="S751">
        <v>48</v>
      </c>
      <c r="T751" t="s">
        <v>237</v>
      </c>
      <c r="U751" t="s">
        <v>210</v>
      </c>
      <c r="V751" t="s">
        <v>5</v>
      </c>
      <c r="W751">
        <v>3</v>
      </c>
      <c r="X751" t="s">
        <v>14</v>
      </c>
      <c r="Y751">
        <v>33</v>
      </c>
      <c r="Z751" t="s">
        <v>61</v>
      </c>
      <c r="AA751" t="s">
        <v>8</v>
      </c>
      <c r="AC751" t="s">
        <v>32</v>
      </c>
      <c r="AD751">
        <v>444</v>
      </c>
    </row>
    <row r="752" spans="1:30" x14ac:dyDescent="0.3">
      <c r="A752">
        <v>17544437</v>
      </c>
      <c r="B752" s="3">
        <v>45674</v>
      </c>
      <c r="C752">
        <v>2025</v>
      </c>
      <c r="D752">
        <v>1</v>
      </c>
      <c r="E752" t="s">
        <v>1579</v>
      </c>
      <c r="F752" t="s">
        <v>0</v>
      </c>
      <c r="G752" t="s">
        <v>384</v>
      </c>
      <c r="H752" t="b">
        <v>1</v>
      </c>
      <c r="I752" t="b">
        <v>1</v>
      </c>
      <c r="J752" t="b">
        <v>1</v>
      </c>
      <c r="K752" t="b">
        <v>0</v>
      </c>
      <c r="L752" t="s">
        <v>2223</v>
      </c>
      <c r="M752" t="s">
        <v>145</v>
      </c>
      <c r="N752" t="s">
        <v>2</v>
      </c>
      <c r="O752" t="b">
        <v>1</v>
      </c>
      <c r="P752">
        <v>12</v>
      </c>
      <c r="Q752" t="s">
        <v>699</v>
      </c>
      <c r="R752" t="s">
        <v>700</v>
      </c>
      <c r="S752">
        <v>48</v>
      </c>
      <c r="T752" t="s">
        <v>530</v>
      </c>
      <c r="U752" t="s">
        <v>701</v>
      </c>
      <c r="V752" t="s">
        <v>702</v>
      </c>
      <c r="W752">
        <v>6</v>
      </c>
      <c r="X752" t="s">
        <v>6</v>
      </c>
      <c r="Y752">
        <v>72</v>
      </c>
      <c r="Z752" t="s">
        <v>67</v>
      </c>
      <c r="AA752" t="s">
        <v>15</v>
      </c>
      <c r="AB752">
        <v>57.8</v>
      </c>
      <c r="AC752" t="s">
        <v>101</v>
      </c>
      <c r="AD752">
        <v>435</v>
      </c>
    </row>
    <row r="753" spans="1:30" x14ac:dyDescent="0.3">
      <c r="A753">
        <v>17546644</v>
      </c>
      <c r="B753" s="3">
        <v>45684</v>
      </c>
      <c r="C753">
        <v>2025</v>
      </c>
      <c r="D753">
        <v>1</v>
      </c>
      <c r="E753" t="s">
        <v>1579</v>
      </c>
      <c r="F753" t="s">
        <v>125</v>
      </c>
      <c r="G753" t="s">
        <v>10</v>
      </c>
      <c r="H753" t="b">
        <v>0</v>
      </c>
      <c r="I753" t="b">
        <v>0</v>
      </c>
      <c r="J753" t="b">
        <v>0</v>
      </c>
      <c r="K753" t="b">
        <v>0</v>
      </c>
      <c r="L753" t="s">
        <v>1104</v>
      </c>
      <c r="M753" t="s">
        <v>1104</v>
      </c>
      <c r="N753" t="s">
        <v>5</v>
      </c>
      <c r="O753" t="b">
        <v>0</v>
      </c>
      <c r="P753">
        <v>1</v>
      </c>
      <c r="Q753" t="s">
        <v>455</v>
      </c>
      <c r="R753" t="s">
        <v>456</v>
      </c>
      <c r="S753">
        <v>58</v>
      </c>
      <c r="T753" t="s">
        <v>457</v>
      </c>
      <c r="U753" t="s">
        <v>23</v>
      </c>
      <c r="V753" t="s">
        <v>458</v>
      </c>
      <c r="W753">
        <v>3</v>
      </c>
      <c r="X753" t="s">
        <v>14</v>
      </c>
      <c r="Z753" t="s">
        <v>5</v>
      </c>
      <c r="AA753" t="s">
        <v>8</v>
      </c>
      <c r="AC753" t="s">
        <v>32</v>
      </c>
      <c r="AD753">
        <v>425</v>
      </c>
    </row>
    <row r="754" spans="1:30" x14ac:dyDescent="0.3">
      <c r="A754">
        <v>17554129</v>
      </c>
      <c r="B754" s="3">
        <v>45685</v>
      </c>
      <c r="C754">
        <v>2025</v>
      </c>
      <c r="D754">
        <v>1</v>
      </c>
      <c r="E754" t="s">
        <v>1579</v>
      </c>
      <c r="F754" t="s">
        <v>0</v>
      </c>
      <c r="G754" t="s">
        <v>10</v>
      </c>
      <c r="H754" t="b">
        <v>0</v>
      </c>
      <c r="I754" t="b">
        <v>0</v>
      </c>
      <c r="J754" t="b">
        <v>0</v>
      </c>
      <c r="K754" t="b">
        <v>0</v>
      </c>
      <c r="L754" t="s">
        <v>2224</v>
      </c>
      <c r="M754" t="s">
        <v>677</v>
      </c>
      <c r="N754" t="s">
        <v>5</v>
      </c>
      <c r="O754" t="b">
        <v>0</v>
      </c>
      <c r="P754">
        <v>20</v>
      </c>
      <c r="Q754" t="s">
        <v>630</v>
      </c>
      <c r="R754" t="s">
        <v>5</v>
      </c>
      <c r="S754" t="s">
        <v>5</v>
      </c>
      <c r="T754" t="s">
        <v>664</v>
      </c>
      <c r="U754" t="s">
        <v>5</v>
      </c>
      <c r="V754" t="s">
        <v>5</v>
      </c>
      <c r="W754">
        <v>7</v>
      </c>
      <c r="X754" t="s">
        <v>6</v>
      </c>
      <c r="Z754" t="s">
        <v>5</v>
      </c>
      <c r="AA754" t="s">
        <v>8</v>
      </c>
      <c r="AC754" t="s">
        <v>32</v>
      </c>
      <c r="AD754">
        <v>424</v>
      </c>
    </row>
    <row r="755" spans="1:30" x14ac:dyDescent="0.3">
      <c r="A755">
        <v>17554721</v>
      </c>
      <c r="B755" s="3">
        <v>45678</v>
      </c>
      <c r="C755">
        <v>2025</v>
      </c>
      <c r="D755">
        <v>1</v>
      </c>
      <c r="E755" t="s">
        <v>1579</v>
      </c>
      <c r="F755" t="s">
        <v>0</v>
      </c>
      <c r="G755" t="s">
        <v>10</v>
      </c>
      <c r="H755" t="b">
        <v>0</v>
      </c>
      <c r="I755" t="b">
        <v>0</v>
      </c>
      <c r="J755" t="b">
        <v>0</v>
      </c>
      <c r="K755" t="b">
        <v>0</v>
      </c>
      <c r="L755" t="s">
        <v>2225</v>
      </c>
      <c r="M755" t="s">
        <v>278</v>
      </c>
      <c r="N755" t="s">
        <v>57</v>
      </c>
      <c r="O755" t="b">
        <v>1</v>
      </c>
      <c r="P755">
        <v>4</v>
      </c>
      <c r="Q755" t="s">
        <v>1382</v>
      </c>
      <c r="R755" t="s">
        <v>1383</v>
      </c>
      <c r="S755">
        <v>65</v>
      </c>
      <c r="T755" t="s">
        <v>705</v>
      </c>
      <c r="U755" t="s">
        <v>1384</v>
      </c>
      <c r="V755" t="s">
        <v>5</v>
      </c>
      <c r="W755">
        <v>3</v>
      </c>
      <c r="X755" t="s">
        <v>14</v>
      </c>
      <c r="Y755">
        <v>75</v>
      </c>
      <c r="Z755" t="s">
        <v>67</v>
      </c>
      <c r="AA755" t="s">
        <v>8</v>
      </c>
      <c r="AC755" t="s">
        <v>116</v>
      </c>
      <c r="AD755">
        <v>431</v>
      </c>
    </row>
    <row r="756" spans="1:30" x14ac:dyDescent="0.3">
      <c r="A756">
        <v>17554838</v>
      </c>
      <c r="B756" s="3">
        <v>45674</v>
      </c>
      <c r="C756">
        <v>2025</v>
      </c>
      <c r="D756">
        <v>1</v>
      </c>
      <c r="E756" t="s">
        <v>1579</v>
      </c>
      <c r="F756" t="s">
        <v>0</v>
      </c>
      <c r="G756" t="s">
        <v>1</v>
      </c>
      <c r="H756" t="b">
        <v>0</v>
      </c>
      <c r="I756" t="b">
        <v>1</v>
      </c>
      <c r="J756" t="b">
        <v>0</v>
      </c>
      <c r="K756" t="b">
        <v>0</v>
      </c>
      <c r="L756" t="s">
        <v>2226</v>
      </c>
      <c r="M756" t="s">
        <v>459</v>
      </c>
      <c r="N756" t="s">
        <v>17</v>
      </c>
      <c r="O756" t="b">
        <v>0</v>
      </c>
      <c r="P756">
        <v>6</v>
      </c>
      <c r="Q756" t="s">
        <v>208</v>
      </c>
      <c r="R756" t="s">
        <v>286</v>
      </c>
      <c r="S756">
        <v>48</v>
      </c>
      <c r="T756" t="s">
        <v>80</v>
      </c>
      <c r="U756" t="s">
        <v>210</v>
      </c>
      <c r="V756" t="s">
        <v>5</v>
      </c>
      <c r="W756">
        <v>8</v>
      </c>
      <c r="X756" t="s">
        <v>6</v>
      </c>
      <c r="Y756">
        <v>43</v>
      </c>
      <c r="Z756" t="s">
        <v>7</v>
      </c>
      <c r="AA756" t="s">
        <v>8</v>
      </c>
      <c r="AB756">
        <v>111</v>
      </c>
      <c r="AC756" t="s">
        <v>32</v>
      </c>
      <c r="AD756">
        <v>435</v>
      </c>
    </row>
    <row r="757" spans="1:30" x14ac:dyDescent="0.3">
      <c r="A757">
        <v>17559330</v>
      </c>
      <c r="B757" s="3">
        <v>45675</v>
      </c>
      <c r="C757">
        <v>2025</v>
      </c>
      <c r="D757">
        <v>1</v>
      </c>
      <c r="E757" t="s">
        <v>1579</v>
      </c>
      <c r="F757" t="s">
        <v>125</v>
      </c>
      <c r="G757" t="s">
        <v>10</v>
      </c>
      <c r="H757" t="b">
        <v>0</v>
      </c>
      <c r="I757" t="b">
        <v>0</v>
      </c>
      <c r="J757" t="b">
        <v>0</v>
      </c>
      <c r="K757" t="b">
        <v>0</v>
      </c>
      <c r="L757" t="s">
        <v>2227</v>
      </c>
      <c r="M757" t="s">
        <v>244</v>
      </c>
      <c r="N757" t="s">
        <v>70</v>
      </c>
      <c r="O757" t="b">
        <v>0</v>
      </c>
      <c r="P757">
        <v>23</v>
      </c>
      <c r="Q757" t="s">
        <v>367</v>
      </c>
      <c r="R757" t="s">
        <v>368</v>
      </c>
      <c r="S757">
        <v>42</v>
      </c>
      <c r="T757" t="s">
        <v>60</v>
      </c>
      <c r="U757" t="s">
        <v>81</v>
      </c>
      <c r="V757" t="s">
        <v>82</v>
      </c>
      <c r="W757">
        <v>8</v>
      </c>
      <c r="X757" t="s">
        <v>6</v>
      </c>
      <c r="Y757">
        <v>26</v>
      </c>
      <c r="Z757" t="s">
        <v>61</v>
      </c>
      <c r="AA757" t="s">
        <v>8</v>
      </c>
      <c r="AB757">
        <v>71.5</v>
      </c>
      <c r="AC757" t="s">
        <v>101</v>
      </c>
      <c r="AD757">
        <v>434</v>
      </c>
    </row>
    <row r="758" spans="1:30" x14ac:dyDescent="0.3">
      <c r="A758">
        <v>17559477</v>
      </c>
      <c r="B758" s="3">
        <v>45685</v>
      </c>
      <c r="C758">
        <v>2025</v>
      </c>
      <c r="D758">
        <v>1</v>
      </c>
      <c r="E758" t="s">
        <v>1579</v>
      </c>
      <c r="F758" t="s">
        <v>0</v>
      </c>
      <c r="G758" t="s">
        <v>10</v>
      </c>
      <c r="H758" t="b">
        <v>0</v>
      </c>
      <c r="I758" t="b">
        <v>0</v>
      </c>
      <c r="J758" t="b">
        <v>0</v>
      </c>
      <c r="K758" t="b">
        <v>0</v>
      </c>
      <c r="L758" t="s">
        <v>2228</v>
      </c>
      <c r="M758" t="s">
        <v>534</v>
      </c>
      <c r="N758" t="s">
        <v>63</v>
      </c>
      <c r="O758" t="b">
        <v>0</v>
      </c>
      <c r="P758">
        <v>10</v>
      </c>
      <c r="Q758" t="s">
        <v>787</v>
      </c>
      <c r="R758" t="s">
        <v>788</v>
      </c>
      <c r="S758">
        <v>48</v>
      </c>
      <c r="T758" t="s">
        <v>105</v>
      </c>
      <c r="U758" t="s">
        <v>789</v>
      </c>
      <c r="V758" t="s">
        <v>5</v>
      </c>
      <c r="W758">
        <v>5</v>
      </c>
      <c r="X758" t="s">
        <v>40</v>
      </c>
      <c r="Y758">
        <v>45</v>
      </c>
      <c r="Z758" t="s">
        <v>7</v>
      </c>
      <c r="AA758" t="s">
        <v>15</v>
      </c>
      <c r="AC758" t="s">
        <v>32</v>
      </c>
      <c r="AD758">
        <v>424</v>
      </c>
    </row>
    <row r="759" spans="1:30" x14ac:dyDescent="0.3">
      <c r="A759">
        <v>17563280</v>
      </c>
      <c r="B759" s="3">
        <v>45681</v>
      </c>
      <c r="C759">
        <v>2025</v>
      </c>
      <c r="D759">
        <v>1</v>
      </c>
      <c r="E759" t="s">
        <v>1579</v>
      </c>
      <c r="F759" t="s">
        <v>0</v>
      </c>
      <c r="G759" t="s">
        <v>10</v>
      </c>
      <c r="H759" t="b">
        <v>0</v>
      </c>
      <c r="I759" t="b">
        <v>0</v>
      </c>
      <c r="J759" t="b">
        <v>0</v>
      </c>
      <c r="K759" t="b">
        <v>0</v>
      </c>
      <c r="L759" t="s">
        <v>2229</v>
      </c>
      <c r="M759" t="s">
        <v>534</v>
      </c>
      <c r="N759" t="s">
        <v>63</v>
      </c>
      <c r="O759" t="b">
        <v>0</v>
      </c>
      <c r="P759">
        <v>7</v>
      </c>
      <c r="Q759" t="s">
        <v>786</v>
      </c>
      <c r="R759" t="s">
        <v>5</v>
      </c>
      <c r="S759">
        <v>48</v>
      </c>
      <c r="T759" t="s">
        <v>105</v>
      </c>
      <c r="U759" t="s">
        <v>5</v>
      </c>
      <c r="V759" t="s">
        <v>5</v>
      </c>
      <c r="W759">
        <v>8</v>
      </c>
      <c r="X759" t="s">
        <v>6</v>
      </c>
      <c r="Y759">
        <v>55</v>
      </c>
      <c r="Z759" t="s">
        <v>7</v>
      </c>
      <c r="AA759" t="s">
        <v>8</v>
      </c>
      <c r="AC759" t="s">
        <v>32</v>
      </c>
      <c r="AD759">
        <v>428</v>
      </c>
    </row>
    <row r="760" spans="1:30" x14ac:dyDescent="0.3">
      <c r="A760">
        <v>17565594</v>
      </c>
      <c r="B760" s="3">
        <v>45666</v>
      </c>
      <c r="C760">
        <v>2025</v>
      </c>
      <c r="D760">
        <v>1</v>
      </c>
      <c r="E760" t="s">
        <v>1579</v>
      </c>
      <c r="F760" t="s">
        <v>125</v>
      </c>
      <c r="G760" t="s">
        <v>10</v>
      </c>
      <c r="H760" t="b">
        <v>0</v>
      </c>
      <c r="I760" t="b">
        <v>0</v>
      </c>
      <c r="J760" t="b">
        <v>0</v>
      </c>
      <c r="K760" t="b">
        <v>0</v>
      </c>
      <c r="L760" t="s">
        <v>2230</v>
      </c>
      <c r="M760" t="s">
        <v>241</v>
      </c>
      <c r="N760" t="s">
        <v>17</v>
      </c>
      <c r="O760" t="b">
        <v>0</v>
      </c>
      <c r="P760">
        <v>11</v>
      </c>
      <c r="Q760" t="s">
        <v>510</v>
      </c>
      <c r="R760" t="s">
        <v>847</v>
      </c>
      <c r="S760">
        <v>48</v>
      </c>
      <c r="T760" t="s">
        <v>74</v>
      </c>
      <c r="U760" t="s">
        <v>29</v>
      </c>
      <c r="V760" t="s">
        <v>514</v>
      </c>
      <c r="W760">
        <v>1</v>
      </c>
      <c r="X760" t="s">
        <v>31</v>
      </c>
      <c r="Y760">
        <v>70</v>
      </c>
      <c r="Z760" t="s">
        <v>67</v>
      </c>
      <c r="AA760" t="s">
        <v>8</v>
      </c>
      <c r="AB760">
        <v>68.489999999999995</v>
      </c>
      <c r="AC760" t="s">
        <v>32</v>
      </c>
      <c r="AD760">
        <v>443</v>
      </c>
    </row>
    <row r="761" spans="1:30" x14ac:dyDescent="0.3">
      <c r="A761">
        <v>17566639</v>
      </c>
      <c r="B761" s="3">
        <v>45688</v>
      </c>
      <c r="C761">
        <v>2025</v>
      </c>
      <c r="D761">
        <v>1</v>
      </c>
      <c r="E761" t="s">
        <v>1579</v>
      </c>
      <c r="F761" t="s">
        <v>0</v>
      </c>
      <c r="G761" t="s">
        <v>1</v>
      </c>
      <c r="H761" t="b">
        <v>0</v>
      </c>
      <c r="I761" t="b">
        <v>1</v>
      </c>
      <c r="J761" t="b">
        <v>0</v>
      </c>
      <c r="K761" t="b">
        <v>0</v>
      </c>
      <c r="L761" t="s">
        <v>2231</v>
      </c>
      <c r="M761" t="s">
        <v>1226</v>
      </c>
      <c r="N761" t="s">
        <v>5</v>
      </c>
      <c r="O761" t="b">
        <v>0</v>
      </c>
      <c r="P761">
        <v>5</v>
      </c>
      <c r="Q761" t="s">
        <v>853</v>
      </c>
      <c r="R761" t="s">
        <v>854</v>
      </c>
      <c r="S761">
        <v>58</v>
      </c>
      <c r="T761" t="s">
        <v>855</v>
      </c>
      <c r="U761" t="s">
        <v>834</v>
      </c>
      <c r="V761" t="s">
        <v>5</v>
      </c>
      <c r="W761">
        <v>7</v>
      </c>
      <c r="X761" t="s">
        <v>6</v>
      </c>
      <c r="Z761" t="s">
        <v>5</v>
      </c>
      <c r="AA761" t="s">
        <v>5</v>
      </c>
      <c r="AC761" t="s">
        <v>32</v>
      </c>
      <c r="AD761">
        <v>421</v>
      </c>
    </row>
    <row r="762" spans="1:30" x14ac:dyDescent="0.3">
      <c r="A762">
        <v>17574398</v>
      </c>
      <c r="B762" s="3">
        <v>45667</v>
      </c>
      <c r="C762">
        <v>2025</v>
      </c>
      <c r="D762">
        <v>1</v>
      </c>
      <c r="E762" t="s">
        <v>1579</v>
      </c>
      <c r="F762" t="s">
        <v>125</v>
      </c>
      <c r="G762" t="s">
        <v>10</v>
      </c>
      <c r="H762" t="b">
        <v>0</v>
      </c>
      <c r="I762" t="b">
        <v>0</v>
      </c>
      <c r="J762" t="b">
        <v>0</v>
      </c>
      <c r="K762" t="b">
        <v>0</v>
      </c>
      <c r="L762" t="s">
        <v>2232</v>
      </c>
      <c r="M762" t="s">
        <v>126</v>
      </c>
      <c r="N762" t="s">
        <v>5</v>
      </c>
      <c r="O762" t="b">
        <v>0</v>
      </c>
      <c r="P762">
        <v>3</v>
      </c>
      <c r="Q762" t="s">
        <v>175</v>
      </c>
      <c r="R762" t="s">
        <v>176</v>
      </c>
      <c r="S762">
        <v>50</v>
      </c>
      <c r="T762" t="s">
        <v>150</v>
      </c>
      <c r="U762" t="s">
        <v>177</v>
      </c>
      <c r="V762" t="s">
        <v>178</v>
      </c>
      <c r="W762">
        <v>13</v>
      </c>
      <c r="X762" t="s">
        <v>6</v>
      </c>
      <c r="Z762" t="s">
        <v>5</v>
      </c>
      <c r="AA762" t="s">
        <v>8</v>
      </c>
      <c r="AC762" t="s">
        <v>32</v>
      </c>
      <c r="AD762">
        <v>442</v>
      </c>
    </row>
    <row r="763" spans="1:30" x14ac:dyDescent="0.3">
      <c r="A763">
        <v>17578414</v>
      </c>
      <c r="B763" s="3">
        <v>45685</v>
      </c>
      <c r="C763">
        <v>2025</v>
      </c>
      <c r="D763">
        <v>1</v>
      </c>
      <c r="E763" t="s">
        <v>1579</v>
      </c>
      <c r="F763" t="s">
        <v>0</v>
      </c>
      <c r="G763" t="s">
        <v>10</v>
      </c>
      <c r="H763" t="b">
        <v>0</v>
      </c>
      <c r="I763" t="b">
        <v>0</v>
      </c>
      <c r="J763" t="b">
        <v>0</v>
      </c>
      <c r="K763" t="b">
        <v>0</v>
      </c>
      <c r="L763" t="s">
        <v>2233</v>
      </c>
      <c r="M763" t="s">
        <v>1266</v>
      </c>
      <c r="N763" t="s">
        <v>118</v>
      </c>
      <c r="O763" t="b">
        <v>0</v>
      </c>
      <c r="P763">
        <v>13</v>
      </c>
      <c r="Q763" t="s">
        <v>611</v>
      </c>
      <c r="R763" t="s">
        <v>612</v>
      </c>
      <c r="S763">
        <v>42</v>
      </c>
      <c r="T763" t="s">
        <v>291</v>
      </c>
      <c r="U763" t="s">
        <v>29</v>
      </c>
      <c r="V763" t="s">
        <v>130</v>
      </c>
      <c r="W763">
        <v>36</v>
      </c>
      <c r="X763" t="s">
        <v>6</v>
      </c>
      <c r="Z763" t="s">
        <v>5</v>
      </c>
      <c r="AA763" t="s">
        <v>5</v>
      </c>
      <c r="AC763" t="s">
        <v>9</v>
      </c>
      <c r="AD763">
        <v>424</v>
      </c>
    </row>
    <row r="764" spans="1:30" x14ac:dyDescent="0.3">
      <c r="A764">
        <v>17580131</v>
      </c>
      <c r="B764" s="3">
        <v>45673</v>
      </c>
      <c r="C764">
        <v>2025</v>
      </c>
      <c r="D764">
        <v>1</v>
      </c>
      <c r="E764" t="s">
        <v>1579</v>
      </c>
      <c r="F764" t="s">
        <v>125</v>
      </c>
      <c r="G764" t="s">
        <v>10</v>
      </c>
      <c r="H764" t="b">
        <v>0</v>
      </c>
      <c r="I764" t="b">
        <v>0</v>
      </c>
      <c r="J764" t="b">
        <v>0</v>
      </c>
      <c r="K764" t="b">
        <v>0</v>
      </c>
      <c r="L764" t="s">
        <v>2234</v>
      </c>
      <c r="M764" t="s">
        <v>241</v>
      </c>
      <c r="N764" t="s">
        <v>57</v>
      </c>
      <c r="O764" t="b">
        <v>1</v>
      </c>
      <c r="P764">
        <v>3</v>
      </c>
      <c r="Q764" t="s">
        <v>510</v>
      </c>
      <c r="R764" t="s">
        <v>511</v>
      </c>
      <c r="S764" t="s">
        <v>5</v>
      </c>
      <c r="T764" t="s">
        <v>74</v>
      </c>
      <c r="U764" t="s">
        <v>513</v>
      </c>
      <c r="V764" t="s">
        <v>514</v>
      </c>
      <c r="W764">
        <v>1</v>
      </c>
      <c r="X764" t="s">
        <v>31</v>
      </c>
      <c r="Y764">
        <v>70</v>
      </c>
      <c r="Z764" t="s">
        <v>67</v>
      </c>
      <c r="AA764" t="s">
        <v>8</v>
      </c>
      <c r="AB764">
        <v>68.489999999999995</v>
      </c>
      <c r="AC764" t="s">
        <v>32</v>
      </c>
      <c r="AD764">
        <v>436</v>
      </c>
    </row>
    <row r="765" spans="1:30" x14ac:dyDescent="0.3">
      <c r="A765">
        <v>17586686</v>
      </c>
      <c r="B765" s="3">
        <v>45670</v>
      </c>
      <c r="C765">
        <v>2025</v>
      </c>
      <c r="D765">
        <v>1</v>
      </c>
      <c r="E765" t="s">
        <v>1579</v>
      </c>
      <c r="F765" t="s">
        <v>0</v>
      </c>
      <c r="G765" t="s">
        <v>10</v>
      </c>
      <c r="H765" t="b">
        <v>0</v>
      </c>
      <c r="I765" t="b">
        <v>0</v>
      </c>
      <c r="J765" t="b">
        <v>0</v>
      </c>
      <c r="K765" t="b">
        <v>0</v>
      </c>
      <c r="L765" t="s">
        <v>2235</v>
      </c>
      <c r="M765" t="s">
        <v>858</v>
      </c>
      <c r="N765" t="s">
        <v>5</v>
      </c>
      <c r="O765" t="b">
        <v>0</v>
      </c>
      <c r="P765">
        <v>27</v>
      </c>
      <c r="Q765" t="s">
        <v>630</v>
      </c>
      <c r="R765" t="s">
        <v>5</v>
      </c>
      <c r="S765" t="s">
        <v>5</v>
      </c>
      <c r="T765" t="s">
        <v>590</v>
      </c>
      <c r="U765" t="s">
        <v>5</v>
      </c>
      <c r="V765" t="s">
        <v>5</v>
      </c>
      <c r="W765">
        <v>31</v>
      </c>
      <c r="X765" t="s">
        <v>6</v>
      </c>
      <c r="Z765" t="s">
        <v>5</v>
      </c>
      <c r="AA765" t="s">
        <v>8</v>
      </c>
      <c r="AB765">
        <v>83</v>
      </c>
      <c r="AC765" t="s">
        <v>32</v>
      </c>
      <c r="AD765">
        <v>439</v>
      </c>
    </row>
    <row r="766" spans="1:30" x14ac:dyDescent="0.3">
      <c r="A766">
        <v>17587360</v>
      </c>
      <c r="B766" s="3">
        <v>45687</v>
      </c>
      <c r="C766">
        <v>2025</v>
      </c>
      <c r="D766">
        <v>1</v>
      </c>
      <c r="E766" t="s">
        <v>1579</v>
      </c>
      <c r="F766" t="s">
        <v>0</v>
      </c>
      <c r="G766" t="s">
        <v>50</v>
      </c>
      <c r="H766" t="b">
        <v>1</v>
      </c>
      <c r="I766" t="b">
        <v>0</v>
      </c>
      <c r="J766" t="b">
        <v>0</v>
      </c>
      <c r="K766" t="b">
        <v>0</v>
      </c>
      <c r="L766" t="s">
        <v>2236</v>
      </c>
      <c r="M766" t="s">
        <v>267</v>
      </c>
      <c r="N766" t="s">
        <v>70</v>
      </c>
      <c r="O766" t="b">
        <v>0</v>
      </c>
      <c r="P766">
        <v>8</v>
      </c>
      <c r="Q766" t="s">
        <v>222</v>
      </c>
      <c r="R766" t="s">
        <v>223</v>
      </c>
      <c r="S766">
        <v>48</v>
      </c>
      <c r="T766" t="s">
        <v>1444</v>
      </c>
      <c r="U766" t="s">
        <v>224</v>
      </c>
      <c r="V766" t="s">
        <v>38</v>
      </c>
      <c r="W766">
        <v>12</v>
      </c>
      <c r="X766" t="s">
        <v>6</v>
      </c>
      <c r="Y766">
        <v>26</v>
      </c>
      <c r="Z766" t="s">
        <v>61</v>
      </c>
      <c r="AA766" t="s">
        <v>15</v>
      </c>
      <c r="AB766">
        <v>85</v>
      </c>
      <c r="AC766" t="s">
        <v>101</v>
      </c>
      <c r="AD766">
        <v>422</v>
      </c>
    </row>
    <row r="767" spans="1:30" x14ac:dyDescent="0.3">
      <c r="A767">
        <v>17598838</v>
      </c>
      <c r="B767" s="3">
        <v>45667</v>
      </c>
      <c r="C767">
        <v>2025</v>
      </c>
      <c r="D767">
        <v>1</v>
      </c>
      <c r="E767" t="s">
        <v>1579</v>
      </c>
      <c r="F767" t="s">
        <v>125</v>
      </c>
      <c r="G767" t="s">
        <v>10</v>
      </c>
      <c r="H767" t="b">
        <v>0</v>
      </c>
      <c r="I767" t="b">
        <v>0</v>
      </c>
      <c r="J767" t="b">
        <v>0</v>
      </c>
      <c r="K767" t="b">
        <v>0</v>
      </c>
      <c r="L767" t="s">
        <v>2237</v>
      </c>
      <c r="M767" t="s">
        <v>1184</v>
      </c>
      <c r="N767" t="s">
        <v>5</v>
      </c>
      <c r="O767" t="b">
        <v>0</v>
      </c>
      <c r="P767">
        <v>4</v>
      </c>
      <c r="Q767" t="s">
        <v>208</v>
      </c>
      <c r="R767" t="s">
        <v>286</v>
      </c>
      <c r="S767" t="s">
        <v>5</v>
      </c>
      <c r="T767" t="s">
        <v>5</v>
      </c>
      <c r="U767" t="s">
        <v>210</v>
      </c>
      <c r="V767" t="s">
        <v>5</v>
      </c>
      <c r="W767">
        <v>2</v>
      </c>
      <c r="X767" t="s">
        <v>14</v>
      </c>
      <c r="Y767">
        <v>66</v>
      </c>
      <c r="Z767" t="s">
        <v>67</v>
      </c>
      <c r="AA767" t="s">
        <v>8</v>
      </c>
      <c r="AC767" t="s">
        <v>32</v>
      </c>
      <c r="AD767">
        <v>442</v>
      </c>
    </row>
    <row r="768" spans="1:30" x14ac:dyDescent="0.3">
      <c r="A768">
        <v>17604530</v>
      </c>
      <c r="B768" s="3">
        <v>45687</v>
      </c>
      <c r="C768">
        <v>2025</v>
      </c>
      <c r="D768">
        <v>1</v>
      </c>
      <c r="E768" t="s">
        <v>1579</v>
      </c>
      <c r="F768" t="s">
        <v>0</v>
      </c>
      <c r="G768" t="s">
        <v>10</v>
      </c>
      <c r="H768" t="b">
        <v>0</v>
      </c>
      <c r="I768" t="b">
        <v>0</v>
      </c>
      <c r="J768" t="b">
        <v>0</v>
      </c>
      <c r="K768" t="b">
        <v>0</v>
      </c>
      <c r="L768" t="s">
        <v>2238</v>
      </c>
      <c r="M768" t="s">
        <v>806</v>
      </c>
      <c r="N768" t="s">
        <v>63</v>
      </c>
      <c r="O768" t="b">
        <v>0</v>
      </c>
      <c r="P768">
        <v>2</v>
      </c>
      <c r="Q768" t="s">
        <v>208</v>
      </c>
      <c r="R768" t="s">
        <v>209</v>
      </c>
      <c r="S768">
        <v>48</v>
      </c>
      <c r="T768" t="s">
        <v>183</v>
      </c>
      <c r="U768" t="s">
        <v>210</v>
      </c>
      <c r="V768" t="s">
        <v>5</v>
      </c>
      <c r="W768">
        <v>3</v>
      </c>
      <c r="X768" t="s">
        <v>14</v>
      </c>
      <c r="Y768">
        <v>56</v>
      </c>
      <c r="Z768" t="s">
        <v>7</v>
      </c>
      <c r="AA768" t="s">
        <v>8</v>
      </c>
      <c r="AC768" t="s">
        <v>9</v>
      </c>
      <c r="AD768">
        <v>422</v>
      </c>
    </row>
    <row r="769" spans="1:30" x14ac:dyDescent="0.3">
      <c r="A769">
        <v>17613894</v>
      </c>
      <c r="B769" s="3">
        <v>45670</v>
      </c>
      <c r="C769">
        <v>2025</v>
      </c>
      <c r="D769">
        <v>1</v>
      </c>
      <c r="E769" t="s">
        <v>1579</v>
      </c>
      <c r="F769" t="s">
        <v>0</v>
      </c>
      <c r="G769" t="s">
        <v>10</v>
      </c>
      <c r="H769" t="b">
        <v>0</v>
      </c>
      <c r="I769" t="b">
        <v>0</v>
      </c>
      <c r="J769" t="b">
        <v>0</v>
      </c>
      <c r="K769" t="b">
        <v>0</v>
      </c>
      <c r="L769" t="s">
        <v>2239</v>
      </c>
      <c r="M769" t="s">
        <v>216</v>
      </c>
      <c r="N769" t="s">
        <v>63</v>
      </c>
      <c r="O769" t="b">
        <v>0</v>
      </c>
      <c r="P769">
        <v>21</v>
      </c>
      <c r="Q769" t="s">
        <v>135</v>
      </c>
      <c r="R769" t="s">
        <v>136</v>
      </c>
      <c r="S769">
        <v>58</v>
      </c>
      <c r="T769" t="s">
        <v>299</v>
      </c>
      <c r="U769" t="s">
        <v>81</v>
      </c>
      <c r="V769" t="s">
        <v>137</v>
      </c>
      <c r="W769">
        <v>24</v>
      </c>
      <c r="X769" t="s">
        <v>6</v>
      </c>
      <c r="Y769">
        <v>53</v>
      </c>
      <c r="Z769" t="s">
        <v>7</v>
      </c>
      <c r="AA769" t="s">
        <v>8</v>
      </c>
      <c r="AB769">
        <v>66</v>
      </c>
      <c r="AC769" t="s">
        <v>9</v>
      </c>
      <c r="AD769">
        <v>439</v>
      </c>
    </row>
    <row r="770" spans="1:30" x14ac:dyDescent="0.3">
      <c r="A770">
        <v>17615041</v>
      </c>
      <c r="B770" s="3">
        <v>45664</v>
      </c>
      <c r="C770">
        <v>2025</v>
      </c>
      <c r="D770">
        <v>1</v>
      </c>
      <c r="E770" t="s">
        <v>1579</v>
      </c>
      <c r="F770" t="s">
        <v>125</v>
      </c>
      <c r="G770" t="s">
        <v>10</v>
      </c>
      <c r="H770" t="b">
        <v>0</v>
      </c>
      <c r="I770" t="b">
        <v>0</v>
      </c>
      <c r="J770" t="b">
        <v>0</v>
      </c>
      <c r="K770" t="b">
        <v>0</v>
      </c>
      <c r="L770" t="s">
        <v>2240</v>
      </c>
      <c r="M770" t="s">
        <v>1162</v>
      </c>
      <c r="N770" t="s">
        <v>63</v>
      </c>
      <c r="O770" t="b">
        <v>0</v>
      </c>
      <c r="P770">
        <v>6</v>
      </c>
      <c r="Q770" t="s">
        <v>162</v>
      </c>
      <c r="R770" t="s">
        <v>163</v>
      </c>
      <c r="S770" t="s">
        <v>5</v>
      </c>
      <c r="T770" t="s">
        <v>1203</v>
      </c>
      <c r="U770" t="s">
        <v>88</v>
      </c>
      <c r="V770" t="s">
        <v>89</v>
      </c>
      <c r="W770">
        <v>16</v>
      </c>
      <c r="X770" t="s">
        <v>6</v>
      </c>
      <c r="Y770">
        <v>73</v>
      </c>
      <c r="Z770" t="s">
        <v>67</v>
      </c>
      <c r="AA770" t="s">
        <v>8</v>
      </c>
      <c r="AB770">
        <v>101.6</v>
      </c>
      <c r="AC770" t="s">
        <v>32</v>
      </c>
      <c r="AD770">
        <v>445</v>
      </c>
    </row>
    <row r="771" spans="1:30" x14ac:dyDescent="0.3">
      <c r="A771">
        <v>17621249</v>
      </c>
      <c r="B771" s="3">
        <v>45671</v>
      </c>
      <c r="C771">
        <v>2025</v>
      </c>
      <c r="D771">
        <v>1</v>
      </c>
      <c r="E771" t="s">
        <v>1579</v>
      </c>
      <c r="F771" t="s">
        <v>125</v>
      </c>
      <c r="G771" t="s">
        <v>10</v>
      </c>
      <c r="H771" t="b">
        <v>0</v>
      </c>
      <c r="I771" t="b">
        <v>0</v>
      </c>
      <c r="J771" t="b">
        <v>0</v>
      </c>
      <c r="K771" t="b">
        <v>0</v>
      </c>
      <c r="L771" t="s">
        <v>2241</v>
      </c>
      <c r="M771" t="s">
        <v>829</v>
      </c>
      <c r="N771" t="s">
        <v>17</v>
      </c>
      <c r="O771" t="b">
        <v>0</v>
      </c>
      <c r="P771">
        <v>3</v>
      </c>
      <c r="Q771" t="s">
        <v>289</v>
      </c>
      <c r="R771" t="s">
        <v>1142</v>
      </c>
      <c r="S771" t="s">
        <v>5</v>
      </c>
      <c r="T771" t="s">
        <v>291</v>
      </c>
      <c r="U771" t="s">
        <v>271</v>
      </c>
      <c r="V771" t="s">
        <v>292</v>
      </c>
      <c r="W771">
        <v>4</v>
      </c>
      <c r="X771" t="s">
        <v>40</v>
      </c>
      <c r="Y771">
        <v>32</v>
      </c>
      <c r="Z771" t="s">
        <v>61</v>
      </c>
      <c r="AA771" t="s">
        <v>15</v>
      </c>
      <c r="AB771">
        <v>115</v>
      </c>
      <c r="AC771" t="s">
        <v>359</v>
      </c>
      <c r="AD771">
        <v>438</v>
      </c>
    </row>
    <row r="772" spans="1:30" x14ac:dyDescent="0.3">
      <c r="A772">
        <v>17628499</v>
      </c>
      <c r="B772" s="3">
        <v>45666</v>
      </c>
      <c r="C772">
        <v>2025</v>
      </c>
      <c r="D772">
        <v>1</v>
      </c>
      <c r="E772" t="s">
        <v>1579</v>
      </c>
      <c r="F772" t="s">
        <v>125</v>
      </c>
      <c r="G772" t="s">
        <v>10</v>
      </c>
      <c r="H772" t="b">
        <v>0</v>
      </c>
      <c r="I772" t="b">
        <v>0</v>
      </c>
      <c r="J772" t="b">
        <v>0</v>
      </c>
      <c r="K772" t="b">
        <v>0</v>
      </c>
      <c r="L772" t="s">
        <v>2242</v>
      </c>
      <c r="M772" t="s">
        <v>235</v>
      </c>
      <c r="N772" t="s">
        <v>118</v>
      </c>
      <c r="O772" t="b">
        <v>0</v>
      </c>
      <c r="P772">
        <v>9</v>
      </c>
      <c r="Q772" t="s">
        <v>502</v>
      </c>
      <c r="R772" t="s">
        <v>503</v>
      </c>
      <c r="S772">
        <v>58</v>
      </c>
      <c r="T772" t="s">
        <v>83</v>
      </c>
      <c r="U772" t="s">
        <v>325</v>
      </c>
      <c r="V772" t="s">
        <v>504</v>
      </c>
      <c r="W772">
        <v>3</v>
      </c>
      <c r="X772" t="s">
        <v>14</v>
      </c>
      <c r="Y772">
        <v>53</v>
      </c>
      <c r="Z772" t="s">
        <v>7</v>
      </c>
      <c r="AA772" t="s">
        <v>8</v>
      </c>
      <c r="AC772" t="s">
        <v>32</v>
      </c>
      <c r="AD772">
        <v>443</v>
      </c>
    </row>
    <row r="773" spans="1:30" x14ac:dyDescent="0.3">
      <c r="A773">
        <v>17641082</v>
      </c>
      <c r="B773" s="3">
        <v>45672</v>
      </c>
      <c r="C773">
        <v>2025</v>
      </c>
      <c r="D773">
        <v>1</v>
      </c>
      <c r="E773" t="s">
        <v>1579</v>
      </c>
      <c r="F773" t="s">
        <v>0</v>
      </c>
      <c r="G773" t="s">
        <v>1</v>
      </c>
      <c r="H773" t="b">
        <v>0</v>
      </c>
      <c r="I773" t="b">
        <v>1</v>
      </c>
      <c r="J773" t="b">
        <v>0</v>
      </c>
      <c r="K773" t="b">
        <v>0</v>
      </c>
      <c r="L773" t="s">
        <v>2243</v>
      </c>
      <c r="M773" t="s">
        <v>369</v>
      </c>
      <c r="N773" t="s">
        <v>17</v>
      </c>
      <c r="O773" t="b">
        <v>0</v>
      </c>
      <c r="P773">
        <v>23</v>
      </c>
      <c r="Q773" t="s">
        <v>588</v>
      </c>
      <c r="R773" t="s">
        <v>589</v>
      </c>
      <c r="S773" t="s">
        <v>5</v>
      </c>
      <c r="T773" t="s">
        <v>590</v>
      </c>
      <c r="U773" t="s">
        <v>591</v>
      </c>
      <c r="V773" t="s">
        <v>592</v>
      </c>
      <c r="W773">
        <v>29</v>
      </c>
      <c r="X773" t="s">
        <v>6</v>
      </c>
      <c r="Y773">
        <v>57</v>
      </c>
      <c r="Z773" t="s">
        <v>7</v>
      </c>
      <c r="AA773" t="s">
        <v>8</v>
      </c>
      <c r="AB773">
        <v>113</v>
      </c>
      <c r="AC773" t="s">
        <v>32</v>
      </c>
      <c r="AD773">
        <v>437</v>
      </c>
    </row>
    <row r="774" spans="1:30" x14ac:dyDescent="0.3">
      <c r="A774">
        <v>17642062</v>
      </c>
      <c r="B774" s="3">
        <v>45664</v>
      </c>
      <c r="C774">
        <v>2025</v>
      </c>
      <c r="D774">
        <v>1</v>
      </c>
      <c r="E774" t="s">
        <v>1579</v>
      </c>
      <c r="F774" t="s">
        <v>0</v>
      </c>
      <c r="G774" t="s">
        <v>10</v>
      </c>
      <c r="H774" t="b">
        <v>0</v>
      </c>
      <c r="I774" t="b">
        <v>0</v>
      </c>
      <c r="J774" t="b">
        <v>0</v>
      </c>
      <c r="K774" t="b">
        <v>0</v>
      </c>
      <c r="L774" t="s">
        <v>2244</v>
      </c>
      <c r="M774" t="s">
        <v>1420</v>
      </c>
      <c r="N774" t="s">
        <v>70</v>
      </c>
      <c r="O774" t="b">
        <v>0</v>
      </c>
      <c r="P774">
        <v>38</v>
      </c>
      <c r="Q774" t="s">
        <v>245</v>
      </c>
      <c r="R774" t="s">
        <v>246</v>
      </c>
      <c r="S774">
        <v>48</v>
      </c>
      <c r="T774" t="s">
        <v>247</v>
      </c>
      <c r="U774" t="s">
        <v>210</v>
      </c>
      <c r="V774" t="s">
        <v>248</v>
      </c>
      <c r="W774">
        <v>17</v>
      </c>
      <c r="X774" t="s">
        <v>6</v>
      </c>
      <c r="Y774">
        <v>51</v>
      </c>
      <c r="Z774" t="s">
        <v>7</v>
      </c>
      <c r="AA774" t="s">
        <v>8</v>
      </c>
      <c r="AB774">
        <v>84</v>
      </c>
      <c r="AC774" t="s">
        <v>9</v>
      </c>
      <c r="AD774">
        <v>445</v>
      </c>
    </row>
    <row r="775" spans="1:30" x14ac:dyDescent="0.3">
      <c r="A775">
        <v>17647012</v>
      </c>
      <c r="B775" s="3">
        <v>45659</v>
      </c>
      <c r="C775">
        <v>2025</v>
      </c>
      <c r="D775">
        <v>1</v>
      </c>
      <c r="E775" t="s">
        <v>1579</v>
      </c>
      <c r="F775" t="s">
        <v>0</v>
      </c>
      <c r="G775" t="s">
        <v>220</v>
      </c>
      <c r="H775" t="b">
        <v>0</v>
      </c>
      <c r="I775" t="b">
        <v>0</v>
      </c>
      <c r="J775" t="b">
        <v>0</v>
      </c>
      <c r="K775" t="b">
        <v>1</v>
      </c>
      <c r="L775" t="s">
        <v>2245</v>
      </c>
      <c r="M775" t="s">
        <v>735</v>
      </c>
      <c r="N775" t="s">
        <v>5</v>
      </c>
      <c r="O775" t="b">
        <v>0</v>
      </c>
      <c r="P775">
        <v>11</v>
      </c>
      <c r="Q775" t="s">
        <v>289</v>
      </c>
      <c r="R775" t="s">
        <v>290</v>
      </c>
      <c r="S775" t="s">
        <v>5</v>
      </c>
      <c r="T775" t="s">
        <v>183</v>
      </c>
      <c r="U775" t="s">
        <v>271</v>
      </c>
      <c r="V775" t="s">
        <v>292</v>
      </c>
      <c r="W775">
        <v>4</v>
      </c>
      <c r="X775" t="s">
        <v>40</v>
      </c>
      <c r="Z775" t="s">
        <v>5</v>
      </c>
      <c r="AA775" t="s">
        <v>15</v>
      </c>
      <c r="AC775" t="s">
        <v>32</v>
      </c>
      <c r="AD775">
        <v>450</v>
      </c>
    </row>
    <row r="776" spans="1:30" x14ac:dyDescent="0.3">
      <c r="A776">
        <v>17647254</v>
      </c>
      <c r="B776" s="3">
        <v>45664</v>
      </c>
      <c r="C776">
        <v>2025</v>
      </c>
      <c r="D776">
        <v>1</v>
      </c>
      <c r="E776" t="s">
        <v>1579</v>
      </c>
      <c r="F776" t="s">
        <v>0</v>
      </c>
      <c r="G776" t="s">
        <v>16</v>
      </c>
      <c r="H776" t="b">
        <v>0</v>
      </c>
      <c r="I776" t="b">
        <v>1</v>
      </c>
      <c r="J776" t="b">
        <v>1</v>
      </c>
      <c r="K776" t="b">
        <v>0</v>
      </c>
      <c r="L776" t="s">
        <v>2246</v>
      </c>
      <c r="M776" t="s">
        <v>1361</v>
      </c>
      <c r="N776" t="s">
        <v>118</v>
      </c>
      <c r="O776" t="b">
        <v>0</v>
      </c>
      <c r="P776">
        <v>12</v>
      </c>
      <c r="Q776" t="s">
        <v>486</v>
      </c>
      <c r="R776" t="s">
        <v>487</v>
      </c>
      <c r="S776">
        <v>65</v>
      </c>
      <c r="T776" t="s">
        <v>1306</v>
      </c>
      <c r="U776" t="s">
        <v>488</v>
      </c>
      <c r="V776" t="s">
        <v>489</v>
      </c>
      <c r="W776">
        <v>18</v>
      </c>
      <c r="X776" t="s">
        <v>6</v>
      </c>
      <c r="Y776">
        <v>5</v>
      </c>
      <c r="Z776" t="s">
        <v>46</v>
      </c>
      <c r="AA776" t="s">
        <v>8</v>
      </c>
      <c r="AC776" t="s">
        <v>116</v>
      </c>
      <c r="AD776">
        <v>445</v>
      </c>
    </row>
    <row r="777" spans="1:30" x14ac:dyDescent="0.3">
      <c r="A777">
        <v>17649049</v>
      </c>
      <c r="B777" s="3">
        <v>45688</v>
      </c>
      <c r="C777">
        <v>2025</v>
      </c>
      <c r="D777">
        <v>1</v>
      </c>
      <c r="E777" t="s">
        <v>1579</v>
      </c>
      <c r="F777" t="s">
        <v>0</v>
      </c>
      <c r="G777" t="s">
        <v>10</v>
      </c>
      <c r="H777" t="b">
        <v>0</v>
      </c>
      <c r="I777" t="b">
        <v>0</v>
      </c>
      <c r="J777" t="b">
        <v>0</v>
      </c>
      <c r="K777" t="b">
        <v>0</v>
      </c>
      <c r="L777" t="s">
        <v>2247</v>
      </c>
      <c r="M777" t="s">
        <v>654</v>
      </c>
      <c r="N777" t="s">
        <v>2</v>
      </c>
      <c r="O777" t="b">
        <v>1</v>
      </c>
      <c r="P777">
        <v>11</v>
      </c>
      <c r="Q777" t="s">
        <v>343</v>
      </c>
      <c r="R777" t="s">
        <v>344</v>
      </c>
      <c r="S777">
        <v>65</v>
      </c>
      <c r="T777" t="s">
        <v>780</v>
      </c>
      <c r="U777" t="s">
        <v>4</v>
      </c>
      <c r="V777" t="s">
        <v>5</v>
      </c>
      <c r="W777">
        <v>8</v>
      </c>
      <c r="X777" t="s">
        <v>6</v>
      </c>
      <c r="Y777">
        <v>58</v>
      </c>
      <c r="Z777" t="s">
        <v>7</v>
      </c>
      <c r="AA777" t="s">
        <v>8</v>
      </c>
      <c r="AB777">
        <v>70</v>
      </c>
      <c r="AC777" t="s">
        <v>101</v>
      </c>
      <c r="AD777">
        <v>421</v>
      </c>
    </row>
    <row r="778" spans="1:30" x14ac:dyDescent="0.3">
      <c r="A778">
        <v>17649074</v>
      </c>
      <c r="B778" s="3">
        <v>45685</v>
      </c>
      <c r="C778">
        <v>2025</v>
      </c>
      <c r="D778">
        <v>1</v>
      </c>
      <c r="E778" t="s">
        <v>1579</v>
      </c>
      <c r="F778" t="s">
        <v>0</v>
      </c>
      <c r="G778" t="s">
        <v>1</v>
      </c>
      <c r="H778" t="b">
        <v>0</v>
      </c>
      <c r="I778" t="b">
        <v>1</v>
      </c>
      <c r="J778" t="b">
        <v>0</v>
      </c>
      <c r="K778" t="b">
        <v>0</v>
      </c>
      <c r="L778" t="s">
        <v>2248</v>
      </c>
      <c r="M778" t="s">
        <v>430</v>
      </c>
      <c r="N778" t="s">
        <v>21</v>
      </c>
      <c r="O778" t="b">
        <v>0</v>
      </c>
      <c r="P778">
        <v>56</v>
      </c>
      <c r="Q778" t="s">
        <v>320</v>
      </c>
      <c r="R778" t="s">
        <v>321</v>
      </c>
      <c r="S778">
        <v>58</v>
      </c>
      <c r="T778" t="s">
        <v>212</v>
      </c>
      <c r="U778" t="s">
        <v>4</v>
      </c>
      <c r="V778" t="s">
        <v>322</v>
      </c>
      <c r="W778">
        <v>20</v>
      </c>
      <c r="X778" t="s">
        <v>6</v>
      </c>
      <c r="Y778">
        <v>48</v>
      </c>
      <c r="Z778" t="s">
        <v>7</v>
      </c>
      <c r="AA778" t="s">
        <v>8</v>
      </c>
      <c r="AC778" t="s">
        <v>9</v>
      </c>
      <c r="AD778">
        <v>424</v>
      </c>
    </row>
    <row r="779" spans="1:30" x14ac:dyDescent="0.3">
      <c r="A779">
        <v>17649925</v>
      </c>
      <c r="B779" s="3">
        <v>45660</v>
      </c>
      <c r="C779">
        <v>2025</v>
      </c>
      <c r="D779">
        <v>1</v>
      </c>
      <c r="E779" t="s">
        <v>1579</v>
      </c>
      <c r="F779" t="s">
        <v>0</v>
      </c>
      <c r="G779" t="s">
        <v>10</v>
      </c>
      <c r="H779" t="b">
        <v>0</v>
      </c>
      <c r="I779" t="b">
        <v>0</v>
      </c>
      <c r="J779" t="b">
        <v>0</v>
      </c>
      <c r="K779" t="b">
        <v>0</v>
      </c>
      <c r="L779" t="s">
        <v>2249</v>
      </c>
      <c r="M779" t="s">
        <v>838</v>
      </c>
      <c r="N779" t="s">
        <v>57</v>
      </c>
      <c r="O779" t="b">
        <v>1</v>
      </c>
      <c r="P779">
        <v>6</v>
      </c>
      <c r="Q779" t="s">
        <v>226</v>
      </c>
      <c r="R779" t="s">
        <v>227</v>
      </c>
      <c r="S779" t="s">
        <v>5</v>
      </c>
      <c r="T779" t="s">
        <v>80</v>
      </c>
      <c r="U779" t="s">
        <v>228</v>
      </c>
      <c r="V779" t="s">
        <v>5</v>
      </c>
      <c r="W779">
        <v>3</v>
      </c>
      <c r="X779" t="s">
        <v>14</v>
      </c>
      <c r="Y779">
        <v>63</v>
      </c>
      <c r="Z779" t="s">
        <v>7</v>
      </c>
      <c r="AA779" t="s">
        <v>8</v>
      </c>
      <c r="AC779" t="s">
        <v>32</v>
      </c>
      <c r="AD779">
        <v>449</v>
      </c>
    </row>
    <row r="780" spans="1:30" x14ac:dyDescent="0.3">
      <c r="A780">
        <v>17654280</v>
      </c>
      <c r="B780" s="3">
        <v>45685</v>
      </c>
      <c r="C780">
        <v>2025</v>
      </c>
      <c r="D780">
        <v>1</v>
      </c>
      <c r="E780" t="s">
        <v>1579</v>
      </c>
      <c r="F780" t="s">
        <v>0</v>
      </c>
      <c r="G780" t="s">
        <v>10</v>
      </c>
      <c r="H780" t="b">
        <v>0</v>
      </c>
      <c r="I780" t="b">
        <v>0</v>
      </c>
      <c r="J780" t="b">
        <v>0</v>
      </c>
      <c r="K780" t="b">
        <v>0</v>
      </c>
      <c r="L780" t="s">
        <v>2250</v>
      </c>
      <c r="M780" t="s">
        <v>1070</v>
      </c>
      <c r="N780" t="s">
        <v>118</v>
      </c>
      <c r="O780" t="b">
        <v>0</v>
      </c>
      <c r="P780">
        <v>9</v>
      </c>
      <c r="Q780" t="s">
        <v>807</v>
      </c>
      <c r="R780" t="s">
        <v>808</v>
      </c>
      <c r="S780">
        <v>58</v>
      </c>
      <c r="T780" t="s">
        <v>2251</v>
      </c>
      <c r="U780" t="s">
        <v>81</v>
      </c>
      <c r="V780" t="s">
        <v>5</v>
      </c>
      <c r="W780">
        <v>13</v>
      </c>
      <c r="X780" t="s">
        <v>6</v>
      </c>
      <c r="Y780">
        <v>62</v>
      </c>
      <c r="Z780" t="s">
        <v>7</v>
      </c>
      <c r="AA780" t="s">
        <v>15</v>
      </c>
      <c r="AB780">
        <v>63</v>
      </c>
      <c r="AC780" t="s">
        <v>20</v>
      </c>
      <c r="AD780">
        <v>424</v>
      </c>
    </row>
    <row r="781" spans="1:30" x14ac:dyDescent="0.3">
      <c r="A781">
        <v>17655256</v>
      </c>
      <c r="B781" s="3">
        <v>45685</v>
      </c>
      <c r="C781">
        <v>2025</v>
      </c>
      <c r="D781">
        <v>1</v>
      </c>
      <c r="E781" t="s">
        <v>1579</v>
      </c>
      <c r="F781" t="s">
        <v>125</v>
      </c>
      <c r="G781" t="s">
        <v>10</v>
      </c>
      <c r="H781" t="b">
        <v>0</v>
      </c>
      <c r="I781" t="b">
        <v>0</v>
      </c>
      <c r="J781" t="b">
        <v>0</v>
      </c>
      <c r="K781" t="b">
        <v>0</v>
      </c>
      <c r="L781" t="s">
        <v>2252</v>
      </c>
      <c r="M781" t="s">
        <v>1364</v>
      </c>
      <c r="N781" t="s">
        <v>17</v>
      </c>
      <c r="O781" t="b">
        <v>0</v>
      </c>
      <c r="P781">
        <v>6</v>
      </c>
      <c r="Q781" t="s">
        <v>455</v>
      </c>
      <c r="R781" t="s">
        <v>456</v>
      </c>
      <c r="S781">
        <v>58</v>
      </c>
      <c r="T781" t="s">
        <v>457</v>
      </c>
      <c r="U781" t="s">
        <v>23</v>
      </c>
      <c r="V781" t="s">
        <v>458</v>
      </c>
      <c r="W781">
        <v>2</v>
      </c>
      <c r="X781" t="s">
        <v>14</v>
      </c>
      <c r="Y781">
        <v>67</v>
      </c>
      <c r="Z781" t="s">
        <v>67</v>
      </c>
      <c r="AA781" t="s">
        <v>8</v>
      </c>
      <c r="AC781" t="s">
        <v>32</v>
      </c>
      <c r="AD781">
        <v>424</v>
      </c>
    </row>
    <row r="782" spans="1:30" x14ac:dyDescent="0.3">
      <c r="A782">
        <v>17655543</v>
      </c>
      <c r="B782" s="3">
        <v>45688</v>
      </c>
      <c r="C782">
        <v>2025</v>
      </c>
      <c r="D782">
        <v>1</v>
      </c>
      <c r="E782" t="s">
        <v>1579</v>
      </c>
      <c r="F782" t="s">
        <v>125</v>
      </c>
      <c r="G782" t="s">
        <v>10</v>
      </c>
      <c r="H782" t="b">
        <v>0</v>
      </c>
      <c r="I782" t="b">
        <v>0</v>
      </c>
      <c r="J782" t="b">
        <v>0</v>
      </c>
      <c r="K782" t="b">
        <v>0</v>
      </c>
      <c r="L782" t="s">
        <v>2253</v>
      </c>
      <c r="M782" t="s">
        <v>300</v>
      </c>
      <c r="N782" t="s">
        <v>63</v>
      </c>
      <c r="O782" t="b">
        <v>0</v>
      </c>
      <c r="P782">
        <v>4</v>
      </c>
      <c r="Q782" t="s">
        <v>333</v>
      </c>
      <c r="R782" t="s">
        <v>334</v>
      </c>
      <c r="S782">
        <v>48</v>
      </c>
      <c r="T782" t="s">
        <v>335</v>
      </c>
      <c r="U782" t="s">
        <v>210</v>
      </c>
      <c r="V782" t="s">
        <v>5</v>
      </c>
      <c r="W782">
        <v>6</v>
      </c>
      <c r="X782" t="s">
        <v>6</v>
      </c>
      <c r="Y782">
        <v>79</v>
      </c>
      <c r="Z782" t="s">
        <v>67</v>
      </c>
      <c r="AA782" t="s">
        <v>8</v>
      </c>
      <c r="AB782">
        <v>77.11</v>
      </c>
      <c r="AC782" t="s">
        <v>32</v>
      </c>
      <c r="AD782">
        <v>421</v>
      </c>
    </row>
    <row r="783" spans="1:30" x14ac:dyDescent="0.3">
      <c r="A783">
        <v>17658942</v>
      </c>
      <c r="B783" s="3">
        <v>45687</v>
      </c>
      <c r="C783">
        <v>2025</v>
      </c>
      <c r="D783">
        <v>1</v>
      </c>
      <c r="E783" t="s">
        <v>1579</v>
      </c>
      <c r="F783" t="s">
        <v>0</v>
      </c>
      <c r="G783" t="s">
        <v>1</v>
      </c>
      <c r="H783" t="b">
        <v>0</v>
      </c>
      <c r="I783" t="b">
        <v>1</v>
      </c>
      <c r="J783" t="b">
        <v>0</v>
      </c>
      <c r="K783" t="b">
        <v>0</v>
      </c>
      <c r="L783" t="s">
        <v>2254</v>
      </c>
      <c r="M783" t="s">
        <v>1271</v>
      </c>
      <c r="N783" t="s">
        <v>229</v>
      </c>
      <c r="O783" t="b">
        <v>0</v>
      </c>
      <c r="P783">
        <v>17</v>
      </c>
      <c r="Q783" t="s">
        <v>367</v>
      </c>
      <c r="R783" t="s">
        <v>368</v>
      </c>
      <c r="S783">
        <v>40</v>
      </c>
      <c r="T783" t="s">
        <v>60</v>
      </c>
      <c r="U783" t="s">
        <v>81</v>
      </c>
      <c r="V783" t="s">
        <v>82</v>
      </c>
      <c r="W783">
        <v>13</v>
      </c>
      <c r="X783" t="s">
        <v>6</v>
      </c>
      <c r="Y783">
        <v>32</v>
      </c>
      <c r="Z783" t="s">
        <v>61</v>
      </c>
      <c r="AA783" t="s">
        <v>8</v>
      </c>
      <c r="AC783" t="s">
        <v>101</v>
      </c>
      <c r="AD783">
        <v>422</v>
      </c>
    </row>
    <row r="784" spans="1:30" x14ac:dyDescent="0.3">
      <c r="A784">
        <v>17665094</v>
      </c>
      <c r="B784" s="3">
        <v>45685</v>
      </c>
      <c r="C784">
        <v>2025</v>
      </c>
      <c r="D784">
        <v>1</v>
      </c>
      <c r="E784" t="s">
        <v>1579</v>
      </c>
      <c r="F784" t="s">
        <v>0</v>
      </c>
      <c r="G784" t="s">
        <v>10</v>
      </c>
      <c r="H784" t="b">
        <v>0</v>
      </c>
      <c r="I784" t="b">
        <v>0</v>
      </c>
      <c r="J784" t="b">
        <v>0</v>
      </c>
      <c r="K784" t="b">
        <v>0</v>
      </c>
      <c r="L784" t="s">
        <v>2255</v>
      </c>
      <c r="M784" t="s">
        <v>672</v>
      </c>
      <c r="N784" t="s">
        <v>57</v>
      </c>
      <c r="O784" t="b">
        <v>1</v>
      </c>
      <c r="P784">
        <v>2</v>
      </c>
      <c r="Q784" t="s">
        <v>1744</v>
      </c>
      <c r="R784" t="s">
        <v>1745</v>
      </c>
      <c r="S784">
        <v>64</v>
      </c>
      <c r="T784" t="s">
        <v>1228</v>
      </c>
      <c r="U784" t="s">
        <v>29</v>
      </c>
      <c r="V784" t="s">
        <v>1461</v>
      </c>
      <c r="W784">
        <v>1</v>
      </c>
      <c r="X784" t="s">
        <v>31</v>
      </c>
      <c r="Z784" t="s">
        <v>5</v>
      </c>
      <c r="AA784" t="s">
        <v>5</v>
      </c>
      <c r="AC784" t="s">
        <v>341</v>
      </c>
      <c r="AD784">
        <v>424</v>
      </c>
    </row>
    <row r="785" spans="1:30" x14ac:dyDescent="0.3">
      <c r="A785">
        <v>17671072</v>
      </c>
      <c r="B785" s="3">
        <v>45685</v>
      </c>
      <c r="C785">
        <v>2025</v>
      </c>
      <c r="D785">
        <v>1</v>
      </c>
      <c r="E785" t="s">
        <v>1579</v>
      </c>
      <c r="F785" t="s">
        <v>125</v>
      </c>
      <c r="G785" t="s">
        <v>10</v>
      </c>
      <c r="H785" t="b">
        <v>0</v>
      </c>
      <c r="I785" t="b">
        <v>0</v>
      </c>
      <c r="J785" t="b">
        <v>0</v>
      </c>
      <c r="K785" t="b">
        <v>0</v>
      </c>
      <c r="L785" t="s">
        <v>2256</v>
      </c>
      <c r="M785" t="s">
        <v>918</v>
      </c>
      <c r="N785" t="s">
        <v>5</v>
      </c>
      <c r="O785" t="b">
        <v>0</v>
      </c>
      <c r="P785">
        <v>2</v>
      </c>
      <c r="Q785" t="s">
        <v>423</v>
      </c>
      <c r="R785" t="s">
        <v>424</v>
      </c>
      <c r="S785">
        <v>50</v>
      </c>
      <c r="T785" t="s">
        <v>150</v>
      </c>
      <c r="U785" t="s">
        <v>177</v>
      </c>
      <c r="V785" t="s">
        <v>292</v>
      </c>
      <c r="W785">
        <v>1</v>
      </c>
      <c r="X785" t="s">
        <v>31</v>
      </c>
      <c r="Z785" t="s">
        <v>5</v>
      </c>
      <c r="AA785" t="s">
        <v>8</v>
      </c>
      <c r="AC785" t="s">
        <v>32</v>
      </c>
      <c r="AD785">
        <v>424</v>
      </c>
    </row>
    <row r="786" spans="1:30" x14ac:dyDescent="0.3">
      <c r="A786">
        <v>17672730</v>
      </c>
      <c r="B786" s="3">
        <v>45667</v>
      </c>
      <c r="C786">
        <v>2025</v>
      </c>
      <c r="D786">
        <v>1</v>
      </c>
      <c r="E786" t="s">
        <v>1579</v>
      </c>
      <c r="F786" t="s">
        <v>0</v>
      </c>
      <c r="G786" t="s">
        <v>10</v>
      </c>
      <c r="H786" t="b">
        <v>0</v>
      </c>
      <c r="I786" t="b">
        <v>0</v>
      </c>
      <c r="J786" t="b">
        <v>0</v>
      </c>
      <c r="K786" t="b">
        <v>0</v>
      </c>
      <c r="L786" t="s">
        <v>2257</v>
      </c>
      <c r="M786" t="s">
        <v>994</v>
      </c>
      <c r="N786" t="s">
        <v>70</v>
      </c>
      <c r="O786" t="b">
        <v>0</v>
      </c>
      <c r="P786">
        <v>10</v>
      </c>
      <c r="Q786" t="s">
        <v>442</v>
      </c>
      <c r="R786" t="s">
        <v>443</v>
      </c>
      <c r="S786" t="s">
        <v>5</v>
      </c>
      <c r="T786" t="s">
        <v>382</v>
      </c>
      <c r="U786" t="s">
        <v>271</v>
      </c>
      <c r="V786" t="s">
        <v>383</v>
      </c>
      <c r="W786">
        <v>6</v>
      </c>
      <c r="X786" t="s">
        <v>6</v>
      </c>
      <c r="Y786">
        <v>83</v>
      </c>
      <c r="Z786" t="s">
        <v>196</v>
      </c>
      <c r="AA786" t="s">
        <v>8</v>
      </c>
      <c r="AC786" t="s">
        <v>32</v>
      </c>
      <c r="AD786">
        <v>442</v>
      </c>
    </row>
    <row r="787" spans="1:30" x14ac:dyDescent="0.3">
      <c r="A787">
        <v>17674805</v>
      </c>
      <c r="B787" s="3">
        <v>45678</v>
      </c>
      <c r="C787">
        <v>2025</v>
      </c>
      <c r="D787">
        <v>1</v>
      </c>
      <c r="E787" t="s">
        <v>1579</v>
      </c>
      <c r="F787" t="s">
        <v>0</v>
      </c>
      <c r="G787" t="s">
        <v>197</v>
      </c>
      <c r="H787" t="b">
        <v>1</v>
      </c>
      <c r="I787" t="b">
        <v>1</v>
      </c>
      <c r="J787" t="b">
        <v>0</v>
      </c>
      <c r="K787" t="b">
        <v>0</v>
      </c>
      <c r="L787" t="s">
        <v>2258</v>
      </c>
      <c r="M787" t="s">
        <v>365</v>
      </c>
      <c r="N787" t="s">
        <v>63</v>
      </c>
      <c r="O787" t="b">
        <v>0</v>
      </c>
      <c r="P787">
        <v>22</v>
      </c>
      <c r="Q787" t="s">
        <v>227</v>
      </c>
      <c r="R787" t="s">
        <v>256</v>
      </c>
      <c r="S787" t="s">
        <v>5</v>
      </c>
      <c r="T787" t="s">
        <v>257</v>
      </c>
      <c r="U787" t="s">
        <v>258</v>
      </c>
      <c r="V787" t="s">
        <v>259</v>
      </c>
      <c r="W787">
        <v>12</v>
      </c>
      <c r="X787" t="s">
        <v>6</v>
      </c>
      <c r="Y787">
        <v>57</v>
      </c>
      <c r="Z787" t="s">
        <v>7</v>
      </c>
      <c r="AA787" t="s">
        <v>15</v>
      </c>
      <c r="AC787" t="s">
        <v>5</v>
      </c>
      <c r="AD787">
        <v>431</v>
      </c>
    </row>
    <row r="788" spans="1:30" x14ac:dyDescent="0.3">
      <c r="A788">
        <v>17681228</v>
      </c>
      <c r="B788" s="3">
        <v>45675</v>
      </c>
      <c r="C788">
        <v>2025</v>
      </c>
      <c r="D788">
        <v>1</v>
      </c>
      <c r="E788" t="s">
        <v>1579</v>
      </c>
      <c r="F788" t="s">
        <v>0</v>
      </c>
      <c r="G788" t="s">
        <v>10</v>
      </c>
      <c r="H788" t="b">
        <v>0</v>
      </c>
      <c r="I788" t="b">
        <v>0</v>
      </c>
      <c r="J788" t="b">
        <v>0</v>
      </c>
      <c r="K788" t="b">
        <v>0</v>
      </c>
      <c r="L788" t="s">
        <v>2259</v>
      </c>
      <c r="M788" t="s">
        <v>983</v>
      </c>
      <c r="N788" t="s">
        <v>5</v>
      </c>
      <c r="O788" t="b">
        <v>0</v>
      </c>
      <c r="P788">
        <v>17</v>
      </c>
      <c r="Q788" t="s">
        <v>588</v>
      </c>
      <c r="R788" t="s">
        <v>589</v>
      </c>
      <c r="S788" t="s">
        <v>5</v>
      </c>
      <c r="T788" t="s">
        <v>664</v>
      </c>
      <c r="U788" t="s">
        <v>591</v>
      </c>
      <c r="V788" t="s">
        <v>592</v>
      </c>
      <c r="W788">
        <v>49</v>
      </c>
      <c r="X788" t="s">
        <v>6</v>
      </c>
      <c r="Y788">
        <v>48</v>
      </c>
      <c r="Z788" t="s">
        <v>7</v>
      </c>
      <c r="AA788" t="s">
        <v>8</v>
      </c>
      <c r="AB788">
        <v>86</v>
      </c>
      <c r="AC788" t="s">
        <v>32</v>
      </c>
      <c r="AD788">
        <v>434</v>
      </c>
    </row>
    <row r="789" spans="1:30" x14ac:dyDescent="0.3">
      <c r="A789">
        <v>17682790</v>
      </c>
      <c r="B789" s="3">
        <v>45660</v>
      </c>
      <c r="C789">
        <v>2025</v>
      </c>
      <c r="D789">
        <v>1</v>
      </c>
      <c r="E789" t="s">
        <v>1579</v>
      </c>
      <c r="F789" t="s">
        <v>0</v>
      </c>
      <c r="G789" t="s">
        <v>10</v>
      </c>
      <c r="H789" t="b">
        <v>0</v>
      </c>
      <c r="I789" t="b">
        <v>0</v>
      </c>
      <c r="J789" t="b">
        <v>0</v>
      </c>
      <c r="K789" t="b">
        <v>0</v>
      </c>
      <c r="L789" t="s">
        <v>585</v>
      </c>
      <c r="M789" t="s">
        <v>585</v>
      </c>
      <c r="N789" t="s">
        <v>264</v>
      </c>
      <c r="O789" t="b">
        <v>0</v>
      </c>
      <c r="P789">
        <v>1</v>
      </c>
      <c r="Q789" t="s">
        <v>78</v>
      </c>
      <c r="R789" t="s">
        <v>79</v>
      </c>
      <c r="S789">
        <v>65</v>
      </c>
      <c r="T789" t="s">
        <v>1489</v>
      </c>
      <c r="U789" t="s">
        <v>81</v>
      </c>
      <c r="V789" t="s">
        <v>82</v>
      </c>
      <c r="W789">
        <v>7</v>
      </c>
      <c r="X789" t="s">
        <v>6</v>
      </c>
      <c r="Y789">
        <v>19</v>
      </c>
      <c r="Z789" t="s">
        <v>61</v>
      </c>
      <c r="AA789" t="s">
        <v>15</v>
      </c>
      <c r="AC789" t="s">
        <v>558</v>
      </c>
      <c r="AD789">
        <v>449</v>
      </c>
    </row>
    <row r="790" spans="1:30" x14ac:dyDescent="0.3">
      <c r="A790">
        <v>17683621</v>
      </c>
      <c r="B790" s="3">
        <v>45667</v>
      </c>
      <c r="C790">
        <v>2025</v>
      </c>
      <c r="D790">
        <v>1</v>
      </c>
      <c r="E790" t="s">
        <v>1579</v>
      </c>
      <c r="F790" t="s">
        <v>0</v>
      </c>
      <c r="G790" t="s">
        <v>10</v>
      </c>
      <c r="H790" t="b">
        <v>0</v>
      </c>
      <c r="I790" t="b">
        <v>0</v>
      </c>
      <c r="J790" t="b">
        <v>0</v>
      </c>
      <c r="K790" t="b">
        <v>0</v>
      </c>
      <c r="L790" t="s">
        <v>2260</v>
      </c>
      <c r="M790" t="s">
        <v>1140</v>
      </c>
      <c r="N790" t="s">
        <v>5</v>
      </c>
      <c r="O790" t="b">
        <v>0</v>
      </c>
      <c r="P790">
        <v>3</v>
      </c>
      <c r="Q790" t="s">
        <v>630</v>
      </c>
      <c r="R790" t="s">
        <v>5</v>
      </c>
      <c r="S790" t="s">
        <v>5</v>
      </c>
      <c r="T790" t="s">
        <v>590</v>
      </c>
      <c r="U790" t="s">
        <v>5</v>
      </c>
      <c r="V790" t="s">
        <v>5</v>
      </c>
      <c r="W790">
        <v>14</v>
      </c>
      <c r="X790" t="s">
        <v>6</v>
      </c>
      <c r="Z790" t="s">
        <v>5</v>
      </c>
      <c r="AA790" t="s">
        <v>8</v>
      </c>
      <c r="AB790">
        <v>88.43</v>
      </c>
      <c r="AC790" t="s">
        <v>32</v>
      </c>
      <c r="AD790">
        <v>442</v>
      </c>
    </row>
    <row r="791" spans="1:30" x14ac:dyDescent="0.3">
      <c r="A791">
        <v>17684633</v>
      </c>
      <c r="B791" s="3">
        <v>45685</v>
      </c>
      <c r="C791">
        <v>2025</v>
      </c>
      <c r="D791">
        <v>1</v>
      </c>
      <c r="E791" t="s">
        <v>1579</v>
      </c>
      <c r="F791" t="s">
        <v>0</v>
      </c>
      <c r="G791" t="s">
        <v>50</v>
      </c>
      <c r="H791" t="b">
        <v>1</v>
      </c>
      <c r="I791" t="b">
        <v>0</v>
      </c>
      <c r="J791" t="b">
        <v>0</v>
      </c>
      <c r="K791" t="b">
        <v>0</v>
      </c>
      <c r="L791" t="s">
        <v>2261</v>
      </c>
      <c r="M791" t="s">
        <v>206</v>
      </c>
      <c r="N791" t="s">
        <v>5</v>
      </c>
      <c r="O791" t="b">
        <v>0</v>
      </c>
      <c r="P791">
        <v>4</v>
      </c>
      <c r="Q791" t="s">
        <v>588</v>
      </c>
      <c r="R791" t="s">
        <v>589</v>
      </c>
      <c r="S791" t="s">
        <v>5</v>
      </c>
      <c r="T791" t="s">
        <v>1245</v>
      </c>
      <c r="U791" t="s">
        <v>591</v>
      </c>
      <c r="V791" t="s">
        <v>592</v>
      </c>
      <c r="W791">
        <v>8</v>
      </c>
      <c r="X791" t="s">
        <v>6</v>
      </c>
      <c r="Y791">
        <v>57</v>
      </c>
      <c r="Z791" t="s">
        <v>7</v>
      </c>
      <c r="AA791" t="s">
        <v>15</v>
      </c>
      <c r="AC791" t="s">
        <v>885</v>
      </c>
      <c r="AD791">
        <v>424</v>
      </c>
    </row>
    <row r="792" spans="1:30" x14ac:dyDescent="0.3">
      <c r="A792">
        <v>17687234</v>
      </c>
      <c r="B792" s="3">
        <v>45675</v>
      </c>
      <c r="C792">
        <v>2025</v>
      </c>
      <c r="D792">
        <v>1</v>
      </c>
      <c r="E792" t="s">
        <v>1579</v>
      </c>
      <c r="F792" t="s">
        <v>125</v>
      </c>
      <c r="G792" t="s">
        <v>10</v>
      </c>
      <c r="H792" t="b">
        <v>0</v>
      </c>
      <c r="I792" t="b">
        <v>0</v>
      </c>
      <c r="J792" t="b">
        <v>0</v>
      </c>
      <c r="K792" t="b">
        <v>0</v>
      </c>
      <c r="L792" t="s">
        <v>2262</v>
      </c>
      <c r="M792" t="s">
        <v>481</v>
      </c>
      <c r="N792" t="s">
        <v>63</v>
      </c>
      <c r="O792" t="b">
        <v>0</v>
      </c>
      <c r="P792">
        <v>8</v>
      </c>
      <c r="Q792" t="s">
        <v>973</v>
      </c>
      <c r="R792" t="s">
        <v>974</v>
      </c>
      <c r="S792">
        <v>48</v>
      </c>
      <c r="T792" t="s">
        <v>1084</v>
      </c>
      <c r="U792" t="s">
        <v>976</v>
      </c>
      <c r="V792" t="s">
        <v>5</v>
      </c>
      <c r="W792">
        <v>14</v>
      </c>
      <c r="X792" t="s">
        <v>6</v>
      </c>
      <c r="Z792" t="s">
        <v>5</v>
      </c>
      <c r="AA792" t="s">
        <v>8</v>
      </c>
      <c r="AB792">
        <v>58.05</v>
      </c>
      <c r="AC792" t="s">
        <v>32</v>
      </c>
      <c r="AD792">
        <v>434</v>
      </c>
    </row>
    <row r="793" spans="1:30" x14ac:dyDescent="0.3">
      <c r="A793">
        <v>17705020</v>
      </c>
      <c r="B793" s="3">
        <v>45673</v>
      </c>
      <c r="C793">
        <v>2025</v>
      </c>
      <c r="D793">
        <v>1</v>
      </c>
      <c r="E793" t="s">
        <v>1579</v>
      </c>
      <c r="F793" t="s">
        <v>0</v>
      </c>
      <c r="G793" t="s">
        <v>10</v>
      </c>
      <c r="H793" t="b">
        <v>0</v>
      </c>
      <c r="I793" t="b">
        <v>0</v>
      </c>
      <c r="J793" t="b">
        <v>0</v>
      </c>
      <c r="K793" t="b">
        <v>0</v>
      </c>
      <c r="L793" t="s">
        <v>2263</v>
      </c>
      <c r="M793" t="s">
        <v>436</v>
      </c>
      <c r="N793" t="s">
        <v>70</v>
      </c>
      <c r="O793" t="b">
        <v>0</v>
      </c>
      <c r="P793">
        <v>25</v>
      </c>
      <c r="Q793" t="s">
        <v>208</v>
      </c>
      <c r="R793" t="s">
        <v>209</v>
      </c>
      <c r="S793">
        <v>48</v>
      </c>
      <c r="T793" t="s">
        <v>80</v>
      </c>
      <c r="U793" t="s">
        <v>210</v>
      </c>
      <c r="V793" t="s">
        <v>5</v>
      </c>
      <c r="W793">
        <v>33</v>
      </c>
      <c r="X793" t="s">
        <v>6</v>
      </c>
      <c r="Y793">
        <v>67</v>
      </c>
      <c r="Z793" t="s">
        <v>67</v>
      </c>
      <c r="AA793" t="s">
        <v>8</v>
      </c>
      <c r="AB793">
        <v>60.78</v>
      </c>
      <c r="AC793" t="s">
        <v>32</v>
      </c>
      <c r="AD793">
        <v>436</v>
      </c>
    </row>
    <row r="794" spans="1:30" x14ac:dyDescent="0.3">
      <c r="A794">
        <v>17707653</v>
      </c>
      <c r="B794" s="3">
        <v>45681</v>
      </c>
      <c r="C794">
        <v>2025</v>
      </c>
      <c r="D794">
        <v>1</v>
      </c>
      <c r="E794" t="s">
        <v>1579</v>
      </c>
      <c r="F794" t="s">
        <v>0</v>
      </c>
      <c r="G794" t="s">
        <v>10</v>
      </c>
      <c r="H794" t="b">
        <v>0</v>
      </c>
      <c r="I794" t="b">
        <v>0</v>
      </c>
      <c r="J794" t="b">
        <v>0</v>
      </c>
      <c r="K794" t="b">
        <v>0</v>
      </c>
      <c r="L794" t="s">
        <v>2264</v>
      </c>
      <c r="M794" t="s">
        <v>1289</v>
      </c>
      <c r="N794" t="s">
        <v>63</v>
      </c>
      <c r="O794" t="b">
        <v>0</v>
      </c>
      <c r="P794">
        <v>7</v>
      </c>
      <c r="Q794" t="s">
        <v>787</v>
      </c>
      <c r="R794" t="s">
        <v>788</v>
      </c>
      <c r="S794">
        <v>48</v>
      </c>
      <c r="T794" t="s">
        <v>105</v>
      </c>
      <c r="U794" t="s">
        <v>789</v>
      </c>
      <c r="V794" t="s">
        <v>5</v>
      </c>
      <c r="W794">
        <v>7</v>
      </c>
      <c r="X794" t="s">
        <v>6</v>
      </c>
      <c r="Y794">
        <v>49</v>
      </c>
      <c r="Z794" t="s">
        <v>7</v>
      </c>
      <c r="AA794" t="s">
        <v>15</v>
      </c>
      <c r="AC794" t="s">
        <v>32</v>
      </c>
      <c r="AD794">
        <v>428</v>
      </c>
    </row>
    <row r="795" spans="1:30" x14ac:dyDescent="0.3">
      <c r="A795">
        <v>17711127</v>
      </c>
      <c r="B795" s="3">
        <v>45687</v>
      </c>
      <c r="C795">
        <v>2025</v>
      </c>
      <c r="D795">
        <v>1</v>
      </c>
      <c r="E795" t="s">
        <v>1579</v>
      </c>
      <c r="F795" t="s">
        <v>125</v>
      </c>
      <c r="G795" t="s">
        <v>10</v>
      </c>
      <c r="H795" t="b">
        <v>0</v>
      </c>
      <c r="I795" t="b">
        <v>0</v>
      </c>
      <c r="J795" t="b">
        <v>0</v>
      </c>
      <c r="K795" t="b">
        <v>0</v>
      </c>
      <c r="L795" t="s">
        <v>308</v>
      </c>
      <c r="M795" t="s">
        <v>308</v>
      </c>
      <c r="N795" t="s">
        <v>5</v>
      </c>
      <c r="O795" t="b">
        <v>0</v>
      </c>
      <c r="P795">
        <v>1</v>
      </c>
      <c r="Q795" t="s">
        <v>245</v>
      </c>
      <c r="R795" t="s">
        <v>246</v>
      </c>
      <c r="S795">
        <v>48</v>
      </c>
      <c r="T795" t="s">
        <v>426</v>
      </c>
      <c r="U795" t="s">
        <v>210</v>
      </c>
      <c r="V795" t="s">
        <v>248</v>
      </c>
      <c r="W795">
        <v>1</v>
      </c>
      <c r="X795" t="s">
        <v>31</v>
      </c>
      <c r="Y795">
        <v>66</v>
      </c>
      <c r="Z795" t="s">
        <v>67</v>
      </c>
      <c r="AA795" t="s">
        <v>8</v>
      </c>
      <c r="AC795" t="s">
        <v>32</v>
      </c>
      <c r="AD795">
        <v>422</v>
      </c>
    </row>
    <row r="796" spans="1:30" x14ac:dyDescent="0.3">
      <c r="A796">
        <v>17711197</v>
      </c>
      <c r="B796" s="3">
        <v>45659</v>
      </c>
      <c r="C796">
        <v>2025</v>
      </c>
      <c r="D796">
        <v>1</v>
      </c>
      <c r="E796" t="s">
        <v>1579</v>
      </c>
      <c r="F796" t="s">
        <v>125</v>
      </c>
      <c r="G796" t="s">
        <v>10</v>
      </c>
      <c r="H796" t="b">
        <v>0</v>
      </c>
      <c r="I796" t="b">
        <v>0</v>
      </c>
      <c r="J796" t="b">
        <v>0</v>
      </c>
      <c r="K796" t="b">
        <v>0</v>
      </c>
      <c r="L796" t="s">
        <v>2265</v>
      </c>
      <c r="M796" t="s">
        <v>159</v>
      </c>
      <c r="N796" t="s">
        <v>5</v>
      </c>
      <c r="O796" t="b">
        <v>0</v>
      </c>
      <c r="P796">
        <v>2</v>
      </c>
      <c r="Q796" t="s">
        <v>333</v>
      </c>
      <c r="R796" t="s">
        <v>334</v>
      </c>
      <c r="S796">
        <v>48</v>
      </c>
      <c r="T796" t="s">
        <v>335</v>
      </c>
      <c r="U796" t="s">
        <v>210</v>
      </c>
      <c r="V796" t="s">
        <v>5</v>
      </c>
      <c r="W796">
        <v>18</v>
      </c>
      <c r="X796" t="s">
        <v>6</v>
      </c>
      <c r="Y796">
        <v>90</v>
      </c>
      <c r="Z796" t="s">
        <v>196</v>
      </c>
      <c r="AA796" t="s">
        <v>8</v>
      </c>
      <c r="AB796">
        <v>45.81</v>
      </c>
      <c r="AC796" t="s">
        <v>32</v>
      </c>
      <c r="AD796">
        <v>450</v>
      </c>
    </row>
    <row r="797" spans="1:30" x14ac:dyDescent="0.3">
      <c r="A797">
        <v>17711887</v>
      </c>
      <c r="B797" s="3">
        <v>45677</v>
      </c>
      <c r="C797">
        <v>2025</v>
      </c>
      <c r="D797">
        <v>1</v>
      </c>
      <c r="E797" t="s">
        <v>1579</v>
      </c>
      <c r="F797" t="s">
        <v>125</v>
      </c>
      <c r="G797" t="s">
        <v>10</v>
      </c>
      <c r="H797" t="b">
        <v>0</v>
      </c>
      <c r="I797" t="b">
        <v>0</v>
      </c>
      <c r="J797" t="b">
        <v>0</v>
      </c>
      <c r="K797" t="b">
        <v>0</v>
      </c>
      <c r="L797" t="s">
        <v>2266</v>
      </c>
      <c r="M797" t="s">
        <v>1415</v>
      </c>
      <c r="N797" t="s">
        <v>174</v>
      </c>
      <c r="O797" t="b">
        <v>0</v>
      </c>
      <c r="P797">
        <v>6</v>
      </c>
      <c r="Q797" t="s">
        <v>853</v>
      </c>
      <c r="R797" t="s">
        <v>854</v>
      </c>
      <c r="S797">
        <v>58</v>
      </c>
      <c r="T797" t="s">
        <v>1141</v>
      </c>
      <c r="U797" t="s">
        <v>834</v>
      </c>
      <c r="V797" t="s">
        <v>5</v>
      </c>
      <c r="W797">
        <v>11</v>
      </c>
      <c r="X797" t="s">
        <v>6</v>
      </c>
      <c r="Z797" t="s">
        <v>5</v>
      </c>
      <c r="AA797" t="s">
        <v>5</v>
      </c>
      <c r="AC797" t="s">
        <v>32</v>
      </c>
      <c r="AD797">
        <v>432</v>
      </c>
    </row>
    <row r="798" spans="1:30" x14ac:dyDescent="0.3">
      <c r="A798">
        <v>17712668</v>
      </c>
      <c r="B798" s="3">
        <v>45681</v>
      </c>
      <c r="C798">
        <v>2025</v>
      </c>
      <c r="D798">
        <v>1</v>
      </c>
      <c r="E798" t="s">
        <v>1579</v>
      </c>
      <c r="F798" t="s">
        <v>0</v>
      </c>
      <c r="G798" t="s">
        <v>197</v>
      </c>
      <c r="H798" t="b">
        <v>1</v>
      </c>
      <c r="I798" t="b">
        <v>1</v>
      </c>
      <c r="J798" t="b">
        <v>0</v>
      </c>
      <c r="K798" t="b">
        <v>0</v>
      </c>
      <c r="L798" t="s">
        <v>2267</v>
      </c>
      <c r="M798" t="s">
        <v>545</v>
      </c>
      <c r="N798" t="s">
        <v>63</v>
      </c>
      <c r="O798" t="b">
        <v>0</v>
      </c>
      <c r="P798">
        <v>13</v>
      </c>
      <c r="Q798" t="s">
        <v>786</v>
      </c>
      <c r="R798" t="s">
        <v>5</v>
      </c>
      <c r="S798">
        <v>48</v>
      </c>
      <c r="T798" t="s">
        <v>105</v>
      </c>
      <c r="U798" t="s">
        <v>5</v>
      </c>
      <c r="V798" t="s">
        <v>5</v>
      </c>
      <c r="W798">
        <v>7</v>
      </c>
      <c r="X798" t="s">
        <v>6</v>
      </c>
      <c r="Y798">
        <v>38</v>
      </c>
      <c r="Z798" t="s">
        <v>61</v>
      </c>
      <c r="AA798" t="s">
        <v>15</v>
      </c>
      <c r="AC798" t="s">
        <v>32</v>
      </c>
      <c r="AD798">
        <v>428</v>
      </c>
    </row>
    <row r="799" spans="1:30" x14ac:dyDescent="0.3">
      <c r="A799">
        <v>17716085</v>
      </c>
      <c r="B799" s="3">
        <v>45681</v>
      </c>
      <c r="C799">
        <v>2025</v>
      </c>
      <c r="D799">
        <v>1</v>
      </c>
      <c r="E799" t="s">
        <v>1579</v>
      </c>
      <c r="F799" t="s">
        <v>0</v>
      </c>
      <c r="G799" t="s">
        <v>1</v>
      </c>
      <c r="H799" t="b">
        <v>0</v>
      </c>
      <c r="I799" t="b">
        <v>1</v>
      </c>
      <c r="J799" t="b">
        <v>0</v>
      </c>
      <c r="K799" t="b">
        <v>0</v>
      </c>
      <c r="L799" t="s">
        <v>2268</v>
      </c>
      <c r="M799" t="s">
        <v>217</v>
      </c>
      <c r="N799" t="s">
        <v>5</v>
      </c>
      <c r="O799" t="b">
        <v>0</v>
      </c>
      <c r="P799">
        <v>3</v>
      </c>
      <c r="Q799" t="s">
        <v>250</v>
      </c>
      <c r="R799" t="s">
        <v>251</v>
      </c>
      <c r="S799">
        <v>48</v>
      </c>
      <c r="T799" t="s">
        <v>805</v>
      </c>
      <c r="U799" t="s">
        <v>253</v>
      </c>
      <c r="V799" t="s">
        <v>5</v>
      </c>
      <c r="W799">
        <v>2</v>
      </c>
      <c r="X799" t="s">
        <v>14</v>
      </c>
      <c r="Y799">
        <v>70</v>
      </c>
      <c r="Z799" t="s">
        <v>67</v>
      </c>
      <c r="AA799" t="s">
        <v>15</v>
      </c>
      <c r="AC799" t="s">
        <v>32</v>
      </c>
      <c r="AD799">
        <v>428</v>
      </c>
    </row>
    <row r="800" spans="1:30" x14ac:dyDescent="0.3">
      <c r="A800">
        <v>17718394</v>
      </c>
      <c r="B800" s="3">
        <v>45667</v>
      </c>
      <c r="C800">
        <v>2025</v>
      </c>
      <c r="D800">
        <v>1</v>
      </c>
      <c r="E800" t="s">
        <v>1579</v>
      </c>
      <c r="F800" t="s">
        <v>0</v>
      </c>
      <c r="G800" t="s">
        <v>384</v>
      </c>
      <c r="H800" t="b">
        <v>1</v>
      </c>
      <c r="I800" t="b">
        <v>1</v>
      </c>
      <c r="J800" t="b">
        <v>1</v>
      </c>
      <c r="K800" t="b">
        <v>0</v>
      </c>
      <c r="L800" t="s">
        <v>2269</v>
      </c>
      <c r="M800" t="s">
        <v>1212</v>
      </c>
      <c r="N800" t="s">
        <v>5</v>
      </c>
      <c r="O800" t="b">
        <v>0</v>
      </c>
      <c r="P800">
        <v>7</v>
      </c>
      <c r="Q800" t="s">
        <v>1344</v>
      </c>
      <c r="R800" t="s">
        <v>1345</v>
      </c>
      <c r="S800">
        <v>65</v>
      </c>
      <c r="T800" t="s">
        <v>2270</v>
      </c>
      <c r="U800" t="s">
        <v>1346</v>
      </c>
      <c r="V800" t="s">
        <v>1347</v>
      </c>
      <c r="W800">
        <v>21</v>
      </c>
      <c r="X800" t="s">
        <v>6</v>
      </c>
      <c r="Y800">
        <v>57</v>
      </c>
      <c r="Z800" t="s">
        <v>7</v>
      </c>
      <c r="AA800" t="s">
        <v>8</v>
      </c>
      <c r="AB800">
        <v>56</v>
      </c>
      <c r="AC800" t="s">
        <v>47</v>
      </c>
      <c r="AD800">
        <v>442</v>
      </c>
    </row>
    <row r="801" spans="1:30" x14ac:dyDescent="0.3">
      <c r="A801">
        <v>17718917</v>
      </c>
      <c r="B801" s="3">
        <v>45674</v>
      </c>
      <c r="C801">
        <v>2025</v>
      </c>
      <c r="D801">
        <v>1</v>
      </c>
      <c r="E801" t="s">
        <v>1579</v>
      </c>
      <c r="F801" t="s">
        <v>0</v>
      </c>
      <c r="G801" t="s">
        <v>10</v>
      </c>
      <c r="H801" t="b">
        <v>0</v>
      </c>
      <c r="I801" t="b">
        <v>0</v>
      </c>
      <c r="J801" t="b">
        <v>0</v>
      </c>
      <c r="K801" t="b">
        <v>0</v>
      </c>
      <c r="L801" t="s">
        <v>2271</v>
      </c>
      <c r="M801" t="s">
        <v>860</v>
      </c>
      <c r="N801" t="s">
        <v>118</v>
      </c>
      <c r="O801" t="b">
        <v>0</v>
      </c>
      <c r="P801">
        <v>10</v>
      </c>
      <c r="Q801" t="s">
        <v>683</v>
      </c>
      <c r="R801" t="s">
        <v>684</v>
      </c>
      <c r="S801" t="s">
        <v>5</v>
      </c>
      <c r="T801" t="s">
        <v>685</v>
      </c>
      <c r="U801" t="s">
        <v>271</v>
      </c>
      <c r="V801" t="s">
        <v>686</v>
      </c>
      <c r="W801">
        <v>13</v>
      </c>
      <c r="X801" t="s">
        <v>6</v>
      </c>
      <c r="Y801">
        <v>5</v>
      </c>
      <c r="Z801" t="s">
        <v>46</v>
      </c>
      <c r="AA801" t="s">
        <v>15</v>
      </c>
      <c r="AB801">
        <v>39</v>
      </c>
      <c r="AC801" t="s">
        <v>154</v>
      </c>
      <c r="AD801">
        <v>435</v>
      </c>
    </row>
    <row r="802" spans="1:30" x14ac:dyDescent="0.3">
      <c r="A802">
        <v>17723346</v>
      </c>
      <c r="B802" s="3">
        <v>45683</v>
      </c>
      <c r="C802">
        <v>2025</v>
      </c>
      <c r="D802">
        <v>1</v>
      </c>
      <c r="E802" t="s">
        <v>1579</v>
      </c>
      <c r="F802" t="s">
        <v>125</v>
      </c>
      <c r="G802" t="s">
        <v>10</v>
      </c>
      <c r="H802" t="b">
        <v>0</v>
      </c>
      <c r="I802" t="b">
        <v>0</v>
      </c>
      <c r="J802" t="b">
        <v>0</v>
      </c>
      <c r="K802" t="b">
        <v>0</v>
      </c>
      <c r="L802" t="s">
        <v>2272</v>
      </c>
      <c r="M802" t="s">
        <v>1186</v>
      </c>
      <c r="N802" t="s">
        <v>21</v>
      </c>
      <c r="O802" t="b">
        <v>0</v>
      </c>
      <c r="P802">
        <v>2</v>
      </c>
      <c r="Q802" t="s">
        <v>455</v>
      </c>
      <c r="R802" t="s">
        <v>456</v>
      </c>
      <c r="S802">
        <v>58</v>
      </c>
      <c r="T802" t="s">
        <v>457</v>
      </c>
      <c r="U802" t="s">
        <v>23</v>
      </c>
      <c r="V802" t="s">
        <v>458</v>
      </c>
      <c r="W802">
        <v>1</v>
      </c>
      <c r="X802" t="s">
        <v>31</v>
      </c>
      <c r="Y802">
        <v>42</v>
      </c>
      <c r="Z802" t="s">
        <v>7</v>
      </c>
      <c r="AA802" t="s">
        <v>15</v>
      </c>
      <c r="AB802">
        <v>109.07</v>
      </c>
      <c r="AC802" t="s">
        <v>32</v>
      </c>
      <c r="AD802">
        <v>426</v>
      </c>
    </row>
    <row r="803" spans="1:30" x14ac:dyDescent="0.3">
      <c r="A803">
        <v>17723825</v>
      </c>
      <c r="B803" s="3">
        <v>45681</v>
      </c>
      <c r="C803">
        <v>2025</v>
      </c>
      <c r="D803">
        <v>1</v>
      </c>
      <c r="E803" t="s">
        <v>1579</v>
      </c>
      <c r="F803" t="s">
        <v>0</v>
      </c>
      <c r="G803" t="s">
        <v>10</v>
      </c>
      <c r="H803" t="b">
        <v>0</v>
      </c>
      <c r="I803" t="b">
        <v>0</v>
      </c>
      <c r="J803" t="b">
        <v>0</v>
      </c>
      <c r="K803" t="b">
        <v>0</v>
      </c>
      <c r="L803" t="s">
        <v>2273</v>
      </c>
      <c r="M803" t="s">
        <v>2274</v>
      </c>
      <c r="N803" t="s">
        <v>5</v>
      </c>
      <c r="O803" t="b">
        <v>0</v>
      </c>
      <c r="P803">
        <v>12</v>
      </c>
      <c r="Q803" t="s">
        <v>1302</v>
      </c>
      <c r="R803" t="s">
        <v>1303</v>
      </c>
      <c r="S803">
        <v>48</v>
      </c>
      <c r="T803" t="s">
        <v>1304</v>
      </c>
      <c r="U803" t="s">
        <v>277</v>
      </c>
      <c r="V803" t="s">
        <v>248</v>
      </c>
      <c r="W803">
        <v>4</v>
      </c>
      <c r="X803" t="s">
        <v>40</v>
      </c>
      <c r="Y803">
        <v>62</v>
      </c>
      <c r="Z803" t="s">
        <v>7</v>
      </c>
      <c r="AA803" t="s">
        <v>15</v>
      </c>
      <c r="AB803">
        <v>91.63</v>
      </c>
      <c r="AC803" t="s">
        <v>32</v>
      </c>
      <c r="AD803">
        <v>428</v>
      </c>
    </row>
    <row r="804" spans="1:30" x14ac:dyDescent="0.3">
      <c r="A804">
        <v>17724413</v>
      </c>
      <c r="B804" s="3">
        <v>45685</v>
      </c>
      <c r="C804">
        <v>2025</v>
      </c>
      <c r="D804">
        <v>1</v>
      </c>
      <c r="E804" t="s">
        <v>1579</v>
      </c>
      <c r="F804" t="s">
        <v>0</v>
      </c>
      <c r="G804" t="s">
        <v>10</v>
      </c>
      <c r="H804" t="b">
        <v>0</v>
      </c>
      <c r="I804" t="b">
        <v>0</v>
      </c>
      <c r="J804" t="b">
        <v>0</v>
      </c>
      <c r="K804" t="b">
        <v>0</v>
      </c>
      <c r="L804" t="s">
        <v>2275</v>
      </c>
      <c r="M804" t="s">
        <v>918</v>
      </c>
      <c r="N804" t="s">
        <v>118</v>
      </c>
      <c r="O804" t="b">
        <v>0</v>
      </c>
      <c r="P804">
        <v>4</v>
      </c>
      <c r="Q804" t="s">
        <v>569</v>
      </c>
      <c r="R804" t="s">
        <v>570</v>
      </c>
      <c r="S804">
        <v>58</v>
      </c>
      <c r="T804" t="s">
        <v>427</v>
      </c>
      <c r="U804" t="s">
        <v>81</v>
      </c>
      <c r="V804" t="s">
        <v>571</v>
      </c>
      <c r="W804">
        <v>3</v>
      </c>
      <c r="X804" t="s">
        <v>14</v>
      </c>
      <c r="Y804">
        <v>68</v>
      </c>
      <c r="Z804" t="s">
        <v>67</v>
      </c>
      <c r="AA804" t="s">
        <v>8</v>
      </c>
      <c r="AB804">
        <v>68</v>
      </c>
      <c r="AC804" t="s">
        <v>659</v>
      </c>
      <c r="AD804">
        <v>424</v>
      </c>
    </row>
    <row r="805" spans="1:30" x14ac:dyDescent="0.3">
      <c r="A805">
        <v>17725627</v>
      </c>
      <c r="B805" s="3">
        <v>45663</v>
      </c>
      <c r="C805">
        <v>2025</v>
      </c>
      <c r="D805">
        <v>1</v>
      </c>
      <c r="E805" t="s">
        <v>1579</v>
      </c>
      <c r="F805" t="s">
        <v>0</v>
      </c>
      <c r="G805" t="s">
        <v>10</v>
      </c>
      <c r="H805" t="b">
        <v>0</v>
      </c>
      <c r="I805" t="b">
        <v>0</v>
      </c>
      <c r="J805" t="b">
        <v>0</v>
      </c>
      <c r="K805" t="b">
        <v>0</v>
      </c>
      <c r="L805" t="s">
        <v>2276</v>
      </c>
      <c r="M805" t="s">
        <v>1300</v>
      </c>
      <c r="N805" t="s">
        <v>57</v>
      </c>
      <c r="O805" t="b">
        <v>1</v>
      </c>
      <c r="P805">
        <v>7</v>
      </c>
      <c r="Q805" t="s">
        <v>907</v>
      </c>
      <c r="R805" t="s">
        <v>5</v>
      </c>
      <c r="S805" t="s">
        <v>5</v>
      </c>
      <c r="T805" t="s">
        <v>756</v>
      </c>
      <c r="U805" t="s">
        <v>5</v>
      </c>
      <c r="V805" t="s">
        <v>5</v>
      </c>
      <c r="W805">
        <v>6</v>
      </c>
      <c r="X805" t="s">
        <v>6</v>
      </c>
      <c r="Y805">
        <v>9</v>
      </c>
      <c r="Z805" t="s">
        <v>46</v>
      </c>
      <c r="AA805" t="s">
        <v>15</v>
      </c>
      <c r="AC805" t="s">
        <v>32</v>
      </c>
      <c r="AD805">
        <v>446</v>
      </c>
    </row>
    <row r="806" spans="1:30" x14ac:dyDescent="0.3">
      <c r="A806">
        <v>17734615</v>
      </c>
      <c r="B806" s="3">
        <v>45672</v>
      </c>
      <c r="C806">
        <v>2025</v>
      </c>
      <c r="D806">
        <v>1</v>
      </c>
      <c r="E806" t="s">
        <v>1579</v>
      </c>
      <c r="F806" t="s">
        <v>0</v>
      </c>
      <c r="G806" t="s">
        <v>10</v>
      </c>
      <c r="H806" t="b">
        <v>0</v>
      </c>
      <c r="I806" t="b">
        <v>0</v>
      </c>
      <c r="J806" t="b">
        <v>0</v>
      </c>
      <c r="K806" t="b">
        <v>0</v>
      </c>
      <c r="L806" t="s">
        <v>2277</v>
      </c>
      <c r="M806" t="s">
        <v>378</v>
      </c>
      <c r="N806" t="s">
        <v>17</v>
      </c>
      <c r="O806" t="b">
        <v>0</v>
      </c>
      <c r="P806">
        <v>3</v>
      </c>
      <c r="Q806" t="s">
        <v>1149</v>
      </c>
      <c r="R806" t="s">
        <v>1150</v>
      </c>
      <c r="S806" t="s">
        <v>5</v>
      </c>
      <c r="T806" t="s">
        <v>83</v>
      </c>
      <c r="U806" t="s">
        <v>144</v>
      </c>
      <c r="V806" t="s">
        <v>5</v>
      </c>
      <c r="W806">
        <v>3</v>
      </c>
      <c r="X806" t="s">
        <v>14</v>
      </c>
      <c r="Z806" t="s">
        <v>5</v>
      </c>
      <c r="AA806" t="s">
        <v>15</v>
      </c>
      <c r="AB806">
        <v>53</v>
      </c>
      <c r="AC806" t="s">
        <v>32</v>
      </c>
      <c r="AD806">
        <v>437</v>
      </c>
    </row>
    <row r="807" spans="1:30" x14ac:dyDescent="0.3">
      <c r="A807">
        <v>17740691</v>
      </c>
      <c r="B807" s="3">
        <v>45659</v>
      </c>
      <c r="C807">
        <v>2025</v>
      </c>
      <c r="D807">
        <v>1</v>
      </c>
      <c r="E807" t="s">
        <v>1579</v>
      </c>
      <c r="F807" t="s">
        <v>0</v>
      </c>
      <c r="G807" t="s">
        <v>1006</v>
      </c>
      <c r="H807" t="b">
        <v>1</v>
      </c>
      <c r="I807" t="b">
        <v>0</v>
      </c>
      <c r="J807" t="b">
        <v>1</v>
      </c>
      <c r="K807" t="b">
        <v>0</v>
      </c>
      <c r="L807" t="s">
        <v>2278</v>
      </c>
      <c r="M807" t="s">
        <v>1226</v>
      </c>
      <c r="N807" t="s">
        <v>5</v>
      </c>
      <c r="O807" t="b">
        <v>0</v>
      </c>
      <c r="P807">
        <v>4</v>
      </c>
      <c r="Q807" t="s">
        <v>1344</v>
      </c>
      <c r="R807" t="s">
        <v>1345</v>
      </c>
      <c r="S807">
        <v>65</v>
      </c>
      <c r="T807" t="s">
        <v>2270</v>
      </c>
      <c r="U807" t="s">
        <v>1346</v>
      </c>
      <c r="V807" t="s">
        <v>1347</v>
      </c>
      <c r="W807">
        <v>11</v>
      </c>
      <c r="X807" t="s">
        <v>6</v>
      </c>
      <c r="Y807">
        <v>57</v>
      </c>
      <c r="Z807" t="s">
        <v>7</v>
      </c>
      <c r="AA807" t="s">
        <v>8</v>
      </c>
      <c r="AC807" t="s">
        <v>47</v>
      </c>
      <c r="AD807">
        <v>450</v>
      </c>
    </row>
    <row r="808" spans="1:30" x14ac:dyDescent="0.3">
      <c r="A808">
        <v>17742328</v>
      </c>
      <c r="B808" s="3">
        <v>45684</v>
      </c>
      <c r="C808">
        <v>2025</v>
      </c>
      <c r="D808">
        <v>1</v>
      </c>
      <c r="E808" t="s">
        <v>1579</v>
      </c>
      <c r="F808" t="s">
        <v>0</v>
      </c>
      <c r="G808" t="s">
        <v>1</v>
      </c>
      <c r="H808" t="b">
        <v>0</v>
      </c>
      <c r="I808" t="b">
        <v>1</v>
      </c>
      <c r="J808" t="b">
        <v>0</v>
      </c>
      <c r="K808" t="b">
        <v>0</v>
      </c>
      <c r="L808" t="s">
        <v>2279</v>
      </c>
      <c r="M808" t="s">
        <v>2280</v>
      </c>
      <c r="N808" t="s">
        <v>140</v>
      </c>
      <c r="O808" t="b">
        <v>0</v>
      </c>
      <c r="P808">
        <v>33</v>
      </c>
      <c r="Q808" t="s">
        <v>588</v>
      </c>
      <c r="R808" t="s">
        <v>589</v>
      </c>
      <c r="S808" t="s">
        <v>5</v>
      </c>
      <c r="T808" t="s">
        <v>981</v>
      </c>
      <c r="U808" t="s">
        <v>591</v>
      </c>
      <c r="V808" t="s">
        <v>592</v>
      </c>
      <c r="W808">
        <v>33</v>
      </c>
      <c r="X808" t="s">
        <v>6</v>
      </c>
      <c r="Y808">
        <v>69</v>
      </c>
      <c r="Z808" t="s">
        <v>67</v>
      </c>
      <c r="AA808" t="s">
        <v>8</v>
      </c>
      <c r="AB808">
        <v>76</v>
      </c>
      <c r="AC808" t="s">
        <v>32</v>
      </c>
      <c r="AD808">
        <v>425</v>
      </c>
    </row>
    <row r="809" spans="1:30" x14ac:dyDescent="0.3">
      <c r="A809">
        <v>17755824</v>
      </c>
      <c r="B809" s="3">
        <v>45677</v>
      </c>
      <c r="C809">
        <v>2025</v>
      </c>
      <c r="D809">
        <v>1</v>
      </c>
      <c r="E809" t="s">
        <v>1579</v>
      </c>
      <c r="F809" t="s">
        <v>0</v>
      </c>
      <c r="G809" t="s">
        <v>10</v>
      </c>
      <c r="H809" t="b">
        <v>0</v>
      </c>
      <c r="I809" t="b">
        <v>0</v>
      </c>
      <c r="J809" t="b">
        <v>0</v>
      </c>
      <c r="K809" t="b">
        <v>0</v>
      </c>
      <c r="L809" t="s">
        <v>1491</v>
      </c>
      <c r="M809" t="s">
        <v>948</v>
      </c>
      <c r="N809" t="s">
        <v>63</v>
      </c>
      <c r="O809" t="b">
        <v>0</v>
      </c>
      <c r="P809">
        <v>10</v>
      </c>
      <c r="Q809" t="s">
        <v>787</v>
      </c>
      <c r="R809" t="s">
        <v>788</v>
      </c>
      <c r="S809">
        <v>48</v>
      </c>
      <c r="T809" t="s">
        <v>105</v>
      </c>
      <c r="U809" t="s">
        <v>789</v>
      </c>
      <c r="V809" t="s">
        <v>5</v>
      </c>
      <c r="W809">
        <v>8</v>
      </c>
      <c r="X809" t="s">
        <v>6</v>
      </c>
      <c r="Y809">
        <v>24</v>
      </c>
      <c r="Z809" t="s">
        <v>61</v>
      </c>
      <c r="AA809" t="s">
        <v>8</v>
      </c>
      <c r="AC809" t="s">
        <v>32</v>
      </c>
      <c r="AD809">
        <v>432</v>
      </c>
    </row>
    <row r="810" spans="1:30" x14ac:dyDescent="0.3">
      <c r="A810">
        <v>17756489</v>
      </c>
      <c r="B810" s="3">
        <v>45659</v>
      </c>
      <c r="C810">
        <v>2025</v>
      </c>
      <c r="D810">
        <v>1</v>
      </c>
      <c r="E810" t="s">
        <v>1579</v>
      </c>
      <c r="F810" t="s">
        <v>0</v>
      </c>
      <c r="G810" t="s">
        <v>10</v>
      </c>
      <c r="H810" t="b">
        <v>0</v>
      </c>
      <c r="I810" t="b">
        <v>0</v>
      </c>
      <c r="J810" t="b">
        <v>0</v>
      </c>
      <c r="K810" t="b">
        <v>0</v>
      </c>
      <c r="L810" t="s">
        <v>2281</v>
      </c>
      <c r="M810" t="s">
        <v>721</v>
      </c>
      <c r="N810" t="s">
        <v>57</v>
      </c>
      <c r="O810" t="b">
        <v>1</v>
      </c>
      <c r="P810">
        <v>3</v>
      </c>
      <c r="Q810" t="s">
        <v>208</v>
      </c>
      <c r="R810" t="s">
        <v>209</v>
      </c>
      <c r="S810" t="s">
        <v>5</v>
      </c>
      <c r="T810" t="s">
        <v>5</v>
      </c>
      <c r="U810" t="s">
        <v>210</v>
      </c>
      <c r="V810" t="s">
        <v>5</v>
      </c>
      <c r="W810">
        <v>14</v>
      </c>
      <c r="X810" t="s">
        <v>6</v>
      </c>
      <c r="Y810">
        <v>65</v>
      </c>
      <c r="Z810" t="s">
        <v>7</v>
      </c>
      <c r="AA810" t="s">
        <v>8</v>
      </c>
      <c r="AC810" t="s">
        <v>32</v>
      </c>
      <c r="AD810">
        <v>450</v>
      </c>
    </row>
    <row r="811" spans="1:30" x14ac:dyDescent="0.3">
      <c r="A811">
        <v>17756570</v>
      </c>
      <c r="B811" s="3">
        <v>45678</v>
      </c>
      <c r="C811">
        <v>2025</v>
      </c>
      <c r="D811">
        <v>1</v>
      </c>
      <c r="E811" t="s">
        <v>1579</v>
      </c>
      <c r="F811" t="s">
        <v>0</v>
      </c>
      <c r="G811" t="s">
        <v>1</v>
      </c>
      <c r="H811" t="b">
        <v>0</v>
      </c>
      <c r="I811" t="b">
        <v>1</v>
      </c>
      <c r="J811" t="b">
        <v>0</v>
      </c>
      <c r="K811" t="b">
        <v>0</v>
      </c>
      <c r="L811" t="s">
        <v>2282</v>
      </c>
      <c r="M811" t="s">
        <v>1297</v>
      </c>
      <c r="N811" t="s">
        <v>70</v>
      </c>
      <c r="O811" t="b">
        <v>0</v>
      </c>
      <c r="P811">
        <v>33</v>
      </c>
      <c r="Q811" t="s">
        <v>444</v>
      </c>
      <c r="R811" t="s">
        <v>445</v>
      </c>
      <c r="S811">
        <v>42</v>
      </c>
      <c r="T811" t="s">
        <v>619</v>
      </c>
      <c r="U811" t="s">
        <v>447</v>
      </c>
      <c r="V811" t="s">
        <v>172</v>
      </c>
      <c r="W811">
        <v>33</v>
      </c>
      <c r="X811" t="s">
        <v>6</v>
      </c>
      <c r="Y811">
        <v>54</v>
      </c>
      <c r="Z811" t="s">
        <v>7</v>
      </c>
      <c r="AA811" t="s">
        <v>15</v>
      </c>
      <c r="AC811" t="s">
        <v>101</v>
      </c>
      <c r="AD811">
        <v>431</v>
      </c>
    </row>
    <row r="812" spans="1:30" x14ac:dyDescent="0.3">
      <c r="A812">
        <v>17757654</v>
      </c>
      <c r="B812" s="3">
        <v>45668</v>
      </c>
      <c r="C812">
        <v>2025</v>
      </c>
      <c r="D812">
        <v>1</v>
      </c>
      <c r="E812" t="s">
        <v>1579</v>
      </c>
      <c r="F812" t="s">
        <v>0</v>
      </c>
      <c r="G812" t="s">
        <v>1</v>
      </c>
      <c r="H812" t="b">
        <v>0</v>
      </c>
      <c r="I812" t="b">
        <v>1</v>
      </c>
      <c r="J812" t="b">
        <v>0</v>
      </c>
      <c r="K812" t="b">
        <v>0</v>
      </c>
      <c r="L812" t="s">
        <v>2283</v>
      </c>
      <c r="M812" t="s">
        <v>1147</v>
      </c>
      <c r="N812" t="s">
        <v>5</v>
      </c>
      <c r="O812" t="b">
        <v>0</v>
      </c>
      <c r="P812">
        <v>3</v>
      </c>
      <c r="Q812" t="s">
        <v>764</v>
      </c>
      <c r="R812" t="s">
        <v>765</v>
      </c>
      <c r="S812">
        <v>48</v>
      </c>
      <c r="T812" t="s">
        <v>83</v>
      </c>
      <c r="U812" t="s">
        <v>766</v>
      </c>
      <c r="V812" t="s">
        <v>38</v>
      </c>
      <c r="W812">
        <v>1</v>
      </c>
      <c r="X812" t="s">
        <v>31</v>
      </c>
      <c r="Y812">
        <v>67</v>
      </c>
      <c r="Z812" t="s">
        <v>67</v>
      </c>
      <c r="AA812" t="s">
        <v>8</v>
      </c>
      <c r="AC812" t="s">
        <v>9</v>
      </c>
      <c r="AD812">
        <v>441</v>
      </c>
    </row>
    <row r="813" spans="1:30" x14ac:dyDescent="0.3">
      <c r="A813">
        <v>17760145</v>
      </c>
      <c r="B813" s="3">
        <v>45673</v>
      </c>
      <c r="C813">
        <v>2025</v>
      </c>
      <c r="D813">
        <v>1</v>
      </c>
      <c r="E813" t="s">
        <v>1579</v>
      </c>
      <c r="F813" t="s">
        <v>0</v>
      </c>
      <c r="G813" t="s">
        <v>10</v>
      </c>
      <c r="H813" t="b">
        <v>0</v>
      </c>
      <c r="I813" t="b">
        <v>0</v>
      </c>
      <c r="J813" t="b">
        <v>0</v>
      </c>
      <c r="K813" t="b">
        <v>0</v>
      </c>
      <c r="L813" t="s">
        <v>2284</v>
      </c>
      <c r="M813" t="s">
        <v>242</v>
      </c>
      <c r="N813" t="s">
        <v>5</v>
      </c>
      <c r="O813" t="b">
        <v>0</v>
      </c>
      <c r="P813">
        <v>5</v>
      </c>
      <c r="Q813" t="s">
        <v>162</v>
      </c>
      <c r="R813" t="s">
        <v>163</v>
      </c>
      <c r="S813">
        <v>48</v>
      </c>
      <c r="T813" t="s">
        <v>5</v>
      </c>
      <c r="U813" t="s">
        <v>88</v>
      </c>
      <c r="V813" t="s">
        <v>89</v>
      </c>
      <c r="W813">
        <v>1</v>
      </c>
      <c r="X813" t="s">
        <v>31</v>
      </c>
      <c r="Y813">
        <v>65</v>
      </c>
      <c r="Z813" t="s">
        <v>7</v>
      </c>
      <c r="AA813" t="s">
        <v>8</v>
      </c>
      <c r="AB813">
        <v>55.338000000000001</v>
      </c>
      <c r="AC813" t="s">
        <v>32</v>
      </c>
      <c r="AD813">
        <v>436</v>
      </c>
    </row>
    <row r="814" spans="1:30" x14ac:dyDescent="0.3">
      <c r="A814">
        <v>17760250</v>
      </c>
      <c r="B814" s="3">
        <v>45660</v>
      </c>
      <c r="C814">
        <v>2025</v>
      </c>
      <c r="D814">
        <v>1</v>
      </c>
      <c r="E814" t="s">
        <v>1579</v>
      </c>
      <c r="F814" t="s">
        <v>0</v>
      </c>
      <c r="G814" t="s">
        <v>10</v>
      </c>
      <c r="H814" t="b">
        <v>0</v>
      </c>
      <c r="I814" t="b">
        <v>0</v>
      </c>
      <c r="J814" t="b">
        <v>0</v>
      </c>
      <c r="K814" t="b">
        <v>0</v>
      </c>
      <c r="L814" t="s">
        <v>2285</v>
      </c>
      <c r="M814" t="s">
        <v>804</v>
      </c>
      <c r="N814" t="s">
        <v>118</v>
      </c>
      <c r="O814" t="b">
        <v>0</v>
      </c>
      <c r="P814">
        <v>6</v>
      </c>
      <c r="Q814" t="s">
        <v>750</v>
      </c>
      <c r="R814" t="s">
        <v>751</v>
      </c>
      <c r="S814">
        <v>48</v>
      </c>
      <c r="T814" t="s">
        <v>105</v>
      </c>
      <c r="U814" t="s">
        <v>752</v>
      </c>
      <c r="V814" t="s">
        <v>753</v>
      </c>
      <c r="W814">
        <v>3</v>
      </c>
      <c r="X814" t="s">
        <v>14</v>
      </c>
      <c r="Y814">
        <v>41</v>
      </c>
      <c r="Z814" t="s">
        <v>7</v>
      </c>
      <c r="AA814" t="s">
        <v>8</v>
      </c>
      <c r="AC814" t="s">
        <v>32</v>
      </c>
      <c r="AD814">
        <v>449</v>
      </c>
    </row>
    <row r="815" spans="1:30" x14ac:dyDescent="0.3">
      <c r="A815">
        <v>17761016</v>
      </c>
      <c r="B815" s="3">
        <v>45674</v>
      </c>
      <c r="C815">
        <v>2025</v>
      </c>
      <c r="D815">
        <v>1</v>
      </c>
      <c r="E815" t="s">
        <v>1579</v>
      </c>
      <c r="F815" t="s">
        <v>125</v>
      </c>
      <c r="G815" t="s">
        <v>10</v>
      </c>
      <c r="H815" t="b">
        <v>0</v>
      </c>
      <c r="I815" t="b">
        <v>0</v>
      </c>
      <c r="J815" t="b">
        <v>0</v>
      </c>
      <c r="K815" t="b">
        <v>0</v>
      </c>
      <c r="L815" t="s">
        <v>2286</v>
      </c>
      <c r="M815" t="s">
        <v>520</v>
      </c>
      <c r="N815" t="s">
        <v>5</v>
      </c>
      <c r="O815" t="b">
        <v>0</v>
      </c>
      <c r="P815">
        <v>6</v>
      </c>
      <c r="Q815" t="s">
        <v>208</v>
      </c>
      <c r="R815" t="s">
        <v>209</v>
      </c>
      <c r="S815">
        <v>48</v>
      </c>
      <c r="T815" t="s">
        <v>80</v>
      </c>
      <c r="U815" t="s">
        <v>210</v>
      </c>
      <c r="V815" t="s">
        <v>5</v>
      </c>
      <c r="W815">
        <v>3</v>
      </c>
      <c r="X815" t="s">
        <v>14</v>
      </c>
      <c r="Y815">
        <v>58</v>
      </c>
      <c r="Z815" t="s">
        <v>7</v>
      </c>
      <c r="AA815" t="s">
        <v>8</v>
      </c>
      <c r="AC815" t="s">
        <v>32</v>
      </c>
      <c r="AD815">
        <v>435</v>
      </c>
    </row>
    <row r="816" spans="1:30" x14ac:dyDescent="0.3">
      <c r="A816">
        <v>17764218</v>
      </c>
      <c r="B816" s="3">
        <v>45686</v>
      </c>
      <c r="C816">
        <v>2025</v>
      </c>
      <c r="D816">
        <v>1</v>
      </c>
      <c r="E816" t="s">
        <v>1579</v>
      </c>
      <c r="F816" t="s">
        <v>0</v>
      </c>
      <c r="G816" t="s">
        <v>10</v>
      </c>
      <c r="H816" t="b">
        <v>0</v>
      </c>
      <c r="I816" t="b">
        <v>0</v>
      </c>
      <c r="J816" t="b">
        <v>0</v>
      </c>
      <c r="K816" t="b">
        <v>0</v>
      </c>
      <c r="L816" t="s">
        <v>2287</v>
      </c>
      <c r="M816" t="s">
        <v>285</v>
      </c>
      <c r="N816" t="s">
        <v>118</v>
      </c>
      <c r="O816" t="b">
        <v>0</v>
      </c>
      <c r="P816">
        <v>10</v>
      </c>
      <c r="Q816" t="s">
        <v>611</v>
      </c>
      <c r="R816" t="s">
        <v>612</v>
      </c>
      <c r="S816">
        <v>42</v>
      </c>
      <c r="T816" t="s">
        <v>291</v>
      </c>
      <c r="U816" t="s">
        <v>29</v>
      </c>
      <c r="V816" t="s">
        <v>130</v>
      </c>
      <c r="W816">
        <v>37</v>
      </c>
      <c r="X816" t="s">
        <v>6</v>
      </c>
      <c r="Z816" t="s">
        <v>5</v>
      </c>
      <c r="AA816" t="s">
        <v>5</v>
      </c>
      <c r="AC816" t="s">
        <v>9</v>
      </c>
      <c r="AD816">
        <v>423</v>
      </c>
    </row>
    <row r="817" spans="1:30" x14ac:dyDescent="0.3">
      <c r="A817">
        <v>17771701</v>
      </c>
      <c r="B817" s="3">
        <v>45677</v>
      </c>
      <c r="C817">
        <v>2025</v>
      </c>
      <c r="D817">
        <v>1</v>
      </c>
      <c r="E817" t="s">
        <v>1579</v>
      </c>
      <c r="F817" t="s">
        <v>0</v>
      </c>
      <c r="G817" t="s">
        <v>10</v>
      </c>
      <c r="H817" t="b">
        <v>0</v>
      </c>
      <c r="I817" t="b">
        <v>0</v>
      </c>
      <c r="J817" t="b">
        <v>0</v>
      </c>
      <c r="K817" t="b">
        <v>0</v>
      </c>
      <c r="L817" t="s">
        <v>2288</v>
      </c>
      <c r="M817" t="s">
        <v>545</v>
      </c>
      <c r="N817" t="s">
        <v>118</v>
      </c>
      <c r="O817" t="b">
        <v>0</v>
      </c>
      <c r="P817">
        <v>9</v>
      </c>
      <c r="Q817" t="s">
        <v>787</v>
      </c>
      <c r="R817" t="s">
        <v>788</v>
      </c>
      <c r="S817">
        <v>48</v>
      </c>
      <c r="T817" t="s">
        <v>105</v>
      </c>
      <c r="U817" t="s">
        <v>789</v>
      </c>
      <c r="V817" t="s">
        <v>5</v>
      </c>
      <c r="W817">
        <v>13</v>
      </c>
      <c r="X817" t="s">
        <v>6</v>
      </c>
      <c r="Y817">
        <v>32</v>
      </c>
      <c r="Z817" t="s">
        <v>61</v>
      </c>
      <c r="AA817" t="s">
        <v>15</v>
      </c>
      <c r="AC817" t="s">
        <v>32</v>
      </c>
      <c r="AD817">
        <v>432</v>
      </c>
    </row>
    <row r="818" spans="1:30" x14ac:dyDescent="0.3">
      <c r="A818">
        <v>17773837</v>
      </c>
      <c r="B818" s="3">
        <v>45672</v>
      </c>
      <c r="C818">
        <v>2025</v>
      </c>
      <c r="D818">
        <v>1</v>
      </c>
      <c r="E818" t="s">
        <v>1579</v>
      </c>
      <c r="F818" t="s">
        <v>125</v>
      </c>
      <c r="G818" t="s">
        <v>10</v>
      </c>
      <c r="H818" t="b">
        <v>0</v>
      </c>
      <c r="I818" t="b">
        <v>0</v>
      </c>
      <c r="J818" t="b">
        <v>0</v>
      </c>
      <c r="K818" t="b">
        <v>0</v>
      </c>
      <c r="L818" t="s">
        <v>2289</v>
      </c>
      <c r="M818" t="s">
        <v>396</v>
      </c>
      <c r="N818" t="s">
        <v>57</v>
      </c>
      <c r="O818" t="b">
        <v>1</v>
      </c>
      <c r="P818">
        <v>12</v>
      </c>
      <c r="Q818" t="s">
        <v>630</v>
      </c>
      <c r="R818" t="s">
        <v>5</v>
      </c>
      <c r="S818" t="s">
        <v>5</v>
      </c>
      <c r="T818" t="s">
        <v>590</v>
      </c>
      <c r="U818" t="s">
        <v>5</v>
      </c>
      <c r="V818" t="s">
        <v>5</v>
      </c>
      <c r="W818">
        <v>17</v>
      </c>
      <c r="X818" t="s">
        <v>6</v>
      </c>
      <c r="Y818">
        <v>37</v>
      </c>
      <c r="Z818" t="s">
        <v>61</v>
      </c>
      <c r="AA818" t="s">
        <v>8</v>
      </c>
      <c r="AB818">
        <v>77</v>
      </c>
      <c r="AC818" t="s">
        <v>32</v>
      </c>
      <c r="AD818">
        <v>437</v>
      </c>
    </row>
    <row r="819" spans="1:30" x14ac:dyDescent="0.3">
      <c r="A819">
        <v>17780163</v>
      </c>
      <c r="B819" s="3">
        <v>45680</v>
      </c>
      <c r="C819">
        <v>2025</v>
      </c>
      <c r="D819">
        <v>1</v>
      </c>
      <c r="E819" t="s">
        <v>1579</v>
      </c>
      <c r="F819" t="s">
        <v>125</v>
      </c>
      <c r="G819" t="s">
        <v>10</v>
      </c>
      <c r="H819" t="b">
        <v>0</v>
      </c>
      <c r="I819" t="b">
        <v>0</v>
      </c>
      <c r="J819" t="b">
        <v>0</v>
      </c>
      <c r="K819" t="b">
        <v>0</v>
      </c>
      <c r="L819" t="s">
        <v>1573</v>
      </c>
      <c r="M819" t="s">
        <v>546</v>
      </c>
      <c r="N819" t="s">
        <v>21</v>
      </c>
      <c r="O819" t="b">
        <v>0</v>
      </c>
      <c r="P819">
        <v>2</v>
      </c>
      <c r="Q819" t="s">
        <v>423</v>
      </c>
      <c r="R819" t="s">
        <v>424</v>
      </c>
      <c r="S819">
        <v>50</v>
      </c>
      <c r="T819" t="s">
        <v>150</v>
      </c>
      <c r="U819" t="s">
        <v>177</v>
      </c>
      <c r="V819" t="s">
        <v>292</v>
      </c>
      <c r="W819">
        <v>2</v>
      </c>
      <c r="X819" t="s">
        <v>14</v>
      </c>
      <c r="Z819" t="s">
        <v>5</v>
      </c>
      <c r="AA819" t="s">
        <v>8</v>
      </c>
      <c r="AC819" t="s">
        <v>32</v>
      </c>
      <c r="AD819">
        <v>429</v>
      </c>
    </row>
    <row r="820" spans="1:30" x14ac:dyDescent="0.3">
      <c r="A820">
        <v>17783607</v>
      </c>
      <c r="B820" s="3">
        <v>45680</v>
      </c>
      <c r="C820">
        <v>2025</v>
      </c>
      <c r="D820">
        <v>1</v>
      </c>
      <c r="E820" t="s">
        <v>1579</v>
      </c>
      <c r="F820" t="s">
        <v>125</v>
      </c>
      <c r="G820" t="s">
        <v>10</v>
      </c>
      <c r="H820" t="b">
        <v>0</v>
      </c>
      <c r="I820" t="b">
        <v>0</v>
      </c>
      <c r="J820" t="b">
        <v>0</v>
      </c>
      <c r="K820" t="b">
        <v>0</v>
      </c>
      <c r="L820" t="s">
        <v>1350</v>
      </c>
      <c r="M820" t="s">
        <v>192</v>
      </c>
      <c r="N820" t="s">
        <v>5</v>
      </c>
      <c r="O820" t="b">
        <v>0</v>
      </c>
      <c r="P820">
        <v>2</v>
      </c>
      <c r="Q820" t="s">
        <v>226</v>
      </c>
      <c r="R820" t="s">
        <v>227</v>
      </c>
      <c r="S820" t="s">
        <v>5</v>
      </c>
      <c r="T820" t="s">
        <v>5</v>
      </c>
      <c r="U820" t="s">
        <v>228</v>
      </c>
      <c r="V820" t="s">
        <v>5</v>
      </c>
      <c r="W820">
        <v>1</v>
      </c>
      <c r="X820" t="s">
        <v>31</v>
      </c>
      <c r="Y820">
        <v>67</v>
      </c>
      <c r="Z820" t="s">
        <v>67</v>
      </c>
      <c r="AA820" t="s">
        <v>8</v>
      </c>
      <c r="AC820" t="s">
        <v>32</v>
      </c>
      <c r="AD820">
        <v>429</v>
      </c>
    </row>
    <row r="821" spans="1:30" x14ac:dyDescent="0.3">
      <c r="A821">
        <v>17785540</v>
      </c>
      <c r="B821" s="3">
        <v>45681</v>
      </c>
      <c r="C821">
        <v>2025</v>
      </c>
      <c r="D821">
        <v>1</v>
      </c>
      <c r="E821" t="s">
        <v>1579</v>
      </c>
      <c r="F821" t="s">
        <v>0</v>
      </c>
      <c r="G821" t="s">
        <v>10</v>
      </c>
      <c r="H821" t="b">
        <v>0</v>
      </c>
      <c r="I821" t="b">
        <v>0</v>
      </c>
      <c r="J821" t="b">
        <v>0</v>
      </c>
      <c r="K821" t="b">
        <v>0</v>
      </c>
      <c r="L821" t="s">
        <v>1265</v>
      </c>
      <c r="M821" t="s">
        <v>534</v>
      </c>
      <c r="N821" t="s">
        <v>63</v>
      </c>
      <c r="O821" t="b">
        <v>0</v>
      </c>
      <c r="P821">
        <v>2</v>
      </c>
      <c r="Q821" t="s">
        <v>750</v>
      </c>
      <c r="R821" t="s">
        <v>751</v>
      </c>
      <c r="S821">
        <v>48</v>
      </c>
      <c r="T821" t="s">
        <v>105</v>
      </c>
      <c r="U821" t="s">
        <v>752</v>
      </c>
      <c r="V821" t="s">
        <v>753</v>
      </c>
      <c r="W821">
        <v>5</v>
      </c>
      <c r="X821" t="s">
        <v>40</v>
      </c>
      <c r="Y821">
        <v>61</v>
      </c>
      <c r="Z821" t="s">
        <v>7</v>
      </c>
      <c r="AA821" t="s">
        <v>8</v>
      </c>
      <c r="AC821" t="s">
        <v>32</v>
      </c>
      <c r="AD821">
        <v>428</v>
      </c>
    </row>
    <row r="822" spans="1:30" x14ac:dyDescent="0.3">
      <c r="A822">
        <v>17787820</v>
      </c>
      <c r="B822" s="3">
        <v>45671</v>
      </c>
      <c r="C822">
        <v>2025</v>
      </c>
      <c r="D822">
        <v>1</v>
      </c>
      <c r="E822" t="s">
        <v>1579</v>
      </c>
      <c r="F822" t="s">
        <v>0</v>
      </c>
      <c r="G822" t="s">
        <v>10</v>
      </c>
      <c r="H822" t="b">
        <v>0</v>
      </c>
      <c r="I822" t="b">
        <v>0</v>
      </c>
      <c r="J822" t="b">
        <v>0</v>
      </c>
      <c r="K822" t="b">
        <v>0</v>
      </c>
      <c r="L822" t="s">
        <v>2290</v>
      </c>
      <c r="M822" t="s">
        <v>394</v>
      </c>
      <c r="N822" t="s">
        <v>174</v>
      </c>
      <c r="O822" t="b">
        <v>0</v>
      </c>
      <c r="P822">
        <v>3</v>
      </c>
      <c r="Q822" t="s">
        <v>1307</v>
      </c>
      <c r="R822" t="s">
        <v>1308</v>
      </c>
      <c r="S822">
        <v>42</v>
      </c>
      <c r="T822" t="s">
        <v>213</v>
      </c>
      <c r="U822" t="s">
        <v>574</v>
      </c>
      <c r="V822" t="s">
        <v>5</v>
      </c>
      <c r="W822">
        <v>17</v>
      </c>
      <c r="X822" t="s">
        <v>6</v>
      </c>
      <c r="Y822">
        <v>30</v>
      </c>
      <c r="Z822" t="s">
        <v>61</v>
      </c>
      <c r="AA822" t="s">
        <v>15</v>
      </c>
      <c r="AB822">
        <v>69</v>
      </c>
      <c r="AC822" t="s">
        <v>116</v>
      </c>
      <c r="AD822">
        <v>438</v>
      </c>
    </row>
    <row r="823" spans="1:30" x14ac:dyDescent="0.3">
      <c r="A823">
        <v>17793257</v>
      </c>
      <c r="B823" s="3">
        <v>45679</v>
      </c>
      <c r="C823">
        <v>2025</v>
      </c>
      <c r="D823">
        <v>1</v>
      </c>
      <c r="E823" t="s">
        <v>1579</v>
      </c>
      <c r="F823" t="s">
        <v>0</v>
      </c>
      <c r="G823" t="s">
        <v>1</v>
      </c>
      <c r="H823" t="b">
        <v>0</v>
      </c>
      <c r="I823" t="b">
        <v>1</v>
      </c>
      <c r="J823" t="b">
        <v>0</v>
      </c>
      <c r="K823" t="b">
        <v>0</v>
      </c>
      <c r="L823" t="s">
        <v>2291</v>
      </c>
      <c r="M823" t="s">
        <v>682</v>
      </c>
      <c r="N823" t="s">
        <v>17</v>
      </c>
      <c r="O823" t="b">
        <v>0</v>
      </c>
      <c r="P823">
        <v>4</v>
      </c>
      <c r="Q823" t="s">
        <v>386</v>
      </c>
      <c r="R823" t="s">
        <v>387</v>
      </c>
      <c r="S823">
        <v>65</v>
      </c>
      <c r="T823" t="s">
        <v>1050</v>
      </c>
      <c r="U823" t="s">
        <v>388</v>
      </c>
      <c r="V823" t="s">
        <v>111</v>
      </c>
      <c r="W823">
        <v>9</v>
      </c>
      <c r="X823" t="s">
        <v>6</v>
      </c>
      <c r="Y823">
        <v>79</v>
      </c>
      <c r="Z823" t="s">
        <v>67</v>
      </c>
      <c r="AA823" t="s">
        <v>8</v>
      </c>
      <c r="AC823" t="s">
        <v>284</v>
      </c>
      <c r="AD823">
        <v>430</v>
      </c>
    </row>
    <row r="824" spans="1:30" x14ac:dyDescent="0.3">
      <c r="A824">
        <v>17798910</v>
      </c>
      <c r="B824" s="3">
        <v>45670</v>
      </c>
      <c r="C824">
        <v>2025</v>
      </c>
      <c r="D824">
        <v>1</v>
      </c>
      <c r="E824" t="s">
        <v>1579</v>
      </c>
      <c r="F824" t="s">
        <v>0</v>
      </c>
      <c r="G824" t="s">
        <v>10</v>
      </c>
      <c r="H824" t="b">
        <v>0</v>
      </c>
      <c r="I824" t="b">
        <v>0</v>
      </c>
      <c r="J824" t="b">
        <v>0</v>
      </c>
      <c r="K824" t="b">
        <v>0</v>
      </c>
      <c r="L824" t="s">
        <v>2292</v>
      </c>
      <c r="M824" t="s">
        <v>1070</v>
      </c>
      <c r="N824" t="s">
        <v>63</v>
      </c>
      <c r="O824" t="b">
        <v>0</v>
      </c>
      <c r="P824">
        <v>2</v>
      </c>
      <c r="Q824" t="s">
        <v>907</v>
      </c>
      <c r="R824" t="s">
        <v>5</v>
      </c>
      <c r="S824" t="s">
        <v>5</v>
      </c>
      <c r="T824" t="s">
        <v>83</v>
      </c>
      <c r="U824" t="s">
        <v>5</v>
      </c>
      <c r="V824" t="s">
        <v>5</v>
      </c>
      <c r="W824">
        <v>3</v>
      </c>
      <c r="X824" t="s">
        <v>14</v>
      </c>
      <c r="Y824">
        <v>26</v>
      </c>
      <c r="Z824" t="s">
        <v>61</v>
      </c>
      <c r="AA824" t="s">
        <v>15</v>
      </c>
      <c r="AC824" t="s">
        <v>32</v>
      </c>
      <c r="AD824">
        <v>439</v>
      </c>
    </row>
    <row r="825" spans="1:30" x14ac:dyDescent="0.3">
      <c r="A825">
        <v>17801523</v>
      </c>
      <c r="B825" s="3">
        <v>45679</v>
      </c>
      <c r="C825">
        <v>2025</v>
      </c>
      <c r="D825">
        <v>1</v>
      </c>
      <c r="E825" t="s">
        <v>1579</v>
      </c>
      <c r="F825" t="s">
        <v>0</v>
      </c>
      <c r="G825" t="s">
        <v>151</v>
      </c>
      <c r="H825" t="b">
        <v>0</v>
      </c>
      <c r="I825" t="b">
        <v>1</v>
      </c>
      <c r="J825" t="b">
        <v>0</v>
      </c>
      <c r="K825" t="b">
        <v>1</v>
      </c>
      <c r="L825" t="s">
        <v>2293</v>
      </c>
      <c r="M825" t="s">
        <v>1298</v>
      </c>
      <c r="N825" t="s">
        <v>70</v>
      </c>
      <c r="O825" t="b">
        <v>0</v>
      </c>
      <c r="P825">
        <v>19</v>
      </c>
      <c r="Q825" t="s">
        <v>320</v>
      </c>
      <c r="R825" t="s">
        <v>321</v>
      </c>
      <c r="S825">
        <v>58</v>
      </c>
      <c r="T825" t="s">
        <v>237</v>
      </c>
      <c r="U825" t="s">
        <v>4</v>
      </c>
      <c r="V825" t="s">
        <v>322</v>
      </c>
      <c r="W825">
        <v>13</v>
      </c>
      <c r="X825" t="s">
        <v>6</v>
      </c>
      <c r="Y825">
        <v>54</v>
      </c>
      <c r="Z825" t="s">
        <v>7</v>
      </c>
      <c r="AA825" t="s">
        <v>8</v>
      </c>
      <c r="AC825" t="s">
        <v>9</v>
      </c>
      <c r="AD825">
        <v>430</v>
      </c>
    </row>
    <row r="826" spans="1:30" x14ac:dyDescent="0.3">
      <c r="A826">
        <v>17810555</v>
      </c>
      <c r="B826" s="3">
        <v>45678</v>
      </c>
      <c r="C826">
        <v>2025</v>
      </c>
      <c r="D826">
        <v>1</v>
      </c>
      <c r="E826" t="s">
        <v>1579</v>
      </c>
      <c r="F826" t="s">
        <v>0</v>
      </c>
      <c r="G826" t="s">
        <v>10</v>
      </c>
      <c r="H826" t="b">
        <v>0</v>
      </c>
      <c r="I826" t="b">
        <v>0</v>
      </c>
      <c r="J826" t="b">
        <v>0</v>
      </c>
      <c r="K826" t="b">
        <v>0</v>
      </c>
      <c r="L826" t="s">
        <v>109</v>
      </c>
      <c r="M826" t="s">
        <v>109</v>
      </c>
      <c r="N826" t="s">
        <v>12</v>
      </c>
      <c r="O826" t="b">
        <v>1</v>
      </c>
      <c r="P826">
        <v>1</v>
      </c>
      <c r="Q826" t="s">
        <v>460</v>
      </c>
      <c r="R826" t="s">
        <v>461</v>
      </c>
      <c r="S826">
        <v>58</v>
      </c>
      <c r="T826" t="s">
        <v>687</v>
      </c>
      <c r="U826" t="s">
        <v>462</v>
      </c>
      <c r="V826" t="s">
        <v>24</v>
      </c>
      <c r="W826">
        <v>1</v>
      </c>
      <c r="X826" t="s">
        <v>31</v>
      </c>
      <c r="Y826">
        <v>54</v>
      </c>
      <c r="Z826" t="s">
        <v>7</v>
      </c>
      <c r="AA826" t="s">
        <v>8</v>
      </c>
      <c r="AC826" t="s">
        <v>9</v>
      </c>
      <c r="AD826">
        <v>431</v>
      </c>
    </row>
    <row r="827" spans="1:30" x14ac:dyDescent="0.3">
      <c r="A827">
        <v>17810558</v>
      </c>
      <c r="B827" s="3">
        <v>45677</v>
      </c>
      <c r="C827">
        <v>2025</v>
      </c>
      <c r="D827">
        <v>1</v>
      </c>
      <c r="E827" t="s">
        <v>1579</v>
      </c>
      <c r="F827" t="s">
        <v>0</v>
      </c>
      <c r="G827" t="s">
        <v>10</v>
      </c>
      <c r="H827" t="b">
        <v>0</v>
      </c>
      <c r="I827" t="b">
        <v>0</v>
      </c>
      <c r="J827" t="b">
        <v>0</v>
      </c>
      <c r="K827" t="b">
        <v>0</v>
      </c>
      <c r="L827" t="s">
        <v>2294</v>
      </c>
      <c r="M827" t="s">
        <v>262</v>
      </c>
      <c r="N827" t="s">
        <v>63</v>
      </c>
      <c r="O827" t="b">
        <v>0</v>
      </c>
      <c r="P827">
        <v>6</v>
      </c>
      <c r="Q827" t="s">
        <v>460</v>
      </c>
      <c r="R827" t="s">
        <v>461</v>
      </c>
      <c r="S827">
        <v>65</v>
      </c>
      <c r="T827" t="s">
        <v>83</v>
      </c>
      <c r="U827" t="s">
        <v>462</v>
      </c>
      <c r="V827" t="s">
        <v>24</v>
      </c>
      <c r="W827">
        <v>1</v>
      </c>
      <c r="X827" t="s">
        <v>31</v>
      </c>
      <c r="Z827" t="s">
        <v>5</v>
      </c>
      <c r="AA827" t="s">
        <v>5</v>
      </c>
      <c r="AC827" t="s">
        <v>9</v>
      </c>
      <c r="AD827">
        <v>432</v>
      </c>
    </row>
    <row r="828" spans="1:30" x14ac:dyDescent="0.3">
      <c r="A828">
        <v>17812700</v>
      </c>
      <c r="B828" s="3">
        <v>45674</v>
      </c>
      <c r="C828">
        <v>2025</v>
      </c>
      <c r="D828">
        <v>1</v>
      </c>
      <c r="E828" t="s">
        <v>1579</v>
      </c>
      <c r="F828" t="s">
        <v>0</v>
      </c>
      <c r="G828" t="s">
        <v>10</v>
      </c>
      <c r="H828" t="b">
        <v>0</v>
      </c>
      <c r="I828" t="b">
        <v>0</v>
      </c>
      <c r="J828" t="b">
        <v>0</v>
      </c>
      <c r="K828" t="b">
        <v>0</v>
      </c>
      <c r="L828" t="s">
        <v>2295</v>
      </c>
      <c r="M828" t="s">
        <v>470</v>
      </c>
      <c r="N828" t="s">
        <v>21</v>
      </c>
      <c r="O828" t="b">
        <v>0</v>
      </c>
      <c r="P828">
        <v>3</v>
      </c>
      <c r="Q828" t="s">
        <v>132</v>
      </c>
      <c r="R828" t="s">
        <v>623</v>
      </c>
      <c r="S828">
        <v>58</v>
      </c>
      <c r="T828" t="s">
        <v>22</v>
      </c>
      <c r="U828" t="s">
        <v>23</v>
      </c>
      <c r="V828" t="s">
        <v>24</v>
      </c>
      <c r="W828">
        <v>2</v>
      </c>
      <c r="X828" t="s">
        <v>14</v>
      </c>
      <c r="Y828">
        <v>77</v>
      </c>
      <c r="Z828" t="s">
        <v>67</v>
      </c>
      <c r="AA828" t="s">
        <v>8</v>
      </c>
      <c r="AC828" t="s">
        <v>9</v>
      </c>
      <c r="AD828">
        <v>435</v>
      </c>
    </row>
    <row r="829" spans="1:30" x14ac:dyDescent="0.3">
      <c r="A829">
        <v>17812979</v>
      </c>
      <c r="B829" s="3">
        <v>45659</v>
      </c>
      <c r="C829">
        <v>2025</v>
      </c>
      <c r="D829">
        <v>1</v>
      </c>
      <c r="E829" t="s">
        <v>1579</v>
      </c>
      <c r="F829" t="s">
        <v>0</v>
      </c>
      <c r="G829" t="s">
        <v>10</v>
      </c>
      <c r="H829" t="b">
        <v>0</v>
      </c>
      <c r="I829" t="b">
        <v>0</v>
      </c>
      <c r="J829" t="b">
        <v>0</v>
      </c>
      <c r="K829" t="b">
        <v>0</v>
      </c>
      <c r="L829" t="s">
        <v>2296</v>
      </c>
      <c r="M829" t="s">
        <v>243</v>
      </c>
      <c r="N829" t="s">
        <v>63</v>
      </c>
      <c r="O829" t="b">
        <v>0</v>
      </c>
      <c r="P829">
        <v>9</v>
      </c>
      <c r="Q829" t="s">
        <v>328</v>
      </c>
      <c r="R829" t="s">
        <v>329</v>
      </c>
      <c r="S829">
        <v>65</v>
      </c>
      <c r="T829" t="s">
        <v>1445</v>
      </c>
      <c r="U829" t="s">
        <v>330</v>
      </c>
      <c r="V829" t="s">
        <v>331</v>
      </c>
      <c r="W829">
        <v>22</v>
      </c>
      <c r="X829" t="s">
        <v>6</v>
      </c>
      <c r="Y829">
        <v>74</v>
      </c>
      <c r="Z829" t="s">
        <v>67</v>
      </c>
      <c r="AA829" t="s">
        <v>8</v>
      </c>
      <c r="AC829" t="s">
        <v>412</v>
      </c>
      <c r="AD829">
        <v>450</v>
      </c>
    </row>
    <row r="830" spans="1:30" x14ac:dyDescent="0.3">
      <c r="A830">
        <v>17814443</v>
      </c>
      <c r="B830" s="3">
        <v>45679</v>
      </c>
      <c r="C830">
        <v>2025</v>
      </c>
      <c r="D830">
        <v>1</v>
      </c>
      <c r="E830" t="s">
        <v>1579</v>
      </c>
      <c r="F830" t="s">
        <v>0</v>
      </c>
      <c r="G830" t="s">
        <v>10</v>
      </c>
      <c r="H830" t="b">
        <v>0</v>
      </c>
      <c r="I830" t="b">
        <v>0</v>
      </c>
      <c r="J830" t="b">
        <v>0</v>
      </c>
      <c r="K830" t="b">
        <v>0</v>
      </c>
      <c r="L830" t="s">
        <v>2297</v>
      </c>
      <c r="M830" t="s">
        <v>1446</v>
      </c>
      <c r="N830" t="s">
        <v>17</v>
      </c>
      <c r="O830" t="b">
        <v>0</v>
      </c>
      <c r="P830">
        <v>9</v>
      </c>
      <c r="Q830" t="s">
        <v>1382</v>
      </c>
      <c r="R830" t="s">
        <v>1383</v>
      </c>
      <c r="S830">
        <v>65</v>
      </c>
      <c r="T830" t="s">
        <v>598</v>
      </c>
      <c r="U830" t="s">
        <v>1384</v>
      </c>
      <c r="V830" t="s">
        <v>5</v>
      </c>
      <c r="W830">
        <v>9</v>
      </c>
      <c r="X830" t="s">
        <v>6</v>
      </c>
      <c r="Y830">
        <v>10</v>
      </c>
      <c r="Z830" t="s">
        <v>46</v>
      </c>
      <c r="AA830" t="s">
        <v>15</v>
      </c>
      <c r="AC830" t="s">
        <v>9</v>
      </c>
      <c r="AD830">
        <v>430</v>
      </c>
    </row>
    <row r="831" spans="1:30" x14ac:dyDescent="0.3">
      <c r="A831">
        <v>17816473</v>
      </c>
      <c r="B831" s="3">
        <v>45678</v>
      </c>
      <c r="C831">
        <v>2025</v>
      </c>
      <c r="D831">
        <v>1</v>
      </c>
      <c r="E831" t="s">
        <v>1579</v>
      </c>
      <c r="F831" t="s">
        <v>0</v>
      </c>
      <c r="G831" t="s">
        <v>10</v>
      </c>
      <c r="H831" t="b">
        <v>0</v>
      </c>
      <c r="I831" t="b">
        <v>0</v>
      </c>
      <c r="J831" t="b">
        <v>0</v>
      </c>
      <c r="K831" t="b">
        <v>0</v>
      </c>
      <c r="L831" t="s">
        <v>2298</v>
      </c>
      <c r="M831" t="s">
        <v>995</v>
      </c>
      <c r="N831" t="s">
        <v>5</v>
      </c>
      <c r="O831" t="b">
        <v>0</v>
      </c>
      <c r="P831">
        <v>8</v>
      </c>
      <c r="Q831" t="s">
        <v>208</v>
      </c>
      <c r="R831" t="s">
        <v>209</v>
      </c>
      <c r="S831" t="s">
        <v>5</v>
      </c>
      <c r="T831" t="s">
        <v>5</v>
      </c>
      <c r="U831" t="s">
        <v>210</v>
      </c>
      <c r="V831" t="s">
        <v>5</v>
      </c>
      <c r="W831">
        <v>1</v>
      </c>
      <c r="X831" t="s">
        <v>31</v>
      </c>
      <c r="Y831">
        <v>83</v>
      </c>
      <c r="Z831" t="s">
        <v>196</v>
      </c>
      <c r="AA831" t="s">
        <v>8</v>
      </c>
      <c r="AB831">
        <v>86.168000000000006</v>
      </c>
      <c r="AC831" t="s">
        <v>32</v>
      </c>
      <c r="AD831">
        <v>431</v>
      </c>
    </row>
    <row r="832" spans="1:30" x14ac:dyDescent="0.3">
      <c r="A832">
        <v>17816503</v>
      </c>
      <c r="B832" s="3">
        <v>45666</v>
      </c>
      <c r="C832">
        <v>2025</v>
      </c>
      <c r="D832">
        <v>1</v>
      </c>
      <c r="E832" t="s">
        <v>1579</v>
      </c>
      <c r="F832" t="s">
        <v>125</v>
      </c>
      <c r="G832" t="s">
        <v>10</v>
      </c>
      <c r="H832" t="b">
        <v>0</v>
      </c>
      <c r="I832" t="b">
        <v>0</v>
      </c>
      <c r="J832" t="b">
        <v>0</v>
      </c>
      <c r="K832" t="b">
        <v>0</v>
      </c>
      <c r="L832" t="s">
        <v>2299</v>
      </c>
      <c r="M832" t="s">
        <v>918</v>
      </c>
      <c r="N832" t="s">
        <v>57</v>
      </c>
      <c r="O832" t="b">
        <v>1</v>
      </c>
      <c r="P832">
        <v>4</v>
      </c>
      <c r="Q832" t="s">
        <v>208</v>
      </c>
      <c r="R832" t="s">
        <v>286</v>
      </c>
      <c r="S832">
        <v>48</v>
      </c>
      <c r="T832" t="s">
        <v>80</v>
      </c>
      <c r="U832" t="s">
        <v>210</v>
      </c>
      <c r="V832" t="s">
        <v>5</v>
      </c>
      <c r="W832">
        <v>4</v>
      </c>
      <c r="X832" t="s">
        <v>40</v>
      </c>
      <c r="Y832">
        <v>72</v>
      </c>
      <c r="Z832" t="s">
        <v>67</v>
      </c>
      <c r="AA832" t="s">
        <v>8</v>
      </c>
      <c r="AB832">
        <v>65.305999999999997</v>
      </c>
      <c r="AC832" t="s">
        <v>32</v>
      </c>
      <c r="AD832">
        <v>443</v>
      </c>
    </row>
    <row r="833" spans="1:30" x14ac:dyDescent="0.3">
      <c r="A833">
        <v>17824232</v>
      </c>
      <c r="B833" s="3">
        <v>45679</v>
      </c>
      <c r="C833">
        <v>2025</v>
      </c>
      <c r="D833">
        <v>1</v>
      </c>
      <c r="E833" t="s">
        <v>1579</v>
      </c>
      <c r="F833" t="s">
        <v>0</v>
      </c>
      <c r="G833" t="s">
        <v>1</v>
      </c>
      <c r="H833" t="b">
        <v>0</v>
      </c>
      <c r="I833" t="b">
        <v>1</v>
      </c>
      <c r="J833" t="b">
        <v>0</v>
      </c>
      <c r="K833" t="b">
        <v>0</v>
      </c>
      <c r="L833" t="s">
        <v>2300</v>
      </c>
      <c r="M833" t="s">
        <v>417</v>
      </c>
      <c r="N833" t="s">
        <v>57</v>
      </c>
      <c r="O833" t="b">
        <v>1</v>
      </c>
      <c r="P833">
        <v>11</v>
      </c>
      <c r="Q833" t="s">
        <v>1387</v>
      </c>
      <c r="R833" t="s">
        <v>1388</v>
      </c>
      <c r="S833" t="s">
        <v>5</v>
      </c>
      <c r="T833" t="s">
        <v>62</v>
      </c>
      <c r="U833" t="s">
        <v>897</v>
      </c>
      <c r="V833" t="s">
        <v>5</v>
      </c>
      <c r="W833">
        <v>20</v>
      </c>
      <c r="X833" t="s">
        <v>6</v>
      </c>
      <c r="Y833">
        <v>70</v>
      </c>
      <c r="Z833" t="s">
        <v>67</v>
      </c>
      <c r="AA833" t="s">
        <v>15</v>
      </c>
      <c r="AC833" t="s">
        <v>9</v>
      </c>
      <c r="AD833">
        <v>430</v>
      </c>
    </row>
    <row r="834" spans="1:30" x14ac:dyDescent="0.3">
      <c r="A834">
        <v>17828296</v>
      </c>
      <c r="B834" s="3">
        <v>45677</v>
      </c>
      <c r="C834">
        <v>2025</v>
      </c>
      <c r="D834">
        <v>1</v>
      </c>
      <c r="E834" t="s">
        <v>1579</v>
      </c>
      <c r="F834" t="s">
        <v>125</v>
      </c>
      <c r="G834" t="s">
        <v>10</v>
      </c>
      <c r="H834" t="b">
        <v>0</v>
      </c>
      <c r="I834" t="b">
        <v>0</v>
      </c>
      <c r="J834" t="b">
        <v>0</v>
      </c>
      <c r="K834" t="b">
        <v>0</v>
      </c>
      <c r="L834" t="s">
        <v>2301</v>
      </c>
      <c r="M834" t="s">
        <v>405</v>
      </c>
      <c r="N834" t="s">
        <v>5</v>
      </c>
      <c r="O834" t="b">
        <v>0</v>
      </c>
      <c r="P834">
        <v>11</v>
      </c>
      <c r="Q834" t="s">
        <v>316</v>
      </c>
      <c r="R834" t="s">
        <v>1247</v>
      </c>
      <c r="S834" t="s">
        <v>5</v>
      </c>
      <c r="T834" t="s">
        <v>183</v>
      </c>
      <c r="U834" t="s">
        <v>271</v>
      </c>
      <c r="V834" t="s">
        <v>319</v>
      </c>
      <c r="W834">
        <v>4</v>
      </c>
      <c r="X834" t="s">
        <v>40</v>
      </c>
      <c r="Z834" t="s">
        <v>5</v>
      </c>
      <c r="AA834" t="s">
        <v>8</v>
      </c>
      <c r="AB834">
        <v>28</v>
      </c>
      <c r="AC834" t="s">
        <v>32</v>
      </c>
      <c r="AD834">
        <v>432</v>
      </c>
    </row>
    <row r="835" spans="1:30" x14ac:dyDescent="0.3">
      <c r="A835">
        <v>17841773</v>
      </c>
      <c r="B835" s="3">
        <v>45663</v>
      </c>
      <c r="C835">
        <v>2025</v>
      </c>
      <c r="D835">
        <v>1</v>
      </c>
      <c r="E835" t="s">
        <v>1579</v>
      </c>
      <c r="F835" t="s">
        <v>0</v>
      </c>
      <c r="G835" t="s">
        <v>10</v>
      </c>
      <c r="H835" t="b">
        <v>0</v>
      </c>
      <c r="I835" t="b">
        <v>0</v>
      </c>
      <c r="J835" t="b">
        <v>0</v>
      </c>
      <c r="K835" t="b">
        <v>0</v>
      </c>
      <c r="L835" t="s">
        <v>2302</v>
      </c>
      <c r="M835" t="s">
        <v>2303</v>
      </c>
      <c r="N835" t="s">
        <v>63</v>
      </c>
      <c r="O835" t="b">
        <v>0</v>
      </c>
      <c r="P835">
        <v>3</v>
      </c>
      <c r="Q835" t="s">
        <v>935</v>
      </c>
      <c r="R835" t="s">
        <v>936</v>
      </c>
      <c r="S835">
        <v>42</v>
      </c>
      <c r="T835" t="s">
        <v>1037</v>
      </c>
      <c r="U835" t="s">
        <v>937</v>
      </c>
      <c r="V835" t="s">
        <v>938</v>
      </c>
      <c r="W835">
        <v>1</v>
      </c>
      <c r="X835" t="s">
        <v>31</v>
      </c>
      <c r="Y835">
        <v>29</v>
      </c>
      <c r="Z835" t="s">
        <v>61</v>
      </c>
      <c r="AA835" t="s">
        <v>15</v>
      </c>
      <c r="AC835" t="s">
        <v>32</v>
      </c>
      <c r="AD835">
        <v>446</v>
      </c>
    </row>
    <row r="836" spans="1:30" x14ac:dyDescent="0.3">
      <c r="A836">
        <v>17846873</v>
      </c>
      <c r="B836" s="3">
        <v>45685</v>
      </c>
      <c r="C836">
        <v>2025</v>
      </c>
      <c r="D836">
        <v>1</v>
      </c>
      <c r="E836" t="s">
        <v>1579</v>
      </c>
      <c r="F836" t="s">
        <v>0</v>
      </c>
      <c r="G836" t="s">
        <v>1</v>
      </c>
      <c r="H836" t="b">
        <v>0</v>
      </c>
      <c r="I836" t="b">
        <v>1</v>
      </c>
      <c r="J836" t="b">
        <v>0</v>
      </c>
      <c r="K836" t="b">
        <v>0</v>
      </c>
      <c r="L836" t="s">
        <v>2304</v>
      </c>
      <c r="M836" t="s">
        <v>206</v>
      </c>
      <c r="N836" t="s">
        <v>17</v>
      </c>
      <c r="O836" t="b">
        <v>0</v>
      </c>
      <c r="P836">
        <v>3</v>
      </c>
      <c r="Q836" t="s">
        <v>793</v>
      </c>
      <c r="R836" t="s">
        <v>794</v>
      </c>
      <c r="S836" t="s">
        <v>5</v>
      </c>
      <c r="T836" t="s">
        <v>705</v>
      </c>
      <c r="U836" t="s">
        <v>271</v>
      </c>
      <c r="V836" t="s">
        <v>5</v>
      </c>
      <c r="W836">
        <v>6</v>
      </c>
      <c r="X836" t="s">
        <v>6</v>
      </c>
      <c r="Z836" t="s">
        <v>5</v>
      </c>
      <c r="AA836" t="s">
        <v>8</v>
      </c>
      <c r="AC836" t="s">
        <v>32</v>
      </c>
      <c r="AD836">
        <v>424</v>
      </c>
    </row>
    <row r="837" spans="1:30" x14ac:dyDescent="0.3">
      <c r="A837">
        <v>17859914</v>
      </c>
      <c r="B837" s="3">
        <v>45687</v>
      </c>
      <c r="C837">
        <v>2025</v>
      </c>
      <c r="D837">
        <v>1</v>
      </c>
      <c r="E837" t="s">
        <v>1579</v>
      </c>
      <c r="F837" t="s">
        <v>0</v>
      </c>
      <c r="G837" t="s">
        <v>1</v>
      </c>
      <c r="H837" t="b">
        <v>0</v>
      </c>
      <c r="I837" t="b">
        <v>1</v>
      </c>
      <c r="J837" t="b">
        <v>0</v>
      </c>
      <c r="K837" t="b">
        <v>0</v>
      </c>
      <c r="L837" t="s">
        <v>2305</v>
      </c>
      <c r="M837" t="s">
        <v>396</v>
      </c>
      <c r="N837" t="s">
        <v>17</v>
      </c>
      <c r="O837" t="b">
        <v>0</v>
      </c>
      <c r="P837">
        <v>7</v>
      </c>
      <c r="Q837" t="s">
        <v>820</v>
      </c>
      <c r="R837" t="s">
        <v>821</v>
      </c>
      <c r="S837" t="s">
        <v>5</v>
      </c>
      <c r="T837" t="s">
        <v>822</v>
      </c>
      <c r="U837" t="s">
        <v>271</v>
      </c>
      <c r="V837" t="s">
        <v>823</v>
      </c>
      <c r="W837">
        <v>4</v>
      </c>
      <c r="X837" t="s">
        <v>40</v>
      </c>
      <c r="Y837">
        <v>54</v>
      </c>
      <c r="Z837" t="s">
        <v>7</v>
      </c>
      <c r="AA837" t="s">
        <v>15</v>
      </c>
      <c r="AC837" t="s">
        <v>32</v>
      </c>
      <c r="AD837">
        <v>422</v>
      </c>
    </row>
    <row r="838" spans="1:30" x14ac:dyDescent="0.3">
      <c r="A838">
        <v>17860689</v>
      </c>
      <c r="B838" s="3">
        <v>45685</v>
      </c>
      <c r="C838">
        <v>2025</v>
      </c>
      <c r="D838">
        <v>1</v>
      </c>
      <c r="E838" t="s">
        <v>1579</v>
      </c>
      <c r="F838" t="s">
        <v>125</v>
      </c>
      <c r="G838" t="s">
        <v>10</v>
      </c>
      <c r="H838" t="b">
        <v>0</v>
      </c>
      <c r="I838" t="b">
        <v>0</v>
      </c>
      <c r="J838" t="b">
        <v>0</v>
      </c>
      <c r="K838" t="b">
        <v>0</v>
      </c>
      <c r="L838" t="s">
        <v>2306</v>
      </c>
      <c r="M838" t="s">
        <v>861</v>
      </c>
      <c r="N838" t="s">
        <v>63</v>
      </c>
      <c r="O838" t="b">
        <v>0</v>
      </c>
      <c r="P838">
        <v>6</v>
      </c>
      <c r="Q838" t="s">
        <v>455</v>
      </c>
      <c r="R838" t="s">
        <v>456</v>
      </c>
      <c r="S838">
        <v>58</v>
      </c>
      <c r="T838" t="s">
        <v>62</v>
      </c>
      <c r="U838" t="s">
        <v>23</v>
      </c>
      <c r="V838" t="s">
        <v>458</v>
      </c>
      <c r="W838">
        <v>11</v>
      </c>
      <c r="X838" t="s">
        <v>6</v>
      </c>
      <c r="Y838">
        <v>40</v>
      </c>
      <c r="Z838" t="s">
        <v>61</v>
      </c>
      <c r="AA838" t="s">
        <v>8</v>
      </c>
      <c r="AC838" t="s">
        <v>32</v>
      </c>
      <c r="AD838">
        <v>424</v>
      </c>
    </row>
    <row r="839" spans="1:30" x14ac:dyDescent="0.3">
      <c r="A839">
        <v>17865562</v>
      </c>
      <c r="B839" s="3">
        <v>45663</v>
      </c>
      <c r="C839">
        <v>2025</v>
      </c>
      <c r="D839">
        <v>1</v>
      </c>
      <c r="E839" t="s">
        <v>1579</v>
      </c>
      <c r="F839" t="s">
        <v>0</v>
      </c>
      <c r="G839" t="s">
        <v>10</v>
      </c>
      <c r="H839" t="b">
        <v>0</v>
      </c>
      <c r="I839" t="b">
        <v>0</v>
      </c>
      <c r="J839" t="b">
        <v>0</v>
      </c>
      <c r="K839" t="b">
        <v>0</v>
      </c>
      <c r="L839" t="s">
        <v>2307</v>
      </c>
      <c r="M839" t="s">
        <v>743</v>
      </c>
      <c r="N839" t="s">
        <v>5</v>
      </c>
      <c r="O839" t="b">
        <v>0</v>
      </c>
      <c r="P839">
        <v>4</v>
      </c>
      <c r="Q839" t="s">
        <v>245</v>
      </c>
      <c r="R839" t="s">
        <v>246</v>
      </c>
      <c r="S839" t="s">
        <v>5</v>
      </c>
      <c r="T839" t="s">
        <v>426</v>
      </c>
      <c r="U839" t="s">
        <v>210</v>
      </c>
      <c r="V839" t="s">
        <v>248</v>
      </c>
      <c r="W839">
        <v>2</v>
      </c>
      <c r="X839" t="s">
        <v>14</v>
      </c>
      <c r="Y839">
        <v>71</v>
      </c>
      <c r="Z839" t="s">
        <v>67</v>
      </c>
      <c r="AA839" t="s">
        <v>8</v>
      </c>
      <c r="AC839" t="s">
        <v>32</v>
      </c>
      <c r="AD839">
        <v>446</v>
      </c>
    </row>
    <row r="840" spans="1:30" x14ac:dyDescent="0.3">
      <c r="A840">
        <v>17876677</v>
      </c>
      <c r="B840" s="3">
        <v>45686</v>
      </c>
      <c r="C840">
        <v>2025</v>
      </c>
      <c r="D840">
        <v>1</v>
      </c>
      <c r="E840" t="s">
        <v>1579</v>
      </c>
      <c r="F840" t="s">
        <v>0</v>
      </c>
      <c r="G840" t="s">
        <v>197</v>
      </c>
      <c r="H840" t="b">
        <v>1</v>
      </c>
      <c r="I840" t="b">
        <v>1</v>
      </c>
      <c r="J840" t="b">
        <v>0</v>
      </c>
      <c r="K840" t="b">
        <v>0</v>
      </c>
      <c r="L840" t="s">
        <v>2308</v>
      </c>
      <c r="M840" t="s">
        <v>532</v>
      </c>
      <c r="N840" t="s">
        <v>5</v>
      </c>
      <c r="O840" t="b">
        <v>0</v>
      </c>
      <c r="P840">
        <v>3</v>
      </c>
      <c r="Q840" t="s">
        <v>455</v>
      </c>
      <c r="R840" t="s">
        <v>456</v>
      </c>
      <c r="S840">
        <v>58</v>
      </c>
      <c r="T840" t="s">
        <v>62</v>
      </c>
      <c r="U840" t="s">
        <v>23</v>
      </c>
      <c r="V840" t="s">
        <v>458</v>
      </c>
      <c r="W840">
        <v>21</v>
      </c>
      <c r="X840" t="s">
        <v>6</v>
      </c>
      <c r="Y840">
        <v>69</v>
      </c>
      <c r="Z840" t="s">
        <v>67</v>
      </c>
      <c r="AA840" t="s">
        <v>15</v>
      </c>
      <c r="AB840">
        <v>149.09</v>
      </c>
      <c r="AC840" t="s">
        <v>32</v>
      </c>
      <c r="AD840">
        <v>423</v>
      </c>
    </row>
    <row r="841" spans="1:30" x14ac:dyDescent="0.3">
      <c r="A841">
        <v>17878503</v>
      </c>
      <c r="B841" s="3">
        <v>45674</v>
      </c>
      <c r="C841">
        <v>2025</v>
      </c>
      <c r="D841">
        <v>1</v>
      </c>
      <c r="E841" t="s">
        <v>1579</v>
      </c>
      <c r="F841" t="s">
        <v>0</v>
      </c>
      <c r="G841" t="s">
        <v>220</v>
      </c>
      <c r="H841" t="b">
        <v>0</v>
      </c>
      <c r="I841" t="b">
        <v>0</v>
      </c>
      <c r="J841" t="b">
        <v>0</v>
      </c>
      <c r="K841" t="b">
        <v>1</v>
      </c>
      <c r="L841" t="s">
        <v>2309</v>
      </c>
      <c r="M841" t="s">
        <v>912</v>
      </c>
      <c r="N841" t="s">
        <v>118</v>
      </c>
      <c r="O841" t="b">
        <v>0</v>
      </c>
      <c r="P841">
        <v>41</v>
      </c>
      <c r="Q841" t="s">
        <v>418</v>
      </c>
      <c r="R841" t="s">
        <v>419</v>
      </c>
      <c r="S841">
        <v>50</v>
      </c>
      <c r="T841" t="s">
        <v>150</v>
      </c>
      <c r="U841" t="s">
        <v>177</v>
      </c>
      <c r="V841" t="s">
        <v>5</v>
      </c>
      <c r="W841">
        <v>23</v>
      </c>
      <c r="X841" t="s">
        <v>6</v>
      </c>
      <c r="Z841" t="s">
        <v>5</v>
      </c>
      <c r="AA841" t="s">
        <v>15</v>
      </c>
      <c r="AB841">
        <v>118.2</v>
      </c>
      <c r="AC841" t="s">
        <v>154</v>
      </c>
      <c r="AD841">
        <v>435</v>
      </c>
    </row>
    <row r="842" spans="1:30" x14ac:dyDescent="0.3">
      <c r="A842">
        <v>17883757</v>
      </c>
      <c r="B842" s="3">
        <v>45673</v>
      </c>
      <c r="C842">
        <v>2025</v>
      </c>
      <c r="D842">
        <v>1</v>
      </c>
      <c r="E842" t="s">
        <v>1579</v>
      </c>
      <c r="F842" t="s">
        <v>0</v>
      </c>
      <c r="G842" t="s">
        <v>197</v>
      </c>
      <c r="H842" t="b">
        <v>1</v>
      </c>
      <c r="I842" t="b">
        <v>1</v>
      </c>
      <c r="J842" t="b">
        <v>0</v>
      </c>
      <c r="K842" t="b">
        <v>0</v>
      </c>
      <c r="L842" t="s">
        <v>2310</v>
      </c>
      <c r="M842" t="s">
        <v>50</v>
      </c>
      <c r="N842" t="s">
        <v>5</v>
      </c>
      <c r="O842" t="b">
        <v>0</v>
      </c>
      <c r="P842">
        <v>6</v>
      </c>
      <c r="Q842" t="s">
        <v>528</v>
      </c>
      <c r="R842" t="s">
        <v>529</v>
      </c>
      <c r="S842">
        <v>65</v>
      </c>
      <c r="T842" t="s">
        <v>530</v>
      </c>
      <c r="U842" t="s">
        <v>531</v>
      </c>
      <c r="V842" t="s">
        <v>392</v>
      </c>
      <c r="W842">
        <v>17</v>
      </c>
      <c r="X842" t="s">
        <v>6</v>
      </c>
      <c r="Y842">
        <v>48</v>
      </c>
      <c r="Z842" t="s">
        <v>7</v>
      </c>
      <c r="AA842" t="s">
        <v>15</v>
      </c>
      <c r="AC842" t="s">
        <v>9</v>
      </c>
      <c r="AD842">
        <v>436</v>
      </c>
    </row>
    <row r="843" spans="1:30" x14ac:dyDescent="0.3">
      <c r="A843">
        <v>17885146</v>
      </c>
      <c r="B843" s="3">
        <v>45679</v>
      </c>
      <c r="C843">
        <v>2025</v>
      </c>
      <c r="D843">
        <v>1</v>
      </c>
      <c r="E843" t="s">
        <v>1579</v>
      </c>
      <c r="F843" t="s">
        <v>0</v>
      </c>
      <c r="G843" t="s">
        <v>50</v>
      </c>
      <c r="H843" t="b">
        <v>1</v>
      </c>
      <c r="I843" t="b">
        <v>0</v>
      </c>
      <c r="J843" t="b">
        <v>0</v>
      </c>
      <c r="K843" t="b">
        <v>0</v>
      </c>
      <c r="L843" t="s">
        <v>2311</v>
      </c>
      <c r="M843" t="s">
        <v>731</v>
      </c>
      <c r="N843" t="s">
        <v>5</v>
      </c>
      <c r="O843" t="b">
        <v>0</v>
      </c>
      <c r="P843">
        <v>2</v>
      </c>
      <c r="Q843" t="s">
        <v>347</v>
      </c>
      <c r="R843" t="s">
        <v>348</v>
      </c>
      <c r="S843">
        <v>65</v>
      </c>
      <c r="T843" t="s">
        <v>999</v>
      </c>
      <c r="U843" t="s">
        <v>349</v>
      </c>
      <c r="V843" t="s">
        <v>350</v>
      </c>
      <c r="W843">
        <v>23</v>
      </c>
      <c r="X843" t="s">
        <v>6</v>
      </c>
      <c r="Z843" t="s">
        <v>5</v>
      </c>
      <c r="AA843" t="s">
        <v>5</v>
      </c>
      <c r="AC843" t="s">
        <v>9</v>
      </c>
      <c r="AD843">
        <v>430</v>
      </c>
    </row>
    <row r="844" spans="1:30" x14ac:dyDescent="0.3">
      <c r="A844">
        <v>17893414</v>
      </c>
      <c r="B844" s="3">
        <v>45688</v>
      </c>
      <c r="C844">
        <v>2025</v>
      </c>
      <c r="D844">
        <v>1</v>
      </c>
      <c r="E844" t="s">
        <v>1579</v>
      </c>
      <c r="F844" t="s">
        <v>0</v>
      </c>
      <c r="G844" t="s">
        <v>1</v>
      </c>
      <c r="H844" t="b">
        <v>0</v>
      </c>
      <c r="I844" t="b">
        <v>1</v>
      </c>
      <c r="J844" t="b">
        <v>0</v>
      </c>
      <c r="K844" t="b">
        <v>0</v>
      </c>
      <c r="L844" t="s">
        <v>2312</v>
      </c>
      <c r="M844" t="s">
        <v>772</v>
      </c>
      <c r="N844" t="s">
        <v>70</v>
      </c>
      <c r="O844" t="b">
        <v>0</v>
      </c>
      <c r="P844">
        <v>22</v>
      </c>
      <c r="Q844" t="s">
        <v>820</v>
      </c>
      <c r="R844" t="s">
        <v>821</v>
      </c>
      <c r="S844" t="s">
        <v>5</v>
      </c>
      <c r="T844" t="s">
        <v>1403</v>
      </c>
      <c r="U844" t="s">
        <v>271</v>
      </c>
      <c r="V844" t="s">
        <v>823</v>
      </c>
      <c r="W844">
        <v>10</v>
      </c>
      <c r="X844" t="s">
        <v>6</v>
      </c>
      <c r="Z844" t="s">
        <v>5</v>
      </c>
      <c r="AA844" t="s">
        <v>8</v>
      </c>
      <c r="AC844" t="s">
        <v>32</v>
      </c>
      <c r="AD844">
        <v>421</v>
      </c>
    </row>
    <row r="845" spans="1:30" x14ac:dyDescent="0.3">
      <c r="A845">
        <v>17895334</v>
      </c>
      <c r="B845" s="3">
        <v>45673</v>
      </c>
      <c r="C845">
        <v>2025</v>
      </c>
      <c r="D845">
        <v>1</v>
      </c>
      <c r="E845" t="s">
        <v>1579</v>
      </c>
      <c r="F845" t="s">
        <v>0</v>
      </c>
      <c r="G845" t="s">
        <v>10</v>
      </c>
      <c r="H845" t="b">
        <v>0</v>
      </c>
      <c r="I845" t="b">
        <v>0</v>
      </c>
      <c r="J845" t="b">
        <v>0</v>
      </c>
      <c r="K845" t="b">
        <v>0</v>
      </c>
      <c r="L845" t="s">
        <v>1509</v>
      </c>
      <c r="M845" t="s">
        <v>1357</v>
      </c>
      <c r="N845" t="s">
        <v>57</v>
      </c>
      <c r="O845" t="b">
        <v>1</v>
      </c>
      <c r="P845">
        <v>2</v>
      </c>
      <c r="Q845" t="s">
        <v>1510</v>
      </c>
      <c r="R845" t="s">
        <v>1511</v>
      </c>
      <c r="S845">
        <v>48</v>
      </c>
      <c r="T845" t="s">
        <v>366</v>
      </c>
      <c r="U845" t="s">
        <v>897</v>
      </c>
      <c r="V845" t="s">
        <v>248</v>
      </c>
      <c r="W845">
        <v>5</v>
      </c>
      <c r="X845" t="s">
        <v>40</v>
      </c>
      <c r="Y845">
        <v>68</v>
      </c>
      <c r="Z845" t="s">
        <v>67</v>
      </c>
      <c r="AA845" t="s">
        <v>15</v>
      </c>
      <c r="AC845" t="s">
        <v>20</v>
      </c>
      <c r="AD845">
        <v>436</v>
      </c>
    </row>
    <row r="846" spans="1:30" x14ac:dyDescent="0.3">
      <c r="A846">
        <v>17896920</v>
      </c>
      <c r="B846" s="3">
        <v>45674</v>
      </c>
      <c r="C846">
        <v>2025</v>
      </c>
      <c r="D846">
        <v>1</v>
      </c>
      <c r="E846" t="s">
        <v>1579</v>
      </c>
      <c r="F846" t="s">
        <v>125</v>
      </c>
      <c r="G846" t="s">
        <v>10</v>
      </c>
      <c r="H846" t="b">
        <v>0</v>
      </c>
      <c r="I846" t="b">
        <v>0</v>
      </c>
      <c r="J846" t="b">
        <v>0</v>
      </c>
      <c r="K846" t="b">
        <v>0</v>
      </c>
      <c r="L846" t="s">
        <v>2313</v>
      </c>
      <c r="M846" t="s">
        <v>159</v>
      </c>
      <c r="N846" t="s">
        <v>5</v>
      </c>
      <c r="O846" t="b">
        <v>0</v>
      </c>
      <c r="P846">
        <v>2</v>
      </c>
      <c r="Q846" t="s">
        <v>879</v>
      </c>
      <c r="R846" t="s">
        <v>880</v>
      </c>
      <c r="S846">
        <v>58</v>
      </c>
      <c r="T846" t="s">
        <v>1255</v>
      </c>
      <c r="U846" t="s">
        <v>881</v>
      </c>
      <c r="V846" t="s">
        <v>5</v>
      </c>
      <c r="W846">
        <v>3</v>
      </c>
      <c r="X846" t="s">
        <v>14</v>
      </c>
      <c r="Y846">
        <v>50</v>
      </c>
      <c r="Z846" t="s">
        <v>7</v>
      </c>
      <c r="AA846" t="s">
        <v>15</v>
      </c>
      <c r="AC846" t="s">
        <v>32</v>
      </c>
      <c r="AD846">
        <v>435</v>
      </c>
    </row>
    <row r="847" spans="1:30" x14ac:dyDescent="0.3">
      <c r="A847">
        <v>17903824</v>
      </c>
      <c r="B847" s="3">
        <v>45659</v>
      </c>
      <c r="C847">
        <v>2025</v>
      </c>
      <c r="D847">
        <v>1</v>
      </c>
      <c r="E847" t="s">
        <v>1579</v>
      </c>
      <c r="F847" t="s">
        <v>0</v>
      </c>
      <c r="G847" t="s">
        <v>10</v>
      </c>
      <c r="H847" t="b">
        <v>0</v>
      </c>
      <c r="I847" t="b">
        <v>0</v>
      </c>
      <c r="J847" t="b">
        <v>0</v>
      </c>
      <c r="K847" t="b">
        <v>0</v>
      </c>
      <c r="L847" t="s">
        <v>2314</v>
      </c>
      <c r="M847" t="s">
        <v>717</v>
      </c>
      <c r="N847" t="s">
        <v>118</v>
      </c>
      <c r="O847" t="b">
        <v>0</v>
      </c>
      <c r="P847">
        <v>28</v>
      </c>
      <c r="Q847" t="s">
        <v>135</v>
      </c>
      <c r="R847" t="s">
        <v>136</v>
      </c>
      <c r="S847">
        <v>58</v>
      </c>
      <c r="T847" t="s">
        <v>299</v>
      </c>
      <c r="U847" t="s">
        <v>81</v>
      </c>
      <c r="V847" t="s">
        <v>137</v>
      </c>
      <c r="W847">
        <v>28</v>
      </c>
      <c r="X847" t="s">
        <v>6</v>
      </c>
      <c r="Y847">
        <v>56</v>
      </c>
      <c r="Z847" t="s">
        <v>7</v>
      </c>
      <c r="AA847" t="s">
        <v>8</v>
      </c>
      <c r="AC847" t="s">
        <v>9</v>
      </c>
      <c r="AD847">
        <v>450</v>
      </c>
    </row>
    <row r="848" spans="1:30" x14ac:dyDescent="0.3">
      <c r="A848">
        <v>17912646</v>
      </c>
      <c r="B848" s="3">
        <v>45672</v>
      </c>
      <c r="C848">
        <v>2025</v>
      </c>
      <c r="D848">
        <v>1</v>
      </c>
      <c r="E848" t="s">
        <v>1579</v>
      </c>
      <c r="F848" t="s">
        <v>0</v>
      </c>
      <c r="G848" t="s">
        <v>151</v>
      </c>
      <c r="H848" t="b">
        <v>0</v>
      </c>
      <c r="I848" t="b">
        <v>1</v>
      </c>
      <c r="J848" t="b">
        <v>0</v>
      </c>
      <c r="K848" t="b">
        <v>1</v>
      </c>
      <c r="L848" t="s">
        <v>2315</v>
      </c>
      <c r="M848" t="s">
        <v>192</v>
      </c>
      <c r="N848" t="s">
        <v>1280</v>
      </c>
      <c r="O848" t="b">
        <v>0</v>
      </c>
      <c r="P848">
        <v>27</v>
      </c>
      <c r="Q848" t="s">
        <v>635</v>
      </c>
      <c r="R848" t="s">
        <v>636</v>
      </c>
      <c r="S848">
        <v>65</v>
      </c>
      <c r="T848" t="s">
        <v>80</v>
      </c>
      <c r="U848" t="s">
        <v>637</v>
      </c>
      <c r="V848" t="s">
        <v>5</v>
      </c>
      <c r="W848">
        <v>45</v>
      </c>
      <c r="X848" t="s">
        <v>6</v>
      </c>
      <c r="Y848">
        <v>78</v>
      </c>
      <c r="Z848" t="s">
        <v>67</v>
      </c>
      <c r="AA848" t="s">
        <v>8</v>
      </c>
      <c r="AC848" t="s">
        <v>9</v>
      </c>
      <c r="AD848">
        <v>437</v>
      </c>
    </row>
    <row r="849" spans="1:30" x14ac:dyDescent="0.3">
      <c r="A849">
        <v>17915907</v>
      </c>
      <c r="B849" s="3">
        <v>45659</v>
      </c>
      <c r="C849">
        <v>2025</v>
      </c>
      <c r="D849">
        <v>1</v>
      </c>
      <c r="E849" t="s">
        <v>1579</v>
      </c>
      <c r="F849" t="s">
        <v>0</v>
      </c>
      <c r="G849" t="s">
        <v>1</v>
      </c>
      <c r="H849" t="b">
        <v>0</v>
      </c>
      <c r="I849" t="b">
        <v>1</v>
      </c>
      <c r="J849" t="b">
        <v>0</v>
      </c>
      <c r="K849" t="b">
        <v>0</v>
      </c>
      <c r="L849" t="s">
        <v>2316</v>
      </c>
      <c r="M849" t="s">
        <v>839</v>
      </c>
      <c r="N849" t="s">
        <v>118</v>
      </c>
      <c r="O849" t="b">
        <v>0</v>
      </c>
      <c r="P849">
        <v>40</v>
      </c>
      <c r="Q849" t="s">
        <v>208</v>
      </c>
      <c r="R849" t="s">
        <v>286</v>
      </c>
      <c r="S849">
        <v>48</v>
      </c>
      <c r="T849" t="s">
        <v>80</v>
      </c>
      <c r="U849" t="s">
        <v>210</v>
      </c>
      <c r="V849" t="s">
        <v>5</v>
      </c>
      <c r="W849">
        <v>13</v>
      </c>
      <c r="X849" t="s">
        <v>6</v>
      </c>
      <c r="Y849">
        <v>47</v>
      </c>
      <c r="Z849" t="s">
        <v>7</v>
      </c>
      <c r="AA849" t="s">
        <v>8</v>
      </c>
      <c r="AC849" t="s">
        <v>32</v>
      </c>
      <c r="AD849">
        <v>450</v>
      </c>
    </row>
    <row r="850" spans="1:30" x14ac:dyDescent="0.3">
      <c r="A850">
        <v>17919415</v>
      </c>
      <c r="B850" s="3">
        <v>45680</v>
      </c>
      <c r="C850">
        <v>2025</v>
      </c>
      <c r="D850">
        <v>1</v>
      </c>
      <c r="E850" t="s">
        <v>1579</v>
      </c>
      <c r="F850" t="s">
        <v>125</v>
      </c>
      <c r="G850" t="s">
        <v>10</v>
      </c>
      <c r="H850" t="b">
        <v>0</v>
      </c>
      <c r="I850" t="b">
        <v>0</v>
      </c>
      <c r="J850" t="b">
        <v>0</v>
      </c>
      <c r="K850" t="b">
        <v>0</v>
      </c>
      <c r="L850" t="s">
        <v>2317</v>
      </c>
      <c r="M850" t="s">
        <v>741</v>
      </c>
      <c r="N850" t="s">
        <v>63</v>
      </c>
      <c r="O850" t="b">
        <v>0</v>
      </c>
      <c r="P850">
        <v>5</v>
      </c>
      <c r="Q850" t="s">
        <v>1248</v>
      </c>
      <c r="R850" t="s">
        <v>1249</v>
      </c>
      <c r="S850">
        <v>48</v>
      </c>
      <c r="T850" t="s">
        <v>1250</v>
      </c>
      <c r="U850" t="s">
        <v>1251</v>
      </c>
      <c r="V850" t="s">
        <v>5</v>
      </c>
      <c r="W850">
        <v>21</v>
      </c>
      <c r="X850" t="s">
        <v>6</v>
      </c>
      <c r="Y850">
        <v>68</v>
      </c>
      <c r="Z850" t="s">
        <v>67</v>
      </c>
      <c r="AA850" t="s">
        <v>15</v>
      </c>
      <c r="AB850">
        <v>95.238</v>
      </c>
      <c r="AC850" t="s">
        <v>32</v>
      </c>
      <c r="AD850">
        <v>429</v>
      </c>
    </row>
    <row r="851" spans="1:30" x14ac:dyDescent="0.3">
      <c r="A851">
        <v>17919467</v>
      </c>
      <c r="B851" s="3">
        <v>45687</v>
      </c>
      <c r="C851">
        <v>2025</v>
      </c>
      <c r="D851">
        <v>1</v>
      </c>
      <c r="E851" t="s">
        <v>1579</v>
      </c>
      <c r="F851" t="s">
        <v>0</v>
      </c>
      <c r="G851" t="s">
        <v>1</v>
      </c>
      <c r="H851" t="b">
        <v>0</v>
      </c>
      <c r="I851" t="b">
        <v>1</v>
      </c>
      <c r="J851" t="b">
        <v>0</v>
      </c>
      <c r="K851" t="b">
        <v>0</v>
      </c>
      <c r="L851" t="s">
        <v>2318</v>
      </c>
      <c r="M851" t="s">
        <v>62</v>
      </c>
      <c r="N851" t="s">
        <v>5</v>
      </c>
      <c r="O851" t="b">
        <v>0</v>
      </c>
      <c r="P851">
        <v>20</v>
      </c>
      <c r="Q851" t="s">
        <v>547</v>
      </c>
      <c r="R851" t="s">
        <v>548</v>
      </c>
      <c r="S851" t="s">
        <v>5</v>
      </c>
      <c r="T851" t="s">
        <v>83</v>
      </c>
      <c r="U851" t="s">
        <v>549</v>
      </c>
      <c r="V851" t="s">
        <v>5</v>
      </c>
      <c r="W851">
        <v>37</v>
      </c>
      <c r="X851" t="s">
        <v>6</v>
      </c>
      <c r="Z851" t="s">
        <v>5</v>
      </c>
      <c r="AA851" t="s">
        <v>5</v>
      </c>
      <c r="AC851" t="s">
        <v>9</v>
      </c>
      <c r="AD851">
        <v>422</v>
      </c>
    </row>
    <row r="852" spans="1:30" x14ac:dyDescent="0.3">
      <c r="A852">
        <v>17920002</v>
      </c>
      <c r="B852" s="3">
        <v>45681</v>
      </c>
      <c r="C852">
        <v>2025</v>
      </c>
      <c r="D852">
        <v>1</v>
      </c>
      <c r="E852" t="s">
        <v>1579</v>
      </c>
      <c r="F852" t="s">
        <v>0</v>
      </c>
      <c r="G852" t="s">
        <v>50</v>
      </c>
      <c r="H852" t="b">
        <v>1</v>
      </c>
      <c r="I852" t="b">
        <v>0</v>
      </c>
      <c r="J852" t="b">
        <v>0</v>
      </c>
      <c r="K852" t="b">
        <v>0</v>
      </c>
      <c r="L852" t="s">
        <v>2319</v>
      </c>
      <c r="M852" t="s">
        <v>963</v>
      </c>
      <c r="N852" t="s">
        <v>5</v>
      </c>
      <c r="O852" t="b">
        <v>0</v>
      </c>
      <c r="P852">
        <v>6</v>
      </c>
      <c r="Q852" t="s">
        <v>768</v>
      </c>
      <c r="R852" t="s">
        <v>769</v>
      </c>
      <c r="S852">
        <v>48</v>
      </c>
      <c r="T852" t="s">
        <v>1253</v>
      </c>
      <c r="U852" t="s">
        <v>770</v>
      </c>
      <c r="V852" t="s">
        <v>771</v>
      </c>
      <c r="W852">
        <v>9</v>
      </c>
      <c r="X852" t="s">
        <v>6</v>
      </c>
      <c r="Y852">
        <v>73</v>
      </c>
      <c r="Z852" t="s">
        <v>67</v>
      </c>
      <c r="AA852" t="s">
        <v>15</v>
      </c>
      <c r="AB852">
        <v>75</v>
      </c>
      <c r="AC852" t="s">
        <v>116</v>
      </c>
      <c r="AD852">
        <v>428</v>
      </c>
    </row>
    <row r="853" spans="1:30" x14ac:dyDescent="0.3">
      <c r="A853">
        <v>17920922</v>
      </c>
      <c r="B853" s="3">
        <v>45688</v>
      </c>
      <c r="C853">
        <v>2025</v>
      </c>
      <c r="D853">
        <v>1</v>
      </c>
      <c r="E853" t="s">
        <v>1579</v>
      </c>
      <c r="F853" t="s">
        <v>0</v>
      </c>
      <c r="G853" t="s">
        <v>10</v>
      </c>
      <c r="H853" t="b">
        <v>0</v>
      </c>
      <c r="I853" t="b">
        <v>0</v>
      </c>
      <c r="J853" t="b">
        <v>0</v>
      </c>
      <c r="K853" t="b">
        <v>0</v>
      </c>
      <c r="L853" t="s">
        <v>2320</v>
      </c>
      <c r="M853" t="s">
        <v>1567</v>
      </c>
      <c r="N853" t="s">
        <v>21</v>
      </c>
      <c r="O853" t="b">
        <v>0</v>
      </c>
      <c r="P853">
        <v>31</v>
      </c>
      <c r="Q853" t="s">
        <v>204</v>
      </c>
      <c r="R853" t="s">
        <v>5</v>
      </c>
      <c r="S853">
        <v>65</v>
      </c>
      <c r="T853" t="s">
        <v>138</v>
      </c>
      <c r="U853" t="s">
        <v>5</v>
      </c>
      <c r="V853" t="s">
        <v>5</v>
      </c>
      <c r="W853">
        <v>117</v>
      </c>
      <c r="X853" t="s">
        <v>5</v>
      </c>
      <c r="Y853">
        <v>53</v>
      </c>
      <c r="Z853" t="s">
        <v>7</v>
      </c>
      <c r="AA853" t="s">
        <v>8</v>
      </c>
      <c r="AB853">
        <v>60</v>
      </c>
      <c r="AC853" t="s">
        <v>9</v>
      </c>
      <c r="AD853">
        <v>421</v>
      </c>
    </row>
    <row r="854" spans="1:30" x14ac:dyDescent="0.3">
      <c r="A854">
        <v>17923261</v>
      </c>
      <c r="B854" s="3">
        <v>45666</v>
      </c>
      <c r="C854">
        <v>2025</v>
      </c>
      <c r="D854">
        <v>1</v>
      </c>
      <c r="E854" t="s">
        <v>1579</v>
      </c>
      <c r="F854" t="s">
        <v>0</v>
      </c>
      <c r="G854" t="s">
        <v>1</v>
      </c>
      <c r="H854" t="b">
        <v>0</v>
      </c>
      <c r="I854" t="b">
        <v>1</v>
      </c>
      <c r="J854" t="b">
        <v>0</v>
      </c>
      <c r="K854" t="b">
        <v>0</v>
      </c>
      <c r="L854" t="s">
        <v>2321</v>
      </c>
      <c r="M854" t="s">
        <v>421</v>
      </c>
      <c r="N854" t="s">
        <v>5</v>
      </c>
      <c r="O854" t="b">
        <v>0</v>
      </c>
      <c r="P854">
        <v>5</v>
      </c>
      <c r="Q854" t="s">
        <v>1072</v>
      </c>
      <c r="R854" t="s">
        <v>1073</v>
      </c>
      <c r="S854">
        <v>65</v>
      </c>
      <c r="T854" t="s">
        <v>1048</v>
      </c>
      <c r="U854" t="s">
        <v>1074</v>
      </c>
      <c r="V854" t="s">
        <v>5</v>
      </c>
      <c r="W854">
        <v>17</v>
      </c>
      <c r="X854" t="s">
        <v>6</v>
      </c>
      <c r="Y854">
        <v>57</v>
      </c>
      <c r="Z854" t="s">
        <v>7</v>
      </c>
      <c r="AA854" t="s">
        <v>8</v>
      </c>
      <c r="AC854" t="s">
        <v>9</v>
      </c>
      <c r="AD854">
        <v>443</v>
      </c>
    </row>
    <row r="855" spans="1:30" x14ac:dyDescent="0.3">
      <c r="A855">
        <v>17924921</v>
      </c>
      <c r="B855" s="3">
        <v>45675</v>
      </c>
      <c r="C855">
        <v>2025</v>
      </c>
      <c r="D855">
        <v>1</v>
      </c>
      <c r="E855" t="s">
        <v>1579</v>
      </c>
      <c r="F855" t="s">
        <v>0</v>
      </c>
      <c r="G855" t="s">
        <v>10</v>
      </c>
      <c r="H855" t="b">
        <v>0</v>
      </c>
      <c r="I855" t="b">
        <v>0</v>
      </c>
      <c r="J855" t="b">
        <v>0</v>
      </c>
      <c r="K855" t="b">
        <v>0</v>
      </c>
      <c r="L855" t="s">
        <v>2322</v>
      </c>
      <c r="M855" t="s">
        <v>1284</v>
      </c>
      <c r="N855" t="s">
        <v>63</v>
      </c>
      <c r="O855" t="b">
        <v>0</v>
      </c>
      <c r="P855">
        <v>6</v>
      </c>
      <c r="Q855" t="s">
        <v>320</v>
      </c>
      <c r="R855" t="s">
        <v>321</v>
      </c>
      <c r="S855">
        <v>58</v>
      </c>
      <c r="T855" t="s">
        <v>237</v>
      </c>
      <c r="U855" t="s">
        <v>4</v>
      </c>
      <c r="V855" t="s">
        <v>322</v>
      </c>
      <c r="W855">
        <v>6</v>
      </c>
      <c r="X855" t="s">
        <v>6</v>
      </c>
      <c r="Y855">
        <v>56</v>
      </c>
      <c r="Z855" t="s">
        <v>7</v>
      </c>
      <c r="AA855" t="s">
        <v>15</v>
      </c>
      <c r="AC855" t="s">
        <v>9</v>
      </c>
      <c r="AD855">
        <v>434</v>
      </c>
    </row>
    <row r="856" spans="1:30" x14ac:dyDescent="0.3">
      <c r="A856">
        <v>17925871</v>
      </c>
      <c r="B856" s="3">
        <v>45687</v>
      </c>
      <c r="C856">
        <v>2025</v>
      </c>
      <c r="D856">
        <v>1</v>
      </c>
      <c r="E856" t="s">
        <v>1579</v>
      </c>
      <c r="F856" t="s">
        <v>0</v>
      </c>
      <c r="G856" t="s">
        <v>1</v>
      </c>
      <c r="H856" t="b">
        <v>0</v>
      </c>
      <c r="I856" t="b">
        <v>1</v>
      </c>
      <c r="J856" t="b">
        <v>0</v>
      </c>
      <c r="K856" t="b">
        <v>0</v>
      </c>
      <c r="L856" t="s">
        <v>2323</v>
      </c>
      <c r="M856" t="s">
        <v>631</v>
      </c>
      <c r="N856" t="s">
        <v>63</v>
      </c>
      <c r="O856" t="b">
        <v>0</v>
      </c>
      <c r="P856">
        <v>61</v>
      </c>
      <c r="Q856" t="s">
        <v>499</v>
      </c>
      <c r="R856" t="s">
        <v>500</v>
      </c>
      <c r="S856">
        <v>41</v>
      </c>
      <c r="T856" t="s">
        <v>80</v>
      </c>
      <c r="U856" t="s">
        <v>501</v>
      </c>
      <c r="V856" t="s">
        <v>130</v>
      </c>
      <c r="W856">
        <v>228</v>
      </c>
      <c r="X856" t="s">
        <v>5</v>
      </c>
      <c r="Y856">
        <v>56</v>
      </c>
      <c r="Z856" t="s">
        <v>7</v>
      </c>
      <c r="AA856" t="s">
        <v>8</v>
      </c>
      <c r="AC856" t="s">
        <v>9</v>
      </c>
      <c r="AD856">
        <v>422</v>
      </c>
    </row>
    <row r="857" spans="1:30" x14ac:dyDescent="0.3">
      <c r="A857">
        <v>17926028</v>
      </c>
      <c r="B857" s="3">
        <v>45668</v>
      </c>
      <c r="C857">
        <v>2025</v>
      </c>
      <c r="D857">
        <v>1</v>
      </c>
      <c r="E857" t="s">
        <v>1579</v>
      </c>
      <c r="F857" t="s">
        <v>0</v>
      </c>
      <c r="G857" t="s">
        <v>10</v>
      </c>
      <c r="H857" t="b">
        <v>0</v>
      </c>
      <c r="I857" t="b">
        <v>0</v>
      </c>
      <c r="J857" t="b">
        <v>0</v>
      </c>
      <c r="K857" t="b">
        <v>0</v>
      </c>
      <c r="L857" t="s">
        <v>2324</v>
      </c>
      <c r="M857" t="s">
        <v>236</v>
      </c>
      <c r="N857" t="s">
        <v>5</v>
      </c>
      <c r="O857" t="b">
        <v>0</v>
      </c>
      <c r="P857">
        <v>15</v>
      </c>
      <c r="Q857" t="s">
        <v>588</v>
      </c>
      <c r="R857" t="s">
        <v>589</v>
      </c>
      <c r="S857" t="s">
        <v>5</v>
      </c>
      <c r="T857" t="s">
        <v>590</v>
      </c>
      <c r="U857" t="s">
        <v>591</v>
      </c>
      <c r="V857" t="s">
        <v>592</v>
      </c>
      <c r="W857">
        <v>17</v>
      </c>
      <c r="X857" t="s">
        <v>6</v>
      </c>
      <c r="Z857" t="s">
        <v>5</v>
      </c>
      <c r="AA857" t="s">
        <v>8</v>
      </c>
      <c r="AB857">
        <v>100</v>
      </c>
      <c r="AC857" t="s">
        <v>32</v>
      </c>
      <c r="AD857">
        <v>441</v>
      </c>
    </row>
    <row r="858" spans="1:30" x14ac:dyDescent="0.3">
      <c r="A858">
        <v>17930383</v>
      </c>
      <c r="B858" s="3">
        <v>45666</v>
      </c>
      <c r="C858">
        <v>2025</v>
      </c>
      <c r="D858">
        <v>1</v>
      </c>
      <c r="E858" t="s">
        <v>1579</v>
      </c>
      <c r="F858" t="s">
        <v>0</v>
      </c>
      <c r="G858" t="s">
        <v>10</v>
      </c>
      <c r="H858" t="b">
        <v>0</v>
      </c>
      <c r="I858" t="b">
        <v>0</v>
      </c>
      <c r="J858" t="b">
        <v>0</v>
      </c>
      <c r="K858" t="b">
        <v>0</v>
      </c>
      <c r="L858" t="s">
        <v>2325</v>
      </c>
      <c r="M858" t="s">
        <v>587</v>
      </c>
      <c r="N858" t="s">
        <v>5</v>
      </c>
      <c r="O858" t="b">
        <v>0</v>
      </c>
      <c r="P858">
        <v>16</v>
      </c>
      <c r="Q858" t="s">
        <v>630</v>
      </c>
      <c r="R858" t="s">
        <v>5</v>
      </c>
      <c r="S858" t="s">
        <v>5</v>
      </c>
      <c r="T858" t="s">
        <v>590</v>
      </c>
      <c r="U858" t="s">
        <v>5</v>
      </c>
      <c r="V858" t="s">
        <v>5</v>
      </c>
      <c r="W858">
        <v>12</v>
      </c>
      <c r="X858" t="s">
        <v>6</v>
      </c>
      <c r="Z858" t="s">
        <v>5</v>
      </c>
      <c r="AA858" t="s">
        <v>8</v>
      </c>
      <c r="AB858">
        <v>55</v>
      </c>
      <c r="AC858" t="s">
        <v>32</v>
      </c>
      <c r="AD858">
        <v>443</v>
      </c>
    </row>
    <row r="859" spans="1:30" x14ac:dyDescent="0.3">
      <c r="A859">
        <v>17942470</v>
      </c>
      <c r="B859" s="3">
        <v>45677</v>
      </c>
      <c r="C859">
        <v>2025</v>
      </c>
      <c r="D859">
        <v>1</v>
      </c>
      <c r="E859" t="s">
        <v>1579</v>
      </c>
      <c r="F859" t="s">
        <v>0</v>
      </c>
      <c r="G859" t="s">
        <v>10</v>
      </c>
      <c r="H859" t="b">
        <v>0</v>
      </c>
      <c r="I859" t="b">
        <v>0</v>
      </c>
      <c r="J859" t="b">
        <v>0</v>
      </c>
      <c r="K859" t="b">
        <v>0</v>
      </c>
      <c r="L859" t="s">
        <v>2326</v>
      </c>
      <c r="M859" t="s">
        <v>533</v>
      </c>
      <c r="N859" t="s">
        <v>264</v>
      </c>
      <c r="O859" t="b">
        <v>0</v>
      </c>
      <c r="P859">
        <v>3</v>
      </c>
      <c r="Q859" t="s">
        <v>1527</v>
      </c>
      <c r="R859" t="s">
        <v>5</v>
      </c>
      <c r="S859" t="s">
        <v>5</v>
      </c>
      <c r="T859" t="s">
        <v>138</v>
      </c>
      <c r="U859" t="s">
        <v>5</v>
      </c>
      <c r="V859" t="s">
        <v>5</v>
      </c>
      <c r="W859">
        <v>1</v>
      </c>
      <c r="X859" t="s">
        <v>31</v>
      </c>
      <c r="Y859">
        <v>86</v>
      </c>
      <c r="Z859" t="s">
        <v>196</v>
      </c>
      <c r="AA859" t="s">
        <v>8</v>
      </c>
      <c r="AB859">
        <v>45</v>
      </c>
      <c r="AC859" t="s">
        <v>284</v>
      </c>
      <c r="AD859">
        <v>432</v>
      </c>
    </row>
    <row r="860" spans="1:30" x14ac:dyDescent="0.3">
      <c r="A860">
        <v>17943151</v>
      </c>
      <c r="B860" s="3">
        <v>45665</v>
      </c>
      <c r="C860">
        <v>2025</v>
      </c>
      <c r="D860">
        <v>1</v>
      </c>
      <c r="E860" t="s">
        <v>1579</v>
      </c>
      <c r="F860" t="s">
        <v>0</v>
      </c>
      <c r="G860" t="s">
        <v>1</v>
      </c>
      <c r="H860" t="b">
        <v>0</v>
      </c>
      <c r="I860" t="b">
        <v>1</v>
      </c>
      <c r="J860" t="b">
        <v>0</v>
      </c>
      <c r="K860" t="b">
        <v>0</v>
      </c>
      <c r="L860" t="s">
        <v>2327</v>
      </c>
      <c r="M860" t="s">
        <v>413</v>
      </c>
      <c r="N860" t="s">
        <v>118</v>
      </c>
      <c r="O860" t="b">
        <v>0</v>
      </c>
      <c r="P860">
        <v>30</v>
      </c>
      <c r="Q860" t="s">
        <v>588</v>
      </c>
      <c r="R860" t="s">
        <v>589</v>
      </c>
      <c r="S860" t="s">
        <v>5</v>
      </c>
      <c r="T860" t="s">
        <v>1538</v>
      </c>
      <c r="U860" t="s">
        <v>591</v>
      </c>
      <c r="V860" t="s">
        <v>592</v>
      </c>
      <c r="W860">
        <v>52</v>
      </c>
      <c r="X860" t="s">
        <v>6</v>
      </c>
      <c r="Y860">
        <v>37</v>
      </c>
      <c r="Z860" t="s">
        <v>61</v>
      </c>
      <c r="AA860" t="s">
        <v>8</v>
      </c>
      <c r="AB860">
        <v>74</v>
      </c>
      <c r="AC860" t="s">
        <v>32</v>
      </c>
      <c r="AD860">
        <v>444</v>
      </c>
    </row>
    <row r="861" spans="1:30" x14ac:dyDescent="0.3">
      <c r="A861">
        <v>17955976</v>
      </c>
      <c r="B861" s="3">
        <v>45671</v>
      </c>
      <c r="C861">
        <v>2025</v>
      </c>
      <c r="D861">
        <v>1</v>
      </c>
      <c r="E861" t="s">
        <v>1579</v>
      </c>
      <c r="F861" t="s">
        <v>0</v>
      </c>
      <c r="G861" t="s">
        <v>151</v>
      </c>
      <c r="H861" t="b">
        <v>0</v>
      </c>
      <c r="I861" t="b">
        <v>1</v>
      </c>
      <c r="J861" t="b">
        <v>0</v>
      </c>
      <c r="K861" t="b">
        <v>1</v>
      </c>
      <c r="L861" t="s">
        <v>2328</v>
      </c>
      <c r="M861" t="s">
        <v>74</v>
      </c>
      <c r="N861" t="s">
        <v>63</v>
      </c>
      <c r="O861" t="b">
        <v>0</v>
      </c>
      <c r="P861">
        <v>12</v>
      </c>
      <c r="Q861" t="s">
        <v>208</v>
      </c>
      <c r="R861" t="s">
        <v>286</v>
      </c>
      <c r="S861">
        <v>48</v>
      </c>
      <c r="T861" t="s">
        <v>80</v>
      </c>
      <c r="U861" t="s">
        <v>210</v>
      </c>
      <c r="V861" t="s">
        <v>5</v>
      </c>
      <c r="W861">
        <v>16</v>
      </c>
      <c r="X861" t="s">
        <v>6</v>
      </c>
      <c r="Y861">
        <v>65</v>
      </c>
      <c r="Z861" t="s">
        <v>7</v>
      </c>
      <c r="AA861" t="s">
        <v>8</v>
      </c>
      <c r="AC861" t="s">
        <v>32</v>
      </c>
      <c r="AD861">
        <v>438</v>
      </c>
    </row>
    <row r="862" spans="1:30" x14ac:dyDescent="0.3">
      <c r="A862">
        <v>17956099</v>
      </c>
      <c r="B862" s="3">
        <v>45673</v>
      </c>
      <c r="C862">
        <v>2025</v>
      </c>
      <c r="D862">
        <v>1</v>
      </c>
      <c r="E862" t="s">
        <v>1579</v>
      </c>
      <c r="F862" t="s">
        <v>125</v>
      </c>
      <c r="G862" t="s">
        <v>10</v>
      </c>
      <c r="H862" t="b">
        <v>0</v>
      </c>
      <c r="I862" t="b">
        <v>0</v>
      </c>
      <c r="J862" t="b">
        <v>0</v>
      </c>
      <c r="K862" t="b">
        <v>0</v>
      </c>
      <c r="L862" t="s">
        <v>2329</v>
      </c>
      <c r="M862" t="s">
        <v>192</v>
      </c>
      <c r="N862" t="s">
        <v>5</v>
      </c>
      <c r="O862" t="b">
        <v>0</v>
      </c>
      <c r="P862">
        <v>3</v>
      </c>
      <c r="Q862" t="s">
        <v>226</v>
      </c>
      <c r="R862" t="s">
        <v>227</v>
      </c>
      <c r="S862" t="s">
        <v>5</v>
      </c>
      <c r="T862" t="s">
        <v>5</v>
      </c>
      <c r="U862" t="s">
        <v>228</v>
      </c>
      <c r="V862" t="s">
        <v>5</v>
      </c>
      <c r="W862">
        <v>1</v>
      </c>
      <c r="X862" t="s">
        <v>31</v>
      </c>
      <c r="Y862">
        <v>68</v>
      </c>
      <c r="Z862" t="s">
        <v>67</v>
      </c>
      <c r="AA862" t="s">
        <v>15</v>
      </c>
      <c r="AC862" t="s">
        <v>32</v>
      </c>
      <c r="AD862">
        <v>436</v>
      </c>
    </row>
    <row r="863" spans="1:30" x14ac:dyDescent="0.3">
      <c r="A863">
        <v>17957009</v>
      </c>
      <c r="B863" s="3">
        <v>45677</v>
      </c>
      <c r="C863">
        <v>2025</v>
      </c>
      <c r="D863">
        <v>1</v>
      </c>
      <c r="E863" t="s">
        <v>1579</v>
      </c>
      <c r="F863" t="s">
        <v>0</v>
      </c>
      <c r="G863" t="s">
        <v>10</v>
      </c>
      <c r="H863" t="b">
        <v>0</v>
      </c>
      <c r="I863" t="b">
        <v>0</v>
      </c>
      <c r="J863" t="b">
        <v>0</v>
      </c>
      <c r="K863" t="b">
        <v>0</v>
      </c>
      <c r="L863" t="s">
        <v>1551</v>
      </c>
      <c r="M863" t="s">
        <v>948</v>
      </c>
      <c r="N863" t="s">
        <v>118</v>
      </c>
      <c r="O863" t="b">
        <v>0</v>
      </c>
      <c r="P863">
        <v>9</v>
      </c>
      <c r="Q863" t="s">
        <v>787</v>
      </c>
      <c r="R863" t="s">
        <v>788</v>
      </c>
      <c r="S863">
        <v>48</v>
      </c>
      <c r="T863" t="s">
        <v>105</v>
      </c>
      <c r="U863" t="s">
        <v>789</v>
      </c>
      <c r="V863" t="s">
        <v>5</v>
      </c>
      <c r="W863">
        <v>6</v>
      </c>
      <c r="X863" t="s">
        <v>6</v>
      </c>
      <c r="Z863" t="s">
        <v>5</v>
      </c>
      <c r="AA863" t="s">
        <v>15</v>
      </c>
      <c r="AC863" t="s">
        <v>32</v>
      </c>
      <c r="AD863">
        <v>432</v>
      </c>
    </row>
    <row r="864" spans="1:30" x14ac:dyDescent="0.3">
      <c r="A864">
        <v>17958759</v>
      </c>
      <c r="B864" s="3">
        <v>45666</v>
      </c>
      <c r="C864">
        <v>2025</v>
      </c>
      <c r="D864">
        <v>1</v>
      </c>
      <c r="E864" t="s">
        <v>1579</v>
      </c>
      <c r="F864" t="s">
        <v>125</v>
      </c>
      <c r="G864" t="s">
        <v>10</v>
      </c>
      <c r="H864" t="b">
        <v>0</v>
      </c>
      <c r="I864" t="b">
        <v>0</v>
      </c>
      <c r="J864" t="b">
        <v>0</v>
      </c>
      <c r="K864" t="b">
        <v>0</v>
      </c>
      <c r="L864" t="s">
        <v>2330</v>
      </c>
      <c r="M864" t="s">
        <v>896</v>
      </c>
      <c r="N864" t="s">
        <v>5</v>
      </c>
      <c r="O864" t="b">
        <v>0</v>
      </c>
      <c r="P864">
        <v>4</v>
      </c>
      <c r="Q864" t="s">
        <v>208</v>
      </c>
      <c r="R864" t="s">
        <v>209</v>
      </c>
      <c r="S864" t="s">
        <v>5</v>
      </c>
      <c r="T864" t="s">
        <v>80</v>
      </c>
      <c r="U864" t="s">
        <v>210</v>
      </c>
      <c r="V864" t="s">
        <v>5</v>
      </c>
      <c r="W864">
        <v>4</v>
      </c>
      <c r="X864" t="s">
        <v>40</v>
      </c>
      <c r="Y864">
        <v>64</v>
      </c>
      <c r="Z864" t="s">
        <v>7</v>
      </c>
      <c r="AA864" t="s">
        <v>15</v>
      </c>
      <c r="AC864" t="s">
        <v>32</v>
      </c>
      <c r="AD864">
        <v>443</v>
      </c>
    </row>
    <row r="865" spans="1:30" x14ac:dyDescent="0.3">
      <c r="A865">
        <v>17971768</v>
      </c>
      <c r="B865" s="3">
        <v>45684</v>
      </c>
      <c r="C865">
        <v>2025</v>
      </c>
      <c r="D865">
        <v>1</v>
      </c>
      <c r="E865" t="s">
        <v>1579</v>
      </c>
      <c r="F865" t="s">
        <v>125</v>
      </c>
      <c r="G865" t="s">
        <v>10</v>
      </c>
      <c r="H865" t="b">
        <v>0</v>
      </c>
      <c r="I865" t="b">
        <v>0</v>
      </c>
      <c r="J865" t="b">
        <v>0</v>
      </c>
      <c r="K865" t="b">
        <v>0</v>
      </c>
      <c r="L865" t="s">
        <v>665</v>
      </c>
      <c r="M865" t="s">
        <v>192</v>
      </c>
      <c r="N865" t="s">
        <v>5</v>
      </c>
      <c r="O865" t="b">
        <v>0</v>
      </c>
      <c r="P865">
        <v>2</v>
      </c>
      <c r="Q865" t="s">
        <v>127</v>
      </c>
      <c r="R865" t="s">
        <v>128</v>
      </c>
      <c r="S865">
        <v>65</v>
      </c>
      <c r="T865" t="s">
        <v>83</v>
      </c>
      <c r="U865" t="s">
        <v>129</v>
      </c>
      <c r="V865" t="s">
        <v>130</v>
      </c>
      <c r="W865">
        <v>1</v>
      </c>
      <c r="X865" t="s">
        <v>31</v>
      </c>
      <c r="Y865">
        <v>65</v>
      </c>
      <c r="Z865" t="s">
        <v>7</v>
      </c>
      <c r="AA865" t="s">
        <v>8</v>
      </c>
      <c r="AC865" t="s">
        <v>32</v>
      </c>
      <c r="AD865">
        <v>425</v>
      </c>
    </row>
    <row r="866" spans="1:30" x14ac:dyDescent="0.3">
      <c r="A866">
        <v>17981952</v>
      </c>
      <c r="B866" s="3">
        <v>45671</v>
      </c>
      <c r="C866">
        <v>2025</v>
      </c>
      <c r="D866">
        <v>1</v>
      </c>
      <c r="E866" t="s">
        <v>1579</v>
      </c>
      <c r="F866" t="s">
        <v>0</v>
      </c>
      <c r="G866" t="s">
        <v>10</v>
      </c>
      <c r="H866" t="b">
        <v>0</v>
      </c>
      <c r="I866" t="b">
        <v>0</v>
      </c>
      <c r="J866" t="b">
        <v>0</v>
      </c>
      <c r="K866" t="b">
        <v>0</v>
      </c>
      <c r="L866" t="s">
        <v>2331</v>
      </c>
      <c r="M866" t="s">
        <v>948</v>
      </c>
      <c r="N866" t="s">
        <v>63</v>
      </c>
      <c r="O866" t="b">
        <v>0</v>
      </c>
      <c r="P866">
        <v>7</v>
      </c>
      <c r="Q866" t="s">
        <v>787</v>
      </c>
      <c r="R866" t="s">
        <v>788</v>
      </c>
      <c r="S866">
        <v>48</v>
      </c>
      <c r="T866" t="s">
        <v>105</v>
      </c>
      <c r="U866" t="s">
        <v>789</v>
      </c>
      <c r="V866" t="s">
        <v>5</v>
      </c>
      <c r="W866">
        <v>6</v>
      </c>
      <c r="X866" t="s">
        <v>6</v>
      </c>
      <c r="Y866">
        <v>29</v>
      </c>
      <c r="Z866" t="s">
        <v>61</v>
      </c>
      <c r="AA866" t="s">
        <v>8</v>
      </c>
      <c r="AC866" t="s">
        <v>32</v>
      </c>
      <c r="AD866">
        <v>438</v>
      </c>
    </row>
    <row r="867" spans="1:30" x14ac:dyDescent="0.3">
      <c r="A867">
        <v>17993085</v>
      </c>
      <c r="B867" s="3">
        <v>45667</v>
      </c>
      <c r="C867">
        <v>2025</v>
      </c>
      <c r="D867">
        <v>1</v>
      </c>
      <c r="E867" t="s">
        <v>1579</v>
      </c>
      <c r="F867" t="s">
        <v>125</v>
      </c>
      <c r="G867" t="s">
        <v>10</v>
      </c>
      <c r="H867" t="b">
        <v>0</v>
      </c>
      <c r="I867" t="b">
        <v>0</v>
      </c>
      <c r="J867" t="b">
        <v>0</v>
      </c>
      <c r="K867" t="b">
        <v>0</v>
      </c>
      <c r="L867" t="s">
        <v>2332</v>
      </c>
      <c r="M867" t="s">
        <v>666</v>
      </c>
      <c r="N867" t="s">
        <v>57</v>
      </c>
      <c r="O867" t="b">
        <v>1</v>
      </c>
      <c r="P867">
        <v>5</v>
      </c>
      <c r="Q867" t="s">
        <v>367</v>
      </c>
      <c r="R867" t="s">
        <v>368</v>
      </c>
      <c r="S867">
        <v>42</v>
      </c>
      <c r="T867" t="s">
        <v>60</v>
      </c>
      <c r="U867" t="s">
        <v>81</v>
      </c>
      <c r="V867" t="s">
        <v>82</v>
      </c>
      <c r="W867">
        <v>3</v>
      </c>
      <c r="X867" t="s">
        <v>14</v>
      </c>
      <c r="Y867">
        <v>35</v>
      </c>
      <c r="Z867" t="s">
        <v>61</v>
      </c>
      <c r="AA867" t="s">
        <v>8</v>
      </c>
      <c r="AC867" t="s">
        <v>9</v>
      </c>
      <c r="AD867">
        <v>442</v>
      </c>
    </row>
    <row r="868" spans="1:30" x14ac:dyDescent="0.3">
      <c r="A868">
        <v>18000528</v>
      </c>
      <c r="B868" s="3">
        <v>45674</v>
      </c>
      <c r="C868">
        <v>2025</v>
      </c>
      <c r="D868">
        <v>1</v>
      </c>
      <c r="E868" t="s">
        <v>1579</v>
      </c>
      <c r="F868" t="s">
        <v>0</v>
      </c>
      <c r="G868" t="s">
        <v>562</v>
      </c>
      <c r="H868" t="b">
        <v>0</v>
      </c>
      <c r="I868" t="b">
        <v>0</v>
      </c>
      <c r="J868" t="b">
        <v>0</v>
      </c>
      <c r="K868" t="b">
        <v>0</v>
      </c>
      <c r="L868" t="s">
        <v>2333</v>
      </c>
      <c r="M868" t="s">
        <v>1447</v>
      </c>
      <c r="N868" t="s">
        <v>5</v>
      </c>
      <c r="O868" t="b">
        <v>0</v>
      </c>
      <c r="P868">
        <v>4</v>
      </c>
      <c r="Q868" t="s">
        <v>502</v>
      </c>
      <c r="R868" t="s">
        <v>503</v>
      </c>
      <c r="S868">
        <v>64</v>
      </c>
      <c r="T868" t="s">
        <v>62</v>
      </c>
      <c r="U868" t="s">
        <v>325</v>
      </c>
      <c r="V868" t="s">
        <v>504</v>
      </c>
      <c r="W868">
        <v>8</v>
      </c>
      <c r="X868" t="s">
        <v>6</v>
      </c>
      <c r="Z868" t="s">
        <v>5</v>
      </c>
      <c r="AA868" t="s">
        <v>5</v>
      </c>
      <c r="AC868" t="s">
        <v>32</v>
      </c>
      <c r="AD868">
        <v>435</v>
      </c>
    </row>
    <row r="869" spans="1:30" x14ac:dyDescent="0.3">
      <c r="A869">
        <v>18002227</v>
      </c>
      <c r="B869" s="3">
        <v>45670</v>
      </c>
      <c r="C869">
        <v>2025</v>
      </c>
      <c r="D869">
        <v>1</v>
      </c>
      <c r="E869" t="s">
        <v>1579</v>
      </c>
      <c r="F869" t="s">
        <v>0</v>
      </c>
      <c r="G869" t="s">
        <v>1</v>
      </c>
      <c r="H869" t="b">
        <v>0</v>
      </c>
      <c r="I869" t="b">
        <v>1</v>
      </c>
      <c r="J869" t="b">
        <v>0</v>
      </c>
      <c r="K869" t="b">
        <v>0</v>
      </c>
      <c r="L869" t="s">
        <v>2334</v>
      </c>
      <c r="M869" t="s">
        <v>1037</v>
      </c>
      <c r="N869" t="s">
        <v>118</v>
      </c>
      <c r="O869" t="b">
        <v>0</v>
      </c>
      <c r="P869">
        <v>39</v>
      </c>
      <c r="Q869" t="s">
        <v>588</v>
      </c>
      <c r="R869" t="s">
        <v>589</v>
      </c>
      <c r="S869" t="s">
        <v>5</v>
      </c>
      <c r="T869" t="s">
        <v>1377</v>
      </c>
      <c r="U869" t="s">
        <v>591</v>
      </c>
      <c r="V869" t="s">
        <v>592</v>
      </c>
      <c r="W869">
        <v>34</v>
      </c>
      <c r="X869" t="s">
        <v>6</v>
      </c>
      <c r="Y869">
        <v>48</v>
      </c>
      <c r="Z869" t="s">
        <v>7</v>
      </c>
      <c r="AA869" t="s">
        <v>8</v>
      </c>
      <c r="AB869">
        <v>80</v>
      </c>
      <c r="AC869" t="s">
        <v>32</v>
      </c>
      <c r="AD869">
        <v>439</v>
      </c>
    </row>
    <row r="870" spans="1:30" x14ac:dyDescent="0.3">
      <c r="A870">
        <v>18002510</v>
      </c>
      <c r="B870" s="3">
        <v>45680</v>
      </c>
      <c r="C870">
        <v>2025</v>
      </c>
      <c r="D870">
        <v>1</v>
      </c>
      <c r="E870" t="s">
        <v>1579</v>
      </c>
      <c r="F870" t="s">
        <v>0</v>
      </c>
      <c r="G870" t="s">
        <v>1</v>
      </c>
      <c r="H870" t="b">
        <v>0</v>
      </c>
      <c r="I870" t="b">
        <v>1</v>
      </c>
      <c r="J870" t="b">
        <v>0</v>
      </c>
      <c r="K870" t="b">
        <v>0</v>
      </c>
      <c r="L870" t="s">
        <v>2335</v>
      </c>
      <c r="M870" t="s">
        <v>1471</v>
      </c>
      <c r="N870" t="s">
        <v>118</v>
      </c>
      <c r="O870" t="b">
        <v>0</v>
      </c>
      <c r="P870">
        <v>51</v>
      </c>
      <c r="Q870" t="s">
        <v>323</v>
      </c>
      <c r="R870" t="s">
        <v>324</v>
      </c>
      <c r="S870">
        <v>42</v>
      </c>
      <c r="T870" t="s">
        <v>257</v>
      </c>
      <c r="U870" t="s">
        <v>325</v>
      </c>
      <c r="V870" t="s">
        <v>326</v>
      </c>
      <c r="W870">
        <v>14</v>
      </c>
      <c r="X870" t="s">
        <v>6</v>
      </c>
      <c r="Z870" t="s">
        <v>5</v>
      </c>
      <c r="AA870" t="s">
        <v>5</v>
      </c>
      <c r="AC870" t="s">
        <v>154</v>
      </c>
      <c r="AD870">
        <v>429</v>
      </c>
    </row>
    <row r="871" spans="1:30" x14ac:dyDescent="0.3">
      <c r="A871">
        <v>18004079</v>
      </c>
      <c r="B871" s="3">
        <v>45681</v>
      </c>
      <c r="C871">
        <v>2025</v>
      </c>
      <c r="D871">
        <v>1</v>
      </c>
      <c r="E871" t="s">
        <v>1579</v>
      </c>
      <c r="F871" t="s">
        <v>0</v>
      </c>
      <c r="G871" t="s">
        <v>1</v>
      </c>
      <c r="H871" t="b">
        <v>0</v>
      </c>
      <c r="I871" t="b">
        <v>1</v>
      </c>
      <c r="J871" t="b">
        <v>0</v>
      </c>
      <c r="K871" t="b">
        <v>0</v>
      </c>
      <c r="L871" t="s">
        <v>1432</v>
      </c>
      <c r="M871" t="s">
        <v>545</v>
      </c>
      <c r="N871" t="s">
        <v>63</v>
      </c>
      <c r="O871" t="b">
        <v>0</v>
      </c>
      <c r="P871">
        <v>5</v>
      </c>
      <c r="Q871" t="s">
        <v>787</v>
      </c>
      <c r="R871" t="s">
        <v>788</v>
      </c>
      <c r="S871">
        <v>48</v>
      </c>
      <c r="T871" t="s">
        <v>105</v>
      </c>
      <c r="U871" t="s">
        <v>789</v>
      </c>
      <c r="V871" t="s">
        <v>5</v>
      </c>
      <c r="W871">
        <v>5</v>
      </c>
      <c r="X871" t="s">
        <v>40</v>
      </c>
      <c r="Y871">
        <v>61</v>
      </c>
      <c r="Z871" t="s">
        <v>7</v>
      </c>
      <c r="AA871" t="s">
        <v>15</v>
      </c>
      <c r="AC871" t="s">
        <v>32</v>
      </c>
      <c r="AD871">
        <v>428</v>
      </c>
    </row>
    <row r="872" spans="1:30" x14ac:dyDescent="0.3">
      <c r="A872">
        <v>18007424</v>
      </c>
      <c r="B872" s="3">
        <v>45687</v>
      </c>
      <c r="C872">
        <v>2025</v>
      </c>
      <c r="D872">
        <v>1</v>
      </c>
      <c r="E872" t="s">
        <v>1579</v>
      </c>
      <c r="F872" t="s">
        <v>0</v>
      </c>
      <c r="G872" t="s">
        <v>10</v>
      </c>
      <c r="H872" t="b">
        <v>0</v>
      </c>
      <c r="I872" t="b">
        <v>0</v>
      </c>
      <c r="J872" t="b">
        <v>0</v>
      </c>
      <c r="K872" t="b">
        <v>0</v>
      </c>
      <c r="L872" t="s">
        <v>2336</v>
      </c>
      <c r="M872" t="s">
        <v>1063</v>
      </c>
      <c r="N872" t="s">
        <v>5</v>
      </c>
      <c r="O872" t="b">
        <v>0</v>
      </c>
      <c r="P872">
        <v>5</v>
      </c>
      <c r="Q872" t="s">
        <v>581</v>
      </c>
      <c r="R872" t="s">
        <v>582</v>
      </c>
      <c r="S872">
        <v>58</v>
      </c>
      <c r="T872" t="s">
        <v>80</v>
      </c>
      <c r="U872" t="s">
        <v>583</v>
      </c>
      <c r="V872" t="s">
        <v>584</v>
      </c>
      <c r="W872">
        <v>2</v>
      </c>
      <c r="X872" t="s">
        <v>14</v>
      </c>
      <c r="Z872" t="s">
        <v>5</v>
      </c>
      <c r="AA872" t="s">
        <v>8</v>
      </c>
      <c r="AC872" t="s">
        <v>56</v>
      </c>
      <c r="AD872">
        <v>422</v>
      </c>
    </row>
    <row r="873" spans="1:30" x14ac:dyDescent="0.3">
      <c r="A873">
        <v>18008629</v>
      </c>
      <c r="B873" s="3">
        <v>45674</v>
      </c>
      <c r="C873">
        <v>2025</v>
      </c>
      <c r="D873">
        <v>1</v>
      </c>
      <c r="E873" t="s">
        <v>1579</v>
      </c>
      <c r="F873" t="s">
        <v>0</v>
      </c>
      <c r="G873" t="s">
        <v>1</v>
      </c>
      <c r="H873" t="b">
        <v>0</v>
      </c>
      <c r="I873" t="b">
        <v>1</v>
      </c>
      <c r="J873" t="b">
        <v>0</v>
      </c>
      <c r="K873" t="b">
        <v>0</v>
      </c>
      <c r="L873" t="s">
        <v>2337</v>
      </c>
      <c r="M873" t="s">
        <v>910</v>
      </c>
      <c r="N873" t="s">
        <v>57</v>
      </c>
      <c r="O873" t="b">
        <v>1</v>
      </c>
      <c r="P873">
        <v>12</v>
      </c>
      <c r="Q873" t="s">
        <v>323</v>
      </c>
      <c r="R873" t="s">
        <v>324</v>
      </c>
      <c r="S873" t="s">
        <v>5</v>
      </c>
      <c r="T873" t="s">
        <v>257</v>
      </c>
      <c r="U873" t="s">
        <v>325</v>
      </c>
      <c r="V873" t="s">
        <v>326</v>
      </c>
      <c r="W873">
        <v>5</v>
      </c>
      <c r="X873" t="s">
        <v>40</v>
      </c>
      <c r="Z873" t="s">
        <v>5</v>
      </c>
      <c r="AA873" t="s">
        <v>5</v>
      </c>
      <c r="AC873" t="s">
        <v>154</v>
      </c>
      <c r="AD873">
        <v>435</v>
      </c>
    </row>
    <row r="874" spans="1:30" x14ac:dyDescent="0.3">
      <c r="A874">
        <v>18013641</v>
      </c>
      <c r="B874" s="3">
        <v>45687</v>
      </c>
      <c r="C874">
        <v>2025</v>
      </c>
      <c r="D874">
        <v>1</v>
      </c>
      <c r="E874" t="s">
        <v>1579</v>
      </c>
      <c r="F874" t="s">
        <v>0</v>
      </c>
      <c r="G874" t="s">
        <v>10</v>
      </c>
      <c r="H874" t="b">
        <v>0</v>
      </c>
      <c r="I874" t="b">
        <v>0</v>
      </c>
      <c r="J874" t="b">
        <v>0</v>
      </c>
      <c r="K874" t="b">
        <v>0</v>
      </c>
      <c r="L874" t="s">
        <v>2338</v>
      </c>
      <c r="M874" t="s">
        <v>875</v>
      </c>
      <c r="N874" t="s">
        <v>118</v>
      </c>
      <c r="O874" t="b">
        <v>0</v>
      </c>
      <c r="P874">
        <v>15</v>
      </c>
      <c r="Q874" t="s">
        <v>1168</v>
      </c>
      <c r="R874" t="s">
        <v>1169</v>
      </c>
      <c r="S874">
        <v>48</v>
      </c>
      <c r="T874" t="s">
        <v>105</v>
      </c>
      <c r="U874" t="s">
        <v>789</v>
      </c>
      <c r="V874" t="s">
        <v>753</v>
      </c>
      <c r="W874">
        <v>64</v>
      </c>
      <c r="X874" t="s">
        <v>6</v>
      </c>
      <c r="Y874">
        <v>53</v>
      </c>
      <c r="Z874" t="s">
        <v>7</v>
      </c>
      <c r="AA874" t="s">
        <v>15</v>
      </c>
      <c r="AB874">
        <v>90.703000000000003</v>
      </c>
      <c r="AC874" t="s">
        <v>32</v>
      </c>
      <c r="AD874">
        <v>422</v>
      </c>
    </row>
    <row r="875" spans="1:30" x14ac:dyDescent="0.3">
      <c r="A875">
        <v>18016041</v>
      </c>
      <c r="B875" s="3">
        <v>45674</v>
      </c>
      <c r="C875">
        <v>2025</v>
      </c>
      <c r="D875">
        <v>1</v>
      </c>
      <c r="E875" t="s">
        <v>1579</v>
      </c>
      <c r="F875" t="s">
        <v>0</v>
      </c>
      <c r="G875" t="s">
        <v>10</v>
      </c>
      <c r="H875" t="b">
        <v>0</v>
      </c>
      <c r="I875" t="b">
        <v>0</v>
      </c>
      <c r="J875" t="b">
        <v>0</v>
      </c>
      <c r="K875" t="b">
        <v>0</v>
      </c>
      <c r="L875" t="s">
        <v>2339</v>
      </c>
      <c r="M875" t="s">
        <v>948</v>
      </c>
      <c r="N875" t="s">
        <v>63</v>
      </c>
      <c r="O875" t="b">
        <v>0</v>
      </c>
      <c r="P875">
        <v>7</v>
      </c>
      <c r="Q875" t="s">
        <v>787</v>
      </c>
      <c r="R875" t="s">
        <v>788</v>
      </c>
      <c r="S875">
        <v>48</v>
      </c>
      <c r="T875" t="s">
        <v>105</v>
      </c>
      <c r="U875" t="s">
        <v>789</v>
      </c>
      <c r="V875" t="s">
        <v>5</v>
      </c>
      <c r="W875">
        <v>6</v>
      </c>
      <c r="X875" t="s">
        <v>6</v>
      </c>
      <c r="Z875" t="s">
        <v>5</v>
      </c>
      <c r="AA875" t="s">
        <v>8</v>
      </c>
      <c r="AC875" t="s">
        <v>32</v>
      </c>
      <c r="AD875">
        <v>435</v>
      </c>
    </row>
    <row r="876" spans="1:30" x14ac:dyDescent="0.3">
      <c r="A876">
        <v>18020574</v>
      </c>
      <c r="B876" s="3">
        <v>45665</v>
      </c>
      <c r="C876">
        <v>2025</v>
      </c>
      <c r="D876">
        <v>1</v>
      </c>
      <c r="E876" t="s">
        <v>1579</v>
      </c>
      <c r="F876" t="s">
        <v>125</v>
      </c>
      <c r="G876" t="s">
        <v>10</v>
      </c>
      <c r="H876" t="b">
        <v>0</v>
      </c>
      <c r="I876" t="b">
        <v>0</v>
      </c>
      <c r="J876" t="b">
        <v>0</v>
      </c>
      <c r="K876" t="b">
        <v>0</v>
      </c>
      <c r="L876" t="s">
        <v>2340</v>
      </c>
      <c r="M876" t="s">
        <v>790</v>
      </c>
      <c r="N876" t="s">
        <v>5</v>
      </c>
      <c r="O876" t="b">
        <v>0</v>
      </c>
      <c r="P876">
        <v>3</v>
      </c>
      <c r="Q876" t="s">
        <v>132</v>
      </c>
      <c r="R876" t="s">
        <v>623</v>
      </c>
      <c r="S876">
        <v>65</v>
      </c>
      <c r="T876" t="s">
        <v>5</v>
      </c>
      <c r="U876" t="s">
        <v>23</v>
      </c>
      <c r="V876" t="s">
        <v>24</v>
      </c>
      <c r="W876">
        <v>3</v>
      </c>
      <c r="X876" t="s">
        <v>14</v>
      </c>
      <c r="Y876">
        <v>70</v>
      </c>
      <c r="Z876" t="s">
        <v>67</v>
      </c>
      <c r="AA876" t="s">
        <v>8</v>
      </c>
      <c r="AC876" t="s">
        <v>32</v>
      </c>
      <c r="AD876">
        <v>444</v>
      </c>
    </row>
    <row r="877" spans="1:30" x14ac:dyDescent="0.3">
      <c r="A877">
        <v>18020592</v>
      </c>
      <c r="B877" s="3">
        <v>45665</v>
      </c>
      <c r="C877">
        <v>2025</v>
      </c>
      <c r="D877">
        <v>1</v>
      </c>
      <c r="E877" t="s">
        <v>1579</v>
      </c>
      <c r="F877" t="s">
        <v>125</v>
      </c>
      <c r="G877" t="s">
        <v>10</v>
      </c>
      <c r="H877" t="b">
        <v>0</v>
      </c>
      <c r="I877" t="b">
        <v>0</v>
      </c>
      <c r="J877" t="b">
        <v>0</v>
      </c>
      <c r="K877" t="b">
        <v>0</v>
      </c>
      <c r="L877" t="s">
        <v>2341</v>
      </c>
      <c r="M877" t="s">
        <v>416</v>
      </c>
      <c r="N877" t="s">
        <v>118</v>
      </c>
      <c r="O877" t="b">
        <v>0</v>
      </c>
      <c r="P877">
        <v>6</v>
      </c>
      <c r="Q877" t="s">
        <v>455</v>
      </c>
      <c r="R877" t="s">
        <v>456</v>
      </c>
      <c r="S877">
        <v>58</v>
      </c>
      <c r="T877" t="s">
        <v>968</v>
      </c>
      <c r="U877" t="s">
        <v>23</v>
      </c>
      <c r="V877" t="s">
        <v>458</v>
      </c>
      <c r="W877">
        <v>9</v>
      </c>
      <c r="X877" t="s">
        <v>6</v>
      </c>
      <c r="Y877">
        <v>30</v>
      </c>
      <c r="Z877" t="s">
        <v>61</v>
      </c>
      <c r="AA877" t="s">
        <v>15</v>
      </c>
      <c r="AC877" t="s">
        <v>32</v>
      </c>
      <c r="AD877">
        <v>444</v>
      </c>
    </row>
    <row r="878" spans="1:30" x14ac:dyDescent="0.3">
      <c r="A878">
        <v>18026701</v>
      </c>
      <c r="B878" s="3">
        <v>45687</v>
      </c>
      <c r="C878">
        <v>2025</v>
      </c>
      <c r="D878">
        <v>1</v>
      </c>
      <c r="E878" t="s">
        <v>1579</v>
      </c>
      <c r="F878" t="s">
        <v>0</v>
      </c>
      <c r="G878" t="s">
        <v>10</v>
      </c>
      <c r="H878" t="b">
        <v>0</v>
      </c>
      <c r="I878" t="b">
        <v>0</v>
      </c>
      <c r="J878" t="b">
        <v>0</v>
      </c>
      <c r="K878" t="b">
        <v>0</v>
      </c>
      <c r="L878" t="s">
        <v>2342</v>
      </c>
      <c r="M878" t="s">
        <v>2343</v>
      </c>
      <c r="N878" t="s">
        <v>63</v>
      </c>
      <c r="O878" t="b">
        <v>0</v>
      </c>
      <c r="P878">
        <v>14</v>
      </c>
      <c r="Q878" t="s">
        <v>588</v>
      </c>
      <c r="R878" t="s">
        <v>589</v>
      </c>
      <c r="S878" t="s">
        <v>5</v>
      </c>
      <c r="T878" t="s">
        <v>590</v>
      </c>
      <c r="U878" t="s">
        <v>591</v>
      </c>
      <c r="V878" t="s">
        <v>592</v>
      </c>
      <c r="W878">
        <v>23</v>
      </c>
      <c r="X878" t="s">
        <v>6</v>
      </c>
      <c r="Z878" t="s">
        <v>5</v>
      </c>
      <c r="AA878" t="s">
        <v>8</v>
      </c>
      <c r="AB878">
        <v>132</v>
      </c>
      <c r="AC878" t="s">
        <v>32</v>
      </c>
      <c r="AD878">
        <v>422</v>
      </c>
    </row>
    <row r="879" spans="1:30" x14ac:dyDescent="0.3">
      <c r="A879">
        <v>18032086</v>
      </c>
      <c r="B879" s="3">
        <v>45677</v>
      </c>
      <c r="C879">
        <v>2025</v>
      </c>
      <c r="D879">
        <v>1</v>
      </c>
      <c r="E879" t="s">
        <v>1579</v>
      </c>
      <c r="F879" t="s">
        <v>0</v>
      </c>
      <c r="G879" t="s">
        <v>10</v>
      </c>
      <c r="H879" t="b">
        <v>0</v>
      </c>
      <c r="I879" t="b">
        <v>0</v>
      </c>
      <c r="J879" t="b">
        <v>0</v>
      </c>
      <c r="K879" t="b">
        <v>0</v>
      </c>
      <c r="L879" t="s">
        <v>2344</v>
      </c>
      <c r="M879" t="s">
        <v>948</v>
      </c>
      <c r="N879" t="s">
        <v>63</v>
      </c>
      <c r="O879" t="b">
        <v>0</v>
      </c>
      <c r="P879">
        <v>8</v>
      </c>
      <c r="Q879" t="s">
        <v>787</v>
      </c>
      <c r="R879" t="s">
        <v>788</v>
      </c>
      <c r="S879">
        <v>48</v>
      </c>
      <c r="T879" t="s">
        <v>105</v>
      </c>
      <c r="U879" t="s">
        <v>789</v>
      </c>
      <c r="V879" t="s">
        <v>5</v>
      </c>
      <c r="W879">
        <v>6</v>
      </c>
      <c r="X879" t="s">
        <v>6</v>
      </c>
      <c r="Y879">
        <v>49</v>
      </c>
      <c r="Z879" t="s">
        <v>7</v>
      </c>
      <c r="AA879" t="s">
        <v>15</v>
      </c>
      <c r="AC879" t="s">
        <v>32</v>
      </c>
      <c r="AD879">
        <v>432</v>
      </c>
    </row>
    <row r="880" spans="1:30" x14ac:dyDescent="0.3">
      <c r="A880">
        <v>18033164</v>
      </c>
      <c r="B880" s="3">
        <v>45664</v>
      </c>
      <c r="C880">
        <v>2025</v>
      </c>
      <c r="D880">
        <v>1</v>
      </c>
      <c r="E880" t="s">
        <v>1579</v>
      </c>
      <c r="F880" t="s">
        <v>0</v>
      </c>
      <c r="G880" t="s">
        <v>1</v>
      </c>
      <c r="H880" t="b">
        <v>0</v>
      </c>
      <c r="I880" t="b">
        <v>1</v>
      </c>
      <c r="J880" t="b">
        <v>0</v>
      </c>
      <c r="K880" t="b">
        <v>0</v>
      </c>
      <c r="L880" t="s">
        <v>2345</v>
      </c>
      <c r="M880" t="s">
        <v>564</v>
      </c>
      <c r="N880" t="s">
        <v>118</v>
      </c>
      <c r="O880" t="b">
        <v>0</v>
      </c>
      <c r="P880">
        <v>12</v>
      </c>
      <c r="Q880" t="s">
        <v>630</v>
      </c>
      <c r="R880" t="s">
        <v>5</v>
      </c>
      <c r="S880" t="s">
        <v>5</v>
      </c>
      <c r="T880" t="s">
        <v>1413</v>
      </c>
      <c r="U880" t="s">
        <v>5</v>
      </c>
      <c r="V880" t="s">
        <v>5</v>
      </c>
      <c r="W880">
        <v>26</v>
      </c>
      <c r="X880" t="s">
        <v>6</v>
      </c>
      <c r="Y880">
        <v>56</v>
      </c>
      <c r="Z880" t="s">
        <v>7</v>
      </c>
      <c r="AA880" t="s">
        <v>8</v>
      </c>
      <c r="AB880">
        <v>63</v>
      </c>
      <c r="AC880" t="s">
        <v>32</v>
      </c>
      <c r="AD880">
        <v>445</v>
      </c>
    </row>
    <row r="881" spans="1:30" x14ac:dyDescent="0.3">
      <c r="A881">
        <v>18033803</v>
      </c>
      <c r="B881" s="3">
        <v>45666</v>
      </c>
      <c r="C881">
        <v>2025</v>
      </c>
      <c r="D881">
        <v>1</v>
      </c>
      <c r="E881" t="s">
        <v>1579</v>
      </c>
      <c r="F881" t="s">
        <v>0</v>
      </c>
      <c r="G881" t="s">
        <v>10</v>
      </c>
      <c r="H881" t="b">
        <v>0</v>
      </c>
      <c r="I881" t="b">
        <v>0</v>
      </c>
      <c r="J881" t="b">
        <v>0</v>
      </c>
      <c r="K881" t="b">
        <v>0</v>
      </c>
      <c r="L881" t="s">
        <v>2346</v>
      </c>
      <c r="M881" t="s">
        <v>858</v>
      </c>
      <c r="N881" t="s">
        <v>57</v>
      </c>
      <c r="O881" t="b">
        <v>1</v>
      </c>
      <c r="P881">
        <v>13</v>
      </c>
      <c r="Q881" t="s">
        <v>588</v>
      </c>
      <c r="R881" t="s">
        <v>589</v>
      </c>
      <c r="S881" t="s">
        <v>5</v>
      </c>
      <c r="T881" t="s">
        <v>590</v>
      </c>
      <c r="U881" t="s">
        <v>591</v>
      </c>
      <c r="V881" t="s">
        <v>592</v>
      </c>
      <c r="W881">
        <v>14</v>
      </c>
      <c r="X881" t="s">
        <v>6</v>
      </c>
      <c r="Z881" t="s">
        <v>5</v>
      </c>
      <c r="AA881" t="s">
        <v>15</v>
      </c>
      <c r="AB881">
        <v>95</v>
      </c>
      <c r="AC881" t="s">
        <v>32</v>
      </c>
      <c r="AD881">
        <v>443</v>
      </c>
    </row>
    <row r="882" spans="1:30" x14ac:dyDescent="0.3">
      <c r="A882">
        <v>18037672</v>
      </c>
      <c r="B882" s="3">
        <v>45685</v>
      </c>
      <c r="C882">
        <v>2025</v>
      </c>
      <c r="D882">
        <v>1</v>
      </c>
      <c r="E882" t="s">
        <v>1579</v>
      </c>
      <c r="F882" t="s">
        <v>125</v>
      </c>
      <c r="G882" t="s">
        <v>10</v>
      </c>
      <c r="H882" t="b">
        <v>0</v>
      </c>
      <c r="I882" t="b">
        <v>0</v>
      </c>
      <c r="J882" t="b">
        <v>0</v>
      </c>
      <c r="K882" t="b">
        <v>0</v>
      </c>
      <c r="L882" t="s">
        <v>2347</v>
      </c>
      <c r="M882" t="s">
        <v>1282</v>
      </c>
      <c r="N882" t="s">
        <v>63</v>
      </c>
      <c r="O882" t="b">
        <v>0</v>
      </c>
      <c r="P882">
        <v>5</v>
      </c>
      <c r="Q882" t="s">
        <v>455</v>
      </c>
      <c r="R882" t="s">
        <v>456</v>
      </c>
      <c r="S882">
        <v>58</v>
      </c>
      <c r="T882" t="s">
        <v>457</v>
      </c>
      <c r="U882" t="s">
        <v>23</v>
      </c>
      <c r="V882" t="s">
        <v>458</v>
      </c>
      <c r="W882">
        <v>5</v>
      </c>
      <c r="X882" t="s">
        <v>40</v>
      </c>
      <c r="Y882">
        <v>28</v>
      </c>
      <c r="Z882" t="s">
        <v>61</v>
      </c>
      <c r="AA882" t="s">
        <v>8</v>
      </c>
      <c r="AB882">
        <v>89.09</v>
      </c>
      <c r="AC882" t="s">
        <v>32</v>
      </c>
      <c r="AD882">
        <v>424</v>
      </c>
    </row>
    <row r="883" spans="1:30" x14ac:dyDescent="0.3">
      <c r="A883">
        <v>18038277</v>
      </c>
      <c r="B883" s="3">
        <v>45688</v>
      </c>
      <c r="C883">
        <v>2025</v>
      </c>
      <c r="D883">
        <v>1</v>
      </c>
      <c r="E883" t="s">
        <v>1579</v>
      </c>
      <c r="F883" t="s">
        <v>0</v>
      </c>
      <c r="G883" t="s">
        <v>10</v>
      </c>
      <c r="H883" t="b">
        <v>0</v>
      </c>
      <c r="I883" t="b">
        <v>0</v>
      </c>
      <c r="J883" t="b">
        <v>0</v>
      </c>
      <c r="K883" t="b">
        <v>0</v>
      </c>
      <c r="L883" t="s">
        <v>2348</v>
      </c>
      <c r="M883" t="s">
        <v>971</v>
      </c>
      <c r="N883" t="s">
        <v>5</v>
      </c>
      <c r="O883" t="b">
        <v>0</v>
      </c>
      <c r="P883">
        <v>3</v>
      </c>
      <c r="Q883" t="s">
        <v>323</v>
      </c>
      <c r="R883" t="s">
        <v>324</v>
      </c>
      <c r="S883" t="s">
        <v>5</v>
      </c>
      <c r="T883" t="s">
        <v>83</v>
      </c>
      <c r="U883" t="s">
        <v>325</v>
      </c>
      <c r="V883" t="s">
        <v>326</v>
      </c>
      <c r="W883">
        <v>1</v>
      </c>
      <c r="X883" t="s">
        <v>31</v>
      </c>
      <c r="Y883">
        <v>38</v>
      </c>
      <c r="Z883" t="s">
        <v>61</v>
      </c>
      <c r="AA883" t="s">
        <v>8</v>
      </c>
      <c r="AC883" t="s">
        <v>32</v>
      </c>
      <c r="AD883">
        <v>421</v>
      </c>
    </row>
    <row r="884" spans="1:30" x14ac:dyDescent="0.3">
      <c r="A884">
        <v>18041941</v>
      </c>
      <c r="B884" s="3">
        <v>45688</v>
      </c>
      <c r="C884">
        <v>2025</v>
      </c>
      <c r="D884">
        <v>1</v>
      </c>
      <c r="E884" t="s">
        <v>1579</v>
      </c>
      <c r="F884" t="s">
        <v>0</v>
      </c>
      <c r="G884" t="s">
        <v>384</v>
      </c>
      <c r="H884" t="b">
        <v>1</v>
      </c>
      <c r="I884" t="b">
        <v>1</v>
      </c>
      <c r="J884" t="b">
        <v>1</v>
      </c>
      <c r="K884" t="b">
        <v>0</v>
      </c>
      <c r="L884" t="s">
        <v>2349</v>
      </c>
      <c r="M884" t="s">
        <v>50</v>
      </c>
      <c r="N884" t="s">
        <v>5</v>
      </c>
      <c r="O884" t="b">
        <v>0</v>
      </c>
      <c r="P884">
        <v>2</v>
      </c>
      <c r="Q884" t="s">
        <v>667</v>
      </c>
      <c r="R884" t="s">
        <v>668</v>
      </c>
      <c r="S884">
        <v>48</v>
      </c>
      <c r="T884" t="s">
        <v>83</v>
      </c>
      <c r="U884" t="s">
        <v>669</v>
      </c>
      <c r="V884" t="s">
        <v>543</v>
      </c>
      <c r="W884">
        <v>90</v>
      </c>
      <c r="X884" t="s">
        <v>6</v>
      </c>
      <c r="Y884">
        <v>72</v>
      </c>
      <c r="Z884" t="s">
        <v>67</v>
      </c>
      <c r="AA884" t="s">
        <v>8</v>
      </c>
      <c r="AB884">
        <v>61</v>
      </c>
      <c r="AC884" t="s">
        <v>9</v>
      </c>
      <c r="AD884">
        <v>421</v>
      </c>
    </row>
    <row r="885" spans="1:30" x14ac:dyDescent="0.3">
      <c r="A885">
        <v>18044126</v>
      </c>
      <c r="B885" s="3">
        <v>45684</v>
      </c>
      <c r="C885">
        <v>2025</v>
      </c>
      <c r="D885">
        <v>1</v>
      </c>
      <c r="E885" t="s">
        <v>1579</v>
      </c>
      <c r="F885" t="s">
        <v>125</v>
      </c>
      <c r="G885" t="s">
        <v>10</v>
      </c>
      <c r="H885" t="b">
        <v>0</v>
      </c>
      <c r="I885" t="b">
        <v>0</v>
      </c>
      <c r="J885" t="b">
        <v>0</v>
      </c>
      <c r="K885" t="b">
        <v>0</v>
      </c>
      <c r="L885" t="s">
        <v>2350</v>
      </c>
      <c r="M885" t="s">
        <v>1293</v>
      </c>
      <c r="N885" t="s">
        <v>5</v>
      </c>
      <c r="O885" t="b">
        <v>0</v>
      </c>
      <c r="P885">
        <v>6</v>
      </c>
      <c r="Q885" t="s">
        <v>455</v>
      </c>
      <c r="R885" t="s">
        <v>456</v>
      </c>
      <c r="S885" t="s">
        <v>5</v>
      </c>
      <c r="T885" t="s">
        <v>62</v>
      </c>
      <c r="U885" t="s">
        <v>23</v>
      </c>
      <c r="V885" t="s">
        <v>458</v>
      </c>
      <c r="W885">
        <v>19</v>
      </c>
      <c r="X885" t="s">
        <v>6</v>
      </c>
      <c r="Y885">
        <v>58</v>
      </c>
      <c r="Z885" t="s">
        <v>7</v>
      </c>
      <c r="AA885" t="s">
        <v>15</v>
      </c>
      <c r="AC885" t="s">
        <v>32</v>
      </c>
      <c r="AD885">
        <v>425</v>
      </c>
    </row>
    <row r="886" spans="1:30" x14ac:dyDescent="0.3">
      <c r="A886">
        <v>18046338</v>
      </c>
      <c r="B886" s="3">
        <v>45672</v>
      </c>
      <c r="C886">
        <v>2025</v>
      </c>
      <c r="D886">
        <v>1</v>
      </c>
      <c r="E886" t="s">
        <v>1579</v>
      </c>
      <c r="F886" t="s">
        <v>0</v>
      </c>
      <c r="G886" t="s">
        <v>1</v>
      </c>
      <c r="H886" t="b">
        <v>0</v>
      </c>
      <c r="I886" t="b">
        <v>1</v>
      </c>
      <c r="J886" t="b">
        <v>0</v>
      </c>
      <c r="K886" t="b">
        <v>0</v>
      </c>
      <c r="L886" t="s">
        <v>2351</v>
      </c>
      <c r="M886" t="s">
        <v>536</v>
      </c>
      <c r="N886" t="s">
        <v>5</v>
      </c>
      <c r="O886" t="b">
        <v>0</v>
      </c>
      <c r="P886">
        <v>4</v>
      </c>
      <c r="Q886" t="s">
        <v>793</v>
      </c>
      <c r="R886" t="s">
        <v>794</v>
      </c>
      <c r="S886" t="s">
        <v>5</v>
      </c>
      <c r="T886" t="s">
        <v>705</v>
      </c>
      <c r="U886" t="s">
        <v>271</v>
      </c>
      <c r="V886" t="s">
        <v>5</v>
      </c>
      <c r="W886">
        <v>10</v>
      </c>
      <c r="X886" t="s">
        <v>6</v>
      </c>
      <c r="Y886">
        <v>72</v>
      </c>
      <c r="Z886" t="s">
        <v>67</v>
      </c>
      <c r="AA886" t="s">
        <v>15</v>
      </c>
      <c r="AC886" t="s">
        <v>32</v>
      </c>
      <c r="AD886">
        <v>437</v>
      </c>
    </row>
    <row r="887" spans="1:30" x14ac:dyDescent="0.3">
      <c r="A887">
        <v>18046400</v>
      </c>
      <c r="B887" s="3">
        <v>45665</v>
      </c>
      <c r="C887">
        <v>2025</v>
      </c>
      <c r="D887">
        <v>1</v>
      </c>
      <c r="E887" t="s">
        <v>1579</v>
      </c>
      <c r="F887" t="s">
        <v>0</v>
      </c>
      <c r="G887" t="s">
        <v>10</v>
      </c>
      <c r="H887" t="b">
        <v>0</v>
      </c>
      <c r="I887" t="b">
        <v>0</v>
      </c>
      <c r="J887" t="b">
        <v>0</v>
      </c>
      <c r="K887" t="b">
        <v>0</v>
      </c>
      <c r="L887" t="s">
        <v>2352</v>
      </c>
      <c r="M887" t="s">
        <v>682</v>
      </c>
      <c r="N887" t="s">
        <v>140</v>
      </c>
      <c r="O887" t="b">
        <v>0</v>
      </c>
      <c r="P887">
        <v>4</v>
      </c>
      <c r="Q887" t="s">
        <v>208</v>
      </c>
      <c r="R887" t="s">
        <v>286</v>
      </c>
      <c r="S887">
        <v>48</v>
      </c>
      <c r="T887" t="s">
        <v>80</v>
      </c>
      <c r="U887" t="s">
        <v>210</v>
      </c>
      <c r="V887" t="s">
        <v>5</v>
      </c>
      <c r="W887">
        <v>2</v>
      </c>
      <c r="X887" t="s">
        <v>14</v>
      </c>
      <c r="Y887">
        <v>58</v>
      </c>
      <c r="Z887" t="s">
        <v>7</v>
      </c>
      <c r="AA887" t="s">
        <v>8</v>
      </c>
      <c r="AB887">
        <v>65.77</v>
      </c>
      <c r="AC887" t="s">
        <v>32</v>
      </c>
      <c r="AD887">
        <v>444</v>
      </c>
    </row>
    <row r="888" spans="1:30" x14ac:dyDescent="0.3">
      <c r="A888">
        <v>18047803</v>
      </c>
      <c r="B888" s="3">
        <v>45665</v>
      </c>
      <c r="C888">
        <v>2025</v>
      </c>
      <c r="D888">
        <v>1</v>
      </c>
      <c r="E888" t="s">
        <v>1579</v>
      </c>
      <c r="F888" t="s">
        <v>0</v>
      </c>
      <c r="G888" t="s">
        <v>1443</v>
      </c>
      <c r="H888" t="b">
        <v>0</v>
      </c>
      <c r="I888" t="b">
        <v>0</v>
      </c>
      <c r="J888" t="b">
        <v>1</v>
      </c>
      <c r="K888" t="b">
        <v>0</v>
      </c>
      <c r="L888" t="s">
        <v>2353</v>
      </c>
      <c r="M888" t="s">
        <v>970</v>
      </c>
      <c r="N888" t="s">
        <v>21</v>
      </c>
      <c r="O888" t="b">
        <v>0</v>
      </c>
      <c r="P888">
        <v>18</v>
      </c>
      <c r="Q888" t="s">
        <v>386</v>
      </c>
      <c r="R888" t="s">
        <v>387</v>
      </c>
      <c r="S888">
        <v>48</v>
      </c>
      <c r="T888" t="s">
        <v>62</v>
      </c>
      <c r="U888" t="s">
        <v>388</v>
      </c>
      <c r="V888" t="s">
        <v>111</v>
      </c>
      <c r="W888">
        <v>78</v>
      </c>
      <c r="X888" t="s">
        <v>6</v>
      </c>
      <c r="Y888">
        <v>66</v>
      </c>
      <c r="Z888" t="s">
        <v>67</v>
      </c>
      <c r="AA888" t="s">
        <v>15</v>
      </c>
      <c r="AB888">
        <v>70</v>
      </c>
      <c r="AC888" t="s">
        <v>9</v>
      </c>
      <c r="AD888">
        <v>444</v>
      </c>
    </row>
    <row r="889" spans="1:30" x14ac:dyDescent="0.3">
      <c r="A889">
        <v>18051647</v>
      </c>
      <c r="B889" s="3">
        <v>45674</v>
      </c>
      <c r="C889">
        <v>2025</v>
      </c>
      <c r="D889">
        <v>1</v>
      </c>
      <c r="E889" t="s">
        <v>1579</v>
      </c>
      <c r="F889" t="s">
        <v>0</v>
      </c>
      <c r="G889" t="s">
        <v>10</v>
      </c>
      <c r="H889" t="b">
        <v>0</v>
      </c>
      <c r="I889" t="b">
        <v>0</v>
      </c>
      <c r="J889" t="b">
        <v>0</v>
      </c>
      <c r="K889" t="b">
        <v>0</v>
      </c>
      <c r="L889" t="s">
        <v>604</v>
      </c>
      <c r="M889" t="s">
        <v>604</v>
      </c>
      <c r="N889" t="s">
        <v>12</v>
      </c>
      <c r="O889" t="b">
        <v>1</v>
      </c>
      <c r="P889">
        <v>1</v>
      </c>
      <c r="Q889" t="s">
        <v>1498</v>
      </c>
      <c r="R889" t="s">
        <v>1499</v>
      </c>
      <c r="S889">
        <v>48</v>
      </c>
      <c r="T889" t="s">
        <v>49</v>
      </c>
      <c r="U889" t="s">
        <v>1075</v>
      </c>
      <c r="V889" t="s">
        <v>5</v>
      </c>
      <c r="W889">
        <v>1</v>
      </c>
      <c r="X889" t="s">
        <v>31</v>
      </c>
      <c r="Z889" t="s">
        <v>5</v>
      </c>
      <c r="AA889" t="s">
        <v>5</v>
      </c>
      <c r="AC889" t="s">
        <v>20</v>
      </c>
      <c r="AD889">
        <v>435</v>
      </c>
    </row>
    <row r="890" spans="1:30" x14ac:dyDescent="0.3">
      <c r="A890">
        <v>18053196</v>
      </c>
      <c r="B890" s="3">
        <v>45665</v>
      </c>
      <c r="C890">
        <v>2025</v>
      </c>
      <c r="D890">
        <v>1</v>
      </c>
      <c r="E890" t="s">
        <v>1579</v>
      </c>
      <c r="F890" t="s">
        <v>0</v>
      </c>
      <c r="G890" t="s">
        <v>1</v>
      </c>
      <c r="H890" t="b">
        <v>0</v>
      </c>
      <c r="I890" t="b">
        <v>1</v>
      </c>
      <c r="J890" t="b">
        <v>0</v>
      </c>
      <c r="K890" t="b">
        <v>0</v>
      </c>
      <c r="L890" t="s">
        <v>2354</v>
      </c>
      <c r="M890" t="s">
        <v>671</v>
      </c>
      <c r="N890" t="s">
        <v>437</v>
      </c>
      <c r="O890" t="b">
        <v>0</v>
      </c>
      <c r="P890">
        <v>2</v>
      </c>
      <c r="Q890" t="s">
        <v>853</v>
      </c>
      <c r="R890" t="s">
        <v>854</v>
      </c>
      <c r="S890">
        <v>58</v>
      </c>
      <c r="T890" t="s">
        <v>855</v>
      </c>
      <c r="U890" t="s">
        <v>834</v>
      </c>
      <c r="V890" t="s">
        <v>5</v>
      </c>
      <c r="W890">
        <v>3</v>
      </c>
      <c r="X890" t="s">
        <v>14</v>
      </c>
      <c r="Z890" t="s">
        <v>5</v>
      </c>
      <c r="AA890" t="s">
        <v>5</v>
      </c>
      <c r="AC890" t="s">
        <v>32</v>
      </c>
      <c r="AD890">
        <v>444</v>
      </c>
    </row>
    <row r="891" spans="1:30" x14ac:dyDescent="0.3">
      <c r="A891">
        <v>18055586</v>
      </c>
      <c r="B891" s="3">
        <v>45685</v>
      </c>
      <c r="C891">
        <v>2025</v>
      </c>
      <c r="D891">
        <v>1</v>
      </c>
      <c r="E891" t="s">
        <v>1579</v>
      </c>
      <c r="F891" t="s">
        <v>125</v>
      </c>
      <c r="G891" t="s">
        <v>10</v>
      </c>
      <c r="H891" t="b">
        <v>0</v>
      </c>
      <c r="I891" t="b">
        <v>0</v>
      </c>
      <c r="J891" t="b">
        <v>0</v>
      </c>
      <c r="K891" t="b">
        <v>0</v>
      </c>
      <c r="L891" t="s">
        <v>742</v>
      </c>
      <c r="M891" t="s">
        <v>742</v>
      </c>
      <c r="N891" t="s">
        <v>5</v>
      </c>
      <c r="O891" t="b">
        <v>0</v>
      </c>
      <c r="P891">
        <v>1</v>
      </c>
      <c r="Q891" t="s">
        <v>1219</v>
      </c>
      <c r="R891" t="s">
        <v>5</v>
      </c>
      <c r="S891">
        <v>55</v>
      </c>
      <c r="T891" t="s">
        <v>62</v>
      </c>
      <c r="U891" t="s">
        <v>5</v>
      </c>
      <c r="V891" t="s">
        <v>5</v>
      </c>
      <c r="W891">
        <v>2</v>
      </c>
      <c r="X891" t="s">
        <v>14</v>
      </c>
      <c r="Z891" t="s">
        <v>5</v>
      </c>
      <c r="AA891" t="s">
        <v>8</v>
      </c>
      <c r="AC891" t="s">
        <v>32</v>
      </c>
      <c r="AD891">
        <v>424</v>
      </c>
    </row>
    <row r="892" spans="1:30" x14ac:dyDescent="0.3">
      <c r="A892">
        <v>18057381</v>
      </c>
      <c r="B892" s="3">
        <v>45688</v>
      </c>
      <c r="C892">
        <v>2025</v>
      </c>
      <c r="D892">
        <v>1</v>
      </c>
      <c r="E892" t="s">
        <v>1579</v>
      </c>
      <c r="F892" t="s">
        <v>125</v>
      </c>
      <c r="G892" t="s">
        <v>10</v>
      </c>
      <c r="H892" t="b">
        <v>0</v>
      </c>
      <c r="I892" t="b">
        <v>0</v>
      </c>
      <c r="J892" t="b">
        <v>0</v>
      </c>
      <c r="K892" t="b">
        <v>0</v>
      </c>
      <c r="L892" t="s">
        <v>2355</v>
      </c>
      <c r="M892" t="s">
        <v>1013</v>
      </c>
      <c r="N892" t="s">
        <v>63</v>
      </c>
      <c r="O892" t="b">
        <v>0</v>
      </c>
      <c r="P892">
        <v>3</v>
      </c>
      <c r="Q892" t="s">
        <v>423</v>
      </c>
      <c r="R892" t="s">
        <v>424</v>
      </c>
      <c r="S892">
        <v>50</v>
      </c>
      <c r="T892" t="s">
        <v>150</v>
      </c>
      <c r="U892" t="s">
        <v>177</v>
      </c>
      <c r="V892" t="s">
        <v>292</v>
      </c>
      <c r="W892">
        <v>1</v>
      </c>
      <c r="X892" t="s">
        <v>31</v>
      </c>
      <c r="Z892" t="s">
        <v>5</v>
      </c>
      <c r="AA892" t="s">
        <v>8</v>
      </c>
      <c r="AC892" t="s">
        <v>32</v>
      </c>
      <c r="AD892">
        <v>421</v>
      </c>
    </row>
    <row r="893" spans="1:30" x14ac:dyDescent="0.3">
      <c r="A893">
        <v>18058248</v>
      </c>
      <c r="B893" s="3">
        <v>45688</v>
      </c>
      <c r="C893">
        <v>2025</v>
      </c>
      <c r="D893">
        <v>1</v>
      </c>
      <c r="E893" t="s">
        <v>1579</v>
      </c>
      <c r="F893" t="s">
        <v>0</v>
      </c>
      <c r="G893" t="s">
        <v>1</v>
      </c>
      <c r="H893" t="b">
        <v>0</v>
      </c>
      <c r="I893" t="b">
        <v>1</v>
      </c>
      <c r="J893" t="b">
        <v>0</v>
      </c>
      <c r="K893" t="b">
        <v>0</v>
      </c>
      <c r="L893" t="s">
        <v>2356</v>
      </c>
      <c r="M893" t="s">
        <v>532</v>
      </c>
      <c r="N893" t="s">
        <v>70</v>
      </c>
      <c r="O893" t="b">
        <v>0</v>
      </c>
      <c r="P893">
        <v>26</v>
      </c>
      <c r="Q893" t="s">
        <v>774</v>
      </c>
      <c r="R893" t="s">
        <v>775</v>
      </c>
      <c r="S893">
        <v>48</v>
      </c>
      <c r="T893" t="s">
        <v>776</v>
      </c>
      <c r="U893" t="s">
        <v>325</v>
      </c>
      <c r="V893" t="s">
        <v>5</v>
      </c>
      <c r="W893">
        <v>33</v>
      </c>
      <c r="X893" t="s">
        <v>6</v>
      </c>
      <c r="Z893" t="s">
        <v>5</v>
      </c>
      <c r="AA893" t="s">
        <v>5</v>
      </c>
      <c r="AC893" t="s">
        <v>32</v>
      </c>
      <c r="AD893">
        <v>421</v>
      </c>
    </row>
    <row r="894" spans="1:30" x14ac:dyDescent="0.3">
      <c r="A894">
        <v>18059477</v>
      </c>
      <c r="B894" s="3">
        <v>45674</v>
      </c>
      <c r="C894">
        <v>2025</v>
      </c>
      <c r="D894">
        <v>1</v>
      </c>
      <c r="E894" t="s">
        <v>1579</v>
      </c>
      <c r="F894" t="s">
        <v>0</v>
      </c>
      <c r="G894" t="s">
        <v>10</v>
      </c>
      <c r="H894" t="b">
        <v>0</v>
      </c>
      <c r="I894" t="b">
        <v>0</v>
      </c>
      <c r="J894" t="b">
        <v>0</v>
      </c>
      <c r="K894" t="b">
        <v>0</v>
      </c>
      <c r="L894" t="s">
        <v>2357</v>
      </c>
      <c r="M894" t="s">
        <v>225</v>
      </c>
      <c r="N894" t="s">
        <v>5</v>
      </c>
      <c r="O894" t="b">
        <v>0</v>
      </c>
      <c r="P894">
        <v>7</v>
      </c>
      <c r="Q894" t="s">
        <v>245</v>
      </c>
      <c r="R894" t="s">
        <v>246</v>
      </c>
      <c r="S894" t="s">
        <v>5</v>
      </c>
      <c r="T894" t="s">
        <v>247</v>
      </c>
      <c r="U894" t="s">
        <v>210</v>
      </c>
      <c r="V894" t="s">
        <v>248</v>
      </c>
      <c r="W894">
        <v>7</v>
      </c>
      <c r="X894" t="s">
        <v>6</v>
      </c>
      <c r="Y894">
        <v>75</v>
      </c>
      <c r="Z894" t="s">
        <v>67</v>
      </c>
      <c r="AA894" t="s">
        <v>8</v>
      </c>
      <c r="AB894">
        <v>61.695999999999998</v>
      </c>
      <c r="AC894" t="s">
        <v>32</v>
      </c>
      <c r="AD894">
        <v>435</v>
      </c>
    </row>
    <row r="895" spans="1:30" x14ac:dyDescent="0.3">
      <c r="A895">
        <v>18063526</v>
      </c>
      <c r="B895" s="3">
        <v>45664</v>
      </c>
      <c r="C895">
        <v>2025</v>
      </c>
      <c r="D895">
        <v>1</v>
      </c>
      <c r="E895" t="s">
        <v>1579</v>
      </c>
      <c r="F895" t="s">
        <v>125</v>
      </c>
      <c r="G895" t="s">
        <v>10</v>
      </c>
      <c r="H895" t="b">
        <v>0</v>
      </c>
      <c r="I895" t="b">
        <v>0</v>
      </c>
      <c r="J895" t="b">
        <v>0</v>
      </c>
      <c r="K895" t="b">
        <v>0</v>
      </c>
      <c r="L895" t="s">
        <v>2358</v>
      </c>
      <c r="M895" t="s">
        <v>561</v>
      </c>
      <c r="N895" t="s">
        <v>57</v>
      </c>
      <c r="O895" t="b">
        <v>1</v>
      </c>
      <c r="P895">
        <v>8</v>
      </c>
      <c r="Q895" t="s">
        <v>367</v>
      </c>
      <c r="R895" t="s">
        <v>368</v>
      </c>
      <c r="S895">
        <v>42</v>
      </c>
      <c r="T895" t="s">
        <v>605</v>
      </c>
      <c r="U895" t="s">
        <v>81</v>
      </c>
      <c r="V895" t="s">
        <v>82</v>
      </c>
      <c r="W895">
        <v>16</v>
      </c>
      <c r="X895" t="s">
        <v>6</v>
      </c>
      <c r="Y895">
        <v>31</v>
      </c>
      <c r="Z895" t="s">
        <v>61</v>
      </c>
      <c r="AA895" t="s">
        <v>8</v>
      </c>
      <c r="AB895">
        <v>62</v>
      </c>
      <c r="AC895" t="s">
        <v>101</v>
      </c>
      <c r="AD895">
        <v>445</v>
      </c>
    </row>
    <row r="896" spans="1:30" x14ac:dyDescent="0.3">
      <c r="A896">
        <v>18066750</v>
      </c>
      <c r="B896" s="3">
        <v>45660</v>
      </c>
      <c r="C896">
        <v>2025</v>
      </c>
      <c r="D896">
        <v>1</v>
      </c>
      <c r="E896" t="s">
        <v>1579</v>
      </c>
      <c r="F896" t="s">
        <v>125</v>
      </c>
      <c r="G896" t="s">
        <v>10</v>
      </c>
      <c r="H896" t="b">
        <v>0</v>
      </c>
      <c r="I896" t="b">
        <v>0</v>
      </c>
      <c r="J896" t="b">
        <v>0</v>
      </c>
      <c r="K896" t="b">
        <v>0</v>
      </c>
      <c r="L896" t="s">
        <v>2359</v>
      </c>
      <c r="M896" t="s">
        <v>1094</v>
      </c>
      <c r="N896" t="s">
        <v>63</v>
      </c>
      <c r="O896" t="b">
        <v>0</v>
      </c>
      <c r="P896">
        <v>4</v>
      </c>
      <c r="Q896" t="s">
        <v>208</v>
      </c>
      <c r="R896" t="s">
        <v>286</v>
      </c>
      <c r="S896">
        <v>48</v>
      </c>
      <c r="T896" t="s">
        <v>80</v>
      </c>
      <c r="U896" t="s">
        <v>210</v>
      </c>
      <c r="V896" t="s">
        <v>5</v>
      </c>
      <c r="W896">
        <v>1</v>
      </c>
      <c r="X896" t="s">
        <v>31</v>
      </c>
      <c r="Y896">
        <v>68</v>
      </c>
      <c r="Z896" t="s">
        <v>67</v>
      </c>
      <c r="AA896" t="s">
        <v>8</v>
      </c>
      <c r="AB896">
        <v>68</v>
      </c>
      <c r="AC896" t="s">
        <v>32</v>
      </c>
      <c r="AD896">
        <v>449</v>
      </c>
    </row>
    <row r="897" spans="1:30" x14ac:dyDescent="0.3">
      <c r="A897">
        <v>18076731</v>
      </c>
      <c r="B897" s="3">
        <v>45659</v>
      </c>
      <c r="C897">
        <v>2025</v>
      </c>
      <c r="D897">
        <v>1</v>
      </c>
      <c r="E897" t="s">
        <v>1579</v>
      </c>
      <c r="F897" t="s">
        <v>0</v>
      </c>
      <c r="G897" t="s">
        <v>1</v>
      </c>
      <c r="H897" t="b">
        <v>0</v>
      </c>
      <c r="I897" t="b">
        <v>1</v>
      </c>
      <c r="J897" t="b">
        <v>0</v>
      </c>
      <c r="K897" t="b">
        <v>0</v>
      </c>
      <c r="L897" t="s">
        <v>2360</v>
      </c>
      <c r="M897" t="s">
        <v>1054</v>
      </c>
      <c r="N897" t="s">
        <v>63</v>
      </c>
      <c r="O897" t="b">
        <v>0</v>
      </c>
      <c r="P897">
        <v>18</v>
      </c>
      <c r="Q897" t="s">
        <v>611</v>
      </c>
      <c r="R897" t="s">
        <v>612</v>
      </c>
      <c r="S897">
        <v>42</v>
      </c>
      <c r="T897" t="s">
        <v>291</v>
      </c>
      <c r="U897" t="s">
        <v>29</v>
      </c>
      <c r="V897" t="s">
        <v>130</v>
      </c>
      <c r="W897">
        <v>42</v>
      </c>
      <c r="X897" t="s">
        <v>6</v>
      </c>
      <c r="Z897" t="s">
        <v>5</v>
      </c>
      <c r="AA897" t="s">
        <v>5</v>
      </c>
      <c r="AC897" t="s">
        <v>9</v>
      </c>
      <c r="AD897">
        <v>450</v>
      </c>
    </row>
    <row r="898" spans="1:30" x14ac:dyDescent="0.3">
      <c r="A898">
        <v>18078542</v>
      </c>
      <c r="B898" s="3">
        <v>45659</v>
      </c>
      <c r="C898">
        <v>2025</v>
      </c>
      <c r="D898">
        <v>1</v>
      </c>
      <c r="E898" t="s">
        <v>1579</v>
      </c>
      <c r="F898" t="s">
        <v>125</v>
      </c>
      <c r="G898" t="s">
        <v>10</v>
      </c>
      <c r="H898" t="b">
        <v>0</v>
      </c>
      <c r="I898" t="b">
        <v>0</v>
      </c>
      <c r="J898" t="b">
        <v>0</v>
      </c>
      <c r="K898" t="b">
        <v>0</v>
      </c>
      <c r="L898" t="s">
        <v>2361</v>
      </c>
      <c r="M898" t="s">
        <v>979</v>
      </c>
      <c r="N898" t="s">
        <v>174</v>
      </c>
      <c r="O898" t="b">
        <v>0</v>
      </c>
      <c r="P898">
        <v>18</v>
      </c>
      <c r="Q898" t="s">
        <v>367</v>
      </c>
      <c r="R898" t="s">
        <v>368</v>
      </c>
      <c r="S898">
        <v>42</v>
      </c>
      <c r="T898" t="s">
        <v>758</v>
      </c>
      <c r="U898" t="s">
        <v>81</v>
      </c>
      <c r="V898" t="s">
        <v>82</v>
      </c>
      <c r="W898">
        <v>18</v>
      </c>
      <c r="X898" t="s">
        <v>6</v>
      </c>
      <c r="Y898">
        <v>61</v>
      </c>
      <c r="Z898" t="s">
        <v>7</v>
      </c>
      <c r="AA898" t="s">
        <v>15</v>
      </c>
      <c r="AC898" t="s">
        <v>101</v>
      </c>
      <c r="AD898">
        <v>450</v>
      </c>
    </row>
    <row r="899" spans="1:30" x14ac:dyDescent="0.3">
      <c r="A899">
        <v>18083190</v>
      </c>
      <c r="B899" s="3">
        <v>45664</v>
      </c>
      <c r="C899">
        <v>2025</v>
      </c>
      <c r="D899">
        <v>1</v>
      </c>
      <c r="E899" t="s">
        <v>1579</v>
      </c>
      <c r="F899" t="s">
        <v>0</v>
      </c>
      <c r="G899" t="s">
        <v>50</v>
      </c>
      <c r="H899" t="b">
        <v>1</v>
      </c>
      <c r="I899" t="b">
        <v>0</v>
      </c>
      <c r="J899" t="b">
        <v>0</v>
      </c>
      <c r="K899" t="b">
        <v>0</v>
      </c>
      <c r="L899" t="s">
        <v>707</v>
      </c>
      <c r="M899" t="s">
        <v>707</v>
      </c>
      <c r="N899" t="s">
        <v>5</v>
      </c>
      <c r="O899" t="b">
        <v>0</v>
      </c>
      <c r="P899">
        <v>1</v>
      </c>
      <c r="Q899" t="s">
        <v>569</v>
      </c>
      <c r="R899" t="s">
        <v>810</v>
      </c>
      <c r="S899">
        <v>65</v>
      </c>
      <c r="T899" t="s">
        <v>427</v>
      </c>
      <c r="U899" t="s">
        <v>811</v>
      </c>
      <c r="V899" t="s">
        <v>571</v>
      </c>
      <c r="W899">
        <v>3</v>
      </c>
      <c r="X899" t="s">
        <v>14</v>
      </c>
      <c r="Z899" t="s">
        <v>5</v>
      </c>
      <c r="AA899" t="s">
        <v>5</v>
      </c>
      <c r="AC899" t="s">
        <v>101</v>
      </c>
      <c r="AD899">
        <v>445</v>
      </c>
    </row>
    <row r="900" spans="1:30" x14ac:dyDescent="0.3">
      <c r="A900">
        <v>18084570</v>
      </c>
      <c r="B900" s="3">
        <v>45666</v>
      </c>
      <c r="C900">
        <v>2025</v>
      </c>
      <c r="D900">
        <v>1</v>
      </c>
      <c r="E900" t="s">
        <v>1579</v>
      </c>
      <c r="F900" t="s">
        <v>125</v>
      </c>
      <c r="G900" t="s">
        <v>10</v>
      </c>
      <c r="H900" t="b">
        <v>0</v>
      </c>
      <c r="I900" t="b">
        <v>0</v>
      </c>
      <c r="J900" t="b">
        <v>0</v>
      </c>
      <c r="K900" t="b">
        <v>0</v>
      </c>
      <c r="L900" t="s">
        <v>217</v>
      </c>
      <c r="M900" t="s">
        <v>217</v>
      </c>
      <c r="N900" t="s">
        <v>5</v>
      </c>
      <c r="O900" t="b">
        <v>0</v>
      </c>
      <c r="P900">
        <v>1</v>
      </c>
      <c r="Q900" t="s">
        <v>132</v>
      </c>
      <c r="R900" t="s">
        <v>133</v>
      </c>
      <c r="S900">
        <v>65</v>
      </c>
      <c r="T900" t="s">
        <v>134</v>
      </c>
      <c r="U900" t="s">
        <v>23</v>
      </c>
      <c r="V900" t="s">
        <v>24</v>
      </c>
      <c r="W900">
        <v>2</v>
      </c>
      <c r="X900" t="s">
        <v>14</v>
      </c>
      <c r="Y900">
        <v>60</v>
      </c>
      <c r="Z900" t="s">
        <v>7</v>
      </c>
      <c r="AA900" t="s">
        <v>8</v>
      </c>
      <c r="AC900" t="s">
        <v>32</v>
      </c>
      <c r="AD900">
        <v>443</v>
      </c>
    </row>
    <row r="901" spans="1:30" x14ac:dyDescent="0.3">
      <c r="A901">
        <v>18087825</v>
      </c>
      <c r="B901" s="3">
        <v>45666</v>
      </c>
      <c r="C901">
        <v>2025</v>
      </c>
      <c r="D901">
        <v>1</v>
      </c>
      <c r="E901" t="s">
        <v>1579</v>
      </c>
      <c r="F901" t="s">
        <v>0</v>
      </c>
      <c r="G901" t="s">
        <v>50</v>
      </c>
      <c r="H901" t="b">
        <v>1</v>
      </c>
      <c r="I901" t="b">
        <v>0</v>
      </c>
      <c r="J901" t="b">
        <v>0</v>
      </c>
      <c r="K901" t="b">
        <v>0</v>
      </c>
      <c r="L901" t="s">
        <v>2362</v>
      </c>
      <c r="M901" t="s">
        <v>760</v>
      </c>
      <c r="N901" t="s">
        <v>57</v>
      </c>
      <c r="O901" t="b">
        <v>1</v>
      </c>
      <c r="P901">
        <v>10</v>
      </c>
      <c r="Q901" t="s">
        <v>746</v>
      </c>
      <c r="R901" t="s">
        <v>747</v>
      </c>
      <c r="S901">
        <v>65</v>
      </c>
      <c r="T901" t="s">
        <v>530</v>
      </c>
      <c r="U901" t="s">
        <v>748</v>
      </c>
      <c r="V901" t="s">
        <v>749</v>
      </c>
      <c r="W901">
        <v>14</v>
      </c>
      <c r="X901" t="s">
        <v>6</v>
      </c>
      <c r="Y901">
        <v>64</v>
      </c>
      <c r="Z901" t="s">
        <v>7</v>
      </c>
      <c r="AA901" t="s">
        <v>8</v>
      </c>
      <c r="AC901" t="s">
        <v>116</v>
      </c>
      <c r="AD901">
        <v>443</v>
      </c>
    </row>
    <row r="902" spans="1:30" x14ac:dyDescent="0.3">
      <c r="A902">
        <v>18088680</v>
      </c>
      <c r="B902" s="3">
        <v>45666</v>
      </c>
      <c r="C902">
        <v>2025</v>
      </c>
      <c r="D902">
        <v>1</v>
      </c>
      <c r="E902" t="s">
        <v>1579</v>
      </c>
      <c r="F902" t="s">
        <v>0</v>
      </c>
      <c r="G902" t="s">
        <v>10</v>
      </c>
      <c r="H902" t="b">
        <v>0</v>
      </c>
      <c r="I902" t="b">
        <v>0</v>
      </c>
      <c r="J902" t="b">
        <v>0</v>
      </c>
      <c r="K902" t="b">
        <v>0</v>
      </c>
      <c r="L902" t="s">
        <v>2363</v>
      </c>
      <c r="M902" t="s">
        <v>1417</v>
      </c>
      <c r="N902" t="s">
        <v>63</v>
      </c>
      <c r="O902" t="b">
        <v>0</v>
      </c>
      <c r="P902">
        <v>5</v>
      </c>
      <c r="Q902" t="s">
        <v>112</v>
      </c>
      <c r="R902" t="s">
        <v>113</v>
      </c>
      <c r="S902" t="s">
        <v>5</v>
      </c>
      <c r="T902" t="s">
        <v>426</v>
      </c>
      <c r="U902" t="s">
        <v>114</v>
      </c>
      <c r="V902" t="s">
        <v>115</v>
      </c>
      <c r="W902">
        <v>28</v>
      </c>
      <c r="X902" t="s">
        <v>6</v>
      </c>
      <c r="Y902">
        <v>53</v>
      </c>
      <c r="Z902" t="s">
        <v>7</v>
      </c>
      <c r="AA902" t="s">
        <v>8</v>
      </c>
      <c r="AC902" t="s">
        <v>32</v>
      </c>
      <c r="AD902">
        <v>443</v>
      </c>
    </row>
    <row r="903" spans="1:30" x14ac:dyDescent="0.3">
      <c r="A903">
        <v>18089935</v>
      </c>
      <c r="B903" s="3">
        <v>45659</v>
      </c>
      <c r="C903">
        <v>2025</v>
      </c>
      <c r="D903">
        <v>1</v>
      </c>
      <c r="E903" t="s">
        <v>1579</v>
      </c>
      <c r="F903" t="s">
        <v>0</v>
      </c>
      <c r="G903" t="s">
        <v>1</v>
      </c>
      <c r="H903" t="b">
        <v>0</v>
      </c>
      <c r="I903" t="b">
        <v>1</v>
      </c>
      <c r="J903" t="b">
        <v>0</v>
      </c>
      <c r="K903" t="b">
        <v>0</v>
      </c>
      <c r="L903" t="s">
        <v>2364</v>
      </c>
      <c r="M903" t="s">
        <v>310</v>
      </c>
      <c r="N903" t="s">
        <v>57</v>
      </c>
      <c r="O903" t="b">
        <v>1</v>
      </c>
      <c r="P903">
        <v>10</v>
      </c>
      <c r="Q903" t="s">
        <v>844</v>
      </c>
      <c r="R903" t="s">
        <v>845</v>
      </c>
      <c r="S903">
        <v>65</v>
      </c>
      <c r="T903" t="s">
        <v>83</v>
      </c>
      <c r="U903" t="s">
        <v>846</v>
      </c>
      <c r="V903" t="s">
        <v>5</v>
      </c>
      <c r="W903">
        <v>4</v>
      </c>
      <c r="X903" t="s">
        <v>40</v>
      </c>
      <c r="Y903">
        <v>36</v>
      </c>
      <c r="Z903" t="s">
        <v>61</v>
      </c>
      <c r="AA903" t="s">
        <v>8</v>
      </c>
      <c r="AB903">
        <v>49</v>
      </c>
      <c r="AC903" t="s">
        <v>116</v>
      </c>
      <c r="AD903">
        <v>450</v>
      </c>
    </row>
    <row r="904" spans="1:30" x14ac:dyDescent="0.3">
      <c r="A904">
        <v>18094443</v>
      </c>
      <c r="B904" s="3">
        <v>45687</v>
      </c>
      <c r="C904">
        <v>2025</v>
      </c>
      <c r="D904">
        <v>1</v>
      </c>
      <c r="E904" t="s">
        <v>1579</v>
      </c>
      <c r="F904" t="s">
        <v>0</v>
      </c>
      <c r="G904" t="s">
        <v>10</v>
      </c>
      <c r="H904" t="b">
        <v>0</v>
      </c>
      <c r="I904" t="b">
        <v>0</v>
      </c>
      <c r="J904" t="b">
        <v>0</v>
      </c>
      <c r="K904" t="b">
        <v>0</v>
      </c>
      <c r="L904" t="s">
        <v>2365</v>
      </c>
      <c r="M904" t="s">
        <v>817</v>
      </c>
      <c r="N904" t="s">
        <v>70</v>
      </c>
      <c r="O904" t="b">
        <v>0</v>
      </c>
      <c r="P904">
        <v>16</v>
      </c>
      <c r="Q904" t="s">
        <v>611</v>
      </c>
      <c r="R904" t="s">
        <v>612</v>
      </c>
      <c r="S904">
        <v>42</v>
      </c>
      <c r="T904" t="s">
        <v>183</v>
      </c>
      <c r="U904" t="s">
        <v>29</v>
      </c>
      <c r="V904" t="s">
        <v>130</v>
      </c>
      <c r="W904">
        <v>60</v>
      </c>
      <c r="X904" t="s">
        <v>6</v>
      </c>
      <c r="Z904" t="s">
        <v>5</v>
      </c>
      <c r="AA904" t="s">
        <v>5</v>
      </c>
      <c r="AC904" t="s">
        <v>9</v>
      </c>
      <c r="AD904">
        <v>422</v>
      </c>
    </row>
    <row r="905" spans="1:30" x14ac:dyDescent="0.3">
      <c r="A905">
        <v>18096058</v>
      </c>
      <c r="B905" s="3">
        <v>45679</v>
      </c>
      <c r="C905">
        <v>2025</v>
      </c>
      <c r="D905">
        <v>1</v>
      </c>
      <c r="E905" t="s">
        <v>1579</v>
      </c>
      <c r="F905" t="s">
        <v>125</v>
      </c>
      <c r="G905" t="s">
        <v>10</v>
      </c>
      <c r="H905" t="b">
        <v>0</v>
      </c>
      <c r="I905" t="b">
        <v>0</v>
      </c>
      <c r="J905" t="b">
        <v>0</v>
      </c>
      <c r="K905" t="b">
        <v>0</v>
      </c>
      <c r="L905" t="s">
        <v>2366</v>
      </c>
      <c r="M905" t="s">
        <v>428</v>
      </c>
      <c r="N905" t="s">
        <v>229</v>
      </c>
      <c r="O905" t="b">
        <v>0</v>
      </c>
      <c r="P905">
        <v>9</v>
      </c>
      <c r="Q905" t="s">
        <v>367</v>
      </c>
      <c r="R905" t="s">
        <v>368</v>
      </c>
      <c r="S905">
        <v>42</v>
      </c>
      <c r="T905" t="s">
        <v>758</v>
      </c>
      <c r="U905" t="s">
        <v>81</v>
      </c>
      <c r="V905" t="s">
        <v>82</v>
      </c>
      <c r="W905">
        <v>3</v>
      </c>
      <c r="X905" t="s">
        <v>14</v>
      </c>
      <c r="Y905">
        <v>45</v>
      </c>
      <c r="Z905" t="s">
        <v>7</v>
      </c>
      <c r="AA905" t="s">
        <v>8</v>
      </c>
      <c r="AC905" t="s">
        <v>9</v>
      </c>
      <c r="AD905">
        <v>430</v>
      </c>
    </row>
    <row r="906" spans="1:30" x14ac:dyDescent="0.3">
      <c r="A906">
        <v>18100618</v>
      </c>
      <c r="B906" s="3">
        <v>45677</v>
      </c>
      <c r="C906">
        <v>2025</v>
      </c>
      <c r="D906">
        <v>1</v>
      </c>
      <c r="E906" t="s">
        <v>1579</v>
      </c>
      <c r="F906" t="s">
        <v>125</v>
      </c>
      <c r="G906" t="s">
        <v>10</v>
      </c>
      <c r="H906" t="b">
        <v>0</v>
      </c>
      <c r="I906" t="b">
        <v>0</v>
      </c>
      <c r="J906" t="b">
        <v>0</v>
      </c>
      <c r="K906" t="b">
        <v>0</v>
      </c>
      <c r="L906" t="s">
        <v>2367</v>
      </c>
      <c r="M906" t="s">
        <v>2368</v>
      </c>
      <c r="N906" t="s">
        <v>21</v>
      </c>
      <c r="O906" t="b">
        <v>0</v>
      </c>
      <c r="P906">
        <v>2</v>
      </c>
      <c r="Q906" t="s">
        <v>289</v>
      </c>
      <c r="R906" t="s">
        <v>1142</v>
      </c>
      <c r="S906" t="s">
        <v>5</v>
      </c>
      <c r="T906" t="s">
        <v>291</v>
      </c>
      <c r="U906" t="s">
        <v>271</v>
      </c>
      <c r="V906" t="s">
        <v>292</v>
      </c>
      <c r="W906">
        <v>5</v>
      </c>
      <c r="X906" t="s">
        <v>40</v>
      </c>
      <c r="Z906" t="s">
        <v>5</v>
      </c>
      <c r="AA906" t="s">
        <v>15</v>
      </c>
      <c r="AB906">
        <v>56</v>
      </c>
      <c r="AC906" t="s">
        <v>32</v>
      </c>
      <c r="AD906">
        <v>432</v>
      </c>
    </row>
    <row r="907" spans="1:30" x14ac:dyDescent="0.3">
      <c r="A907">
        <v>18106554</v>
      </c>
      <c r="B907" s="3">
        <v>45663</v>
      </c>
      <c r="C907">
        <v>2025</v>
      </c>
      <c r="D907">
        <v>1</v>
      </c>
      <c r="E907" t="s">
        <v>1579</v>
      </c>
      <c r="F907" t="s">
        <v>0</v>
      </c>
      <c r="G907" t="s">
        <v>1</v>
      </c>
      <c r="H907" t="b">
        <v>0</v>
      </c>
      <c r="I907" t="b">
        <v>1</v>
      </c>
      <c r="J907" t="b">
        <v>0</v>
      </c>
      <c r="K907" t="b">
        <v>0</v>
      </c>
      <c r="L907" t="s">
        <v>2369</v>
      </c>
      <c r="M907" t="s">
        <v>1011</v>
      </c>
      <c r="N907" t="s">
        <v>94</v>
      </c>
      <c r="O907" t="b">
        <v>1</v>
      </c>
      <c r="P907">
        <v>6</v>
      </c>
      <c r="Q907" t="s">
        <v>954</v>
      </c>
      <c r="R907" t="s">
        <v>987</v>
      </c>
      <c r="S907">
        <v>48</v>
      </c>
      <c r="T907" t="s">
        <v>762</v>
      </c>
      <c r="U907" t="s">
        <v>37</v>
      </c>
      <c r="V907" t="s">
        <v>874</v>
      </c>
      <c r="W907">
        <v>2</v>
      </c>
      <c r="X907" t="s">
        <v>14</v>
      </c>
      <c r="Y907">
        <v>90</v>
      </c>
      <c r="Z907" t="s">
        <v>196</v>
      </c>
      <c r="AA907" t="s">
        <v>15</v>
      </c>
      <c r="AC907" t="s">
        <v>9</v>
      </c>
      <c r="AD907">
        <v>446</v>
      </c>
    </row>
    <row r="908" spans="1:30" x14ac:dyDescent="0.3">
      <c r="A908">
        <v>18107002</v>
      </c>
      <c r="B908" s="3">
        <v>45665</v>
      </c>
      <c r="C908">
        <v>2025</v>
      </c>
      <c r="D908">
        <v>1</v>
      </c>
      <c r="E908" t="s">
        <v>1579</v>
      </c>
      <c r="F908" t="s">
        <v>0</v>
      </c>
      <c r="G908" t="s">
        <v>10</v>
      </c>
      <c r="H908" t="b">
        <v>0</v>
      </c>
      <c r="I908" t="b">
        <v>0</v>
      </c>
      <c r="J908" t="b">
        <v>0</v>
      </c>
      <c r="K908" t="b">
        <v>0</v>
      </c>
      <c r="L908" t="s">
        <v>2370</v>
      </c>
      <c r="M908" t="s">
        <v>298</v>
      </c>
      <c r="N908" t="s">
        <v>5</v>
      </c>
      <c r="O908" t="b">
        <v>0</v>
      </c>
      <c r="P908">
        <v>7</v>
      </c>
      <c r="Q908" t="s">
        <v>245</v>
      </c>
      <c r="R908" t="s">
        <v>246</v>
      </c>
      <c r="S908">
        <v>48</v>
      </c>
      <c r="T908" t="s">
        <v>247</v>
      </c>
      <c r="U908" t="s">
        <v>210</v>
      </c>
      <c r="V908" t="s">
        <v>248</v>
      </c>
      <c r="W908">
        <v>5</v>
      </c>
      <c r="X908" t="s">
        <v>40</v>
      </c>
      <c r="Y908">
        <v>64</v>
      </c>
      <c r="Z908" t="s">
        <v>7</v>
      </c>
      <c r="AA908" t="s">
        <v>8</v>
      </c>
      <c r="AB908">
        <v>98.88</v>
      </c>
      <c r="AC908" t="s">
        <v>32</v>
      </c>
      <c r="AD908">
        <v>444</v>
      </c>
    </row>
    <row r="909" spans="1:30" x14ac:dyDescent="0.3">
      <c r="A909">
        <v>18108406</v>
      </c>
      <c r="B909" s="3">
        <v>45664</v>
      </c>
      <c r="C909">
        <v>2025</v>
      </c>
      <c r="D909">
        <v>1</v>
      </c>
      <c r="E909" t="s">
        <v>1579</v>
      </c>
      <c r="F909" t="s">
        <v>0</v>
      </c>
      <c r="G909" t="s">
        <v>1</v>
      </c>
      <c r="H909" t="b">
        <v>0</v>
      </c>
      <c r="I909" t="b">
        <v>1</v>
      </c>
      <c r="J909" t="b">
        <v>0</v>
      </c>
      <c r="K909" t="b">
        <v>0</v>
      </c>
      <c r="L909" t="s">
        <v>2371</v>
      </c>
      <c r="M909" t="s">
        <v>1360</v>
      </c>
      <c r="N909" t="s">
        <v>70</v>
      </c>
      <c r="O909" t="b">
        <v>0</v>
      </c>
      <c r="P909">
        <v>21</v>
      </c>
      <c r="Q909" t="s">
        <v>611</v>
      </c>
      <c r="R909" t="s">
        <v>612</v>
      </c>
      <c r="S909">
        <v>42</v>
      </c>
      <c r="T909" t="s">
        <v>291</v>
      </c>
      <c r="U909" t="s">
        <v>29</v>
      </c>
      <c r="V909" t="s">
        <v>130</v>
      </c>
      <c r="W909">
        <v>37</v>
      </c>
      <c r="X909" t="s">
        <v>6</v>
      </c>
      <c r="Z909" t="s">
        <v>5</v>
      </c>
      <c r="AA909" t="s">
        <v>5</v>
      </c>
      <c r="AC909" t="s">
        <v>9</v>
      </c>
      <c r="AD909">
        <v>445</v>
      </c>
    </row>
    <row r="910" spans="1:30" x14ac:dyDescent="0.3">
      <c r="A910">
        <v>18112560</v>
      </c>
      <c r="B910" s="3">
        <v>45681</v>
      </c>
      <c r="C910">
        <v>2025</v>
      </c>
      <c r="D910">
        <v>1</v>
      </c>
      <c r="E910" t="s">
        <v>1579</v>
      </c>
      <c r="F910" t="s">
        <v>125</v>
      </c>
      <c r="G910" t="s">
        <v>10</v>
      </c>
      <c r="H910" t="b">
        <v>0</v>
      </c>
      <c r="I910" t="b">
        <v>0</v>
      </c>
      <c r="J910" t="b">
        <v>0</v>
      </c>
      <c r="K910" t="b">
        <v>0</v>
      </c>
      <c r="L910" t="s">
        <v>126</v>
      </c>
      <c r="M910" t="s">
        <v>126</v>
      </c>
      <c r="N910" t="s">
        <v>5</v>
      </c>
      <c r="O910" t="b">
        <v>0</v>
      </c>
      <c r="P910">
        <v>1</v>
      </c>
      <c r="Q910" t="s">
        <v>455</v>
      </c>
      <c r="R910" t="s">
        <v>456</v>
      </c>
      <c r="S910">
        <v>58</v>
      </c>
      <c r="T910" t="s">
        <v>457</v>
      </c>
      <c r="U910" t="s">
        <v>23</v>
      </c>
      <c r="V910" t="s">
        <v>458</v>
      </c>
      <c r="W910">
        <v>5</v>
      </c>
      <c r="X910" t="s">
        <v>40</v>
      </c>
      <c r="Z910" t="s">
        <v>5</v>
      </c>
      <c r="AA910" t="s">
        <v>15</v>
      </c>
      <c r="AC910" t="s">
        <v>32</v>
      </c>
      <c r="AD910">
        <v>428</v>
      </c>
    </row>
    <row r="911" spans="1:30" x14ac:dyDescent="0.3">
      <c r="A911">
        <v>18114747</v>
      </c>
      <c r="B911" s="3">
        <v>45679</v>
      </c>
      <c r="C911">
        <v>2025</v>
      </c>
      <c r="D911">
        <v>1</v>
      </c>
      <c r="E911" t="s">
        <v>1579</v>
      </c>
      <c r="F911" t="s">
        <v>0</v>
      </c>
      <c r="G911" t="s">
        <v>1</v>
      </c>
      <c r="H911" t="b">
        <v>0</v>
      </c>
      <c r="I911" t="b">
        <v>1</v>
      </c>
      <c r="J911" t="b">
        <v>0</v>
      </c>
      <c r="K911" t="b">
        <v>0</v>
      </c>
      <c r="L911" t="s">
        <v>2372</v>
      </c>
      <c r="M911" t="s">
        <v>817</v>
      </c>
      <c r="N911" t="s">
        <v>70</v>
      </c>
      <c r="O911" t="b">
        <v>0</v>
      </c>
      <c r="P911">
        <v>20</v>
      </c>
      <c r="Q911" t="s">
        <v>289</v>
      </c>
      <c r="R911" t="s">
        <v>290</v>
      </c>
      <c r="S911" t="s">
        <v>5</v>
      </c>
      <c r="T911" t="s">
        <v>291</v>
      </c>
      <c r="U911" t="s">
        <v>271</v>
      </c>
      <c r="V911" t="s">
        <v>292</v>
      </c>
      <c r="W911">
        <v>8</v>
      </c>
      <c r="X911" t="s">
        <v>6</v>
      </c>
      <c r="Y911">
        <v>57</v>
      </c>
      <c r="Z911" t="s">
        <v>7</v>
      </c>
      <c r="AA911" t="s">
        <v>8</v>
      </c>
      <c r="AB911">
        <v>65</v>
      </c>
      <c r="AC911" t="s">
        <v>377</v>
      </c>
      <c r="AD911">
        <v>430</v>
      </c>
    </row>
    <row r="912" spans="1:30" x14ac:dyDescent="0.3">
      <c r="A912">
        <v>18114802</v>
      </c>
      <c r="B912" s="3">
        <v>45664</v>
      </c>
      <c r="C912">
        <v>2025</v>
      </c>
      <c r="D912">
        <v>1</v>
      </c>
      <c r="E912" t="s">
        <v>1579</v>
      </c>
      <c r="F912" t="s">
        <v>0</v>
      </c>
      <c r="G912" t="s">
        <v>1</v>
      </c>
      <c r="H912" t="b">
        <v>0</v>
      </c>
      <c r="I912" t="b">
        <v>1</v>
      </c>
      <c r="J912" t="b">
        <v>0</v>
      </c>
      <c r="K912" t="b">
        <v>0</v>
      </c>
      <c r="L912" t="s">
        <v>2373</v>
      </c>
      <c r="M912" t="s">
        <v>1038</v>
      </c>
      <c r="N912" t="s">
        <v>2</v>
      </c>
      <c r="O912" t="b">
        <v>1</v>
      </c>
      <c r="P912">
        <v>9</v>
      </c>
      <c r="Q912" t="s">
        <v>27</v>
      </c>
      <c r="R912" t="s">
        <v>28</v>
      </c>
      <c r="S912" t="s">
        <v>5</v>
      </c>
      <c r="T912" t="s">
        <v>512</v>
      </c>
      <c r="U912" t="s">
        <v>29</v>
      </c>
      <c r="V912" t="s">
        <v>30</v>
      </c>
      <c r="W912">
        <v>8</v>
      </c>
      <c r="X912" t="s">
        <v>6</v>
      </c>
      <c r="Y912">
        <v>71</v>
      </c>
      <c r="Z912" t="s">
        <v>67</v>
      </c>
      <c r="AA912" t="s">
        <v>8</v>
      </c>
      <c r="AB912">
        <v>83.91</v>
      </c>
      <c r="AC912" t="s">
        <v>32</v>
      </c>
      <c r="AD912">
        <v>445</v>
      </c>
    </row>
    <row r="913" spans="1:30" x14ac:dyDescent="0.3">
      <c r="A913">
        <v>18117614</v>
      </c>
      <c r="B913" s="3">
        <v>45667</v>
      </c>
      <c r="C913">
        <v>2025</v>
      </c>
      <c r="D913">
        <v>1</v>
      </c>
      <c r="E913" t="s">
        <v>1579</v>
      </c>
      <c r="F913" t="s">
        <v>0</v>
      </c>
      <c r="G913" t="s">
        <v>151</v>
      </c>
      <c r="H913" t="b">
        <v>0</v>
      </c>
      <c r="I913" t="b">
        <v>1</v>
      </c>
      <c r="J913" t="b">
        <v>0</v>
      </c>
      <c r="K913" t="b">
        <v>1</v>
      </c>
      <c r="L913" t="s">
        <v>2374</v>
      </c>
      <c r="M913" t="s">
        <v>463</v>
      </c>
      <c r="N913" t="s">
        <v>118</v>
      </c>
      <c r="O913" t="b">
        <v>0</v>
      </c>
      <c r="P913">
        <v>19</v>
      </c>
      <c r="Q913" t="s">
        <v>367</v>
      </c>
      <c r="R913" t="s">
        <v>368</v>
      </c>
      <c r="S913">
        <v>42</v>
      </c>
      <c r="T913" t="s">
        <v>758</v>
      </c>
      <c r="U913" t="s">
        <v>81</v>
      </c>
      <c r="V913" t="s">
        <v>82</v>
      </c>
      <c r="W913">
        <v>13</v>
      </c>
      <c r="X913" t="s">
        <v>6</v>
      </c>
      <c r="Y913">
        <v>66</v>
      </c>
      <c r="Z913" t="s">
        <v>67</v>
      </c>
      <c r="AA913" t="s">
        <v>15</v>
      </c>
      <c r="AB913">
        <v>78</v>
      </c>
      <c r="AC913" t="s">
        <v>9</v>
      </c>
      <c r="AD913">
        <v>442</v>
      </c>
    </row>
    <row r="914" spans="1:30" x14ac:dyDescent="0.3">
      <c r="A914">
        <v>18119045</v>
      </c>
      <c r="B914" s="3">
        <v>45674</v>
      </c>
      <c r="C914">
        <v>2025</v>
      </c>
      <c r="D914">
        <v>1</v>
      </c>
      <c r="E914" t="s">
        <v>1579</v>
      </c>
      <c r="F914" t="s">
        <v>0</v>
      </c>
      <c r="G914" t="s">
        <v>10</v>
      </c>
      <c r="H914" t="b">
        <v>0</v>
      </c>
      <c r="I914" t="b">
        <v>0</v>
      </c>
      <c r="J914" t="b">
        <v>0</v>
      </c>
      <c r="K914" t="b">
        <v>0</v>
      </c>
      <c r="L914" t="s">
        <v>2375</v>
      </c>
      <c r="M914" t="s">
        <v>604</v>
      </c>
      <c r="N914" t="s">
        <v>5</v>
      </c>
      <c r="O914" t="b">
        <v>0</v>
      </c>
      <c r="P914">
        <v>2</v>
      </c>
      <c r="Q914" t="s">
        <v>1498</v>
      </c>
      <c r="R914" t="s">
        <v>1499</v>
      </c>
      <c r="S914">
        <v>48</v>
      </c>
      <c r="T914" t="s">
        <v>83</v>
      </c>
      <c r="U914" t="s">
        <v>1075</v>
      </c>
      <c r="V914" t="s">
        <v>5</v>
      </c>
      <c r="W914">
        <v>1</v>
      </c>
      <c r="X914" t="s">
        <v>31</v>
      </c>
      <c r="Z914" t="s">
        <v>5</v>
      </c>
      <c r="AA914" t="s">
        <v>5</v>
      </c>
      <c r="AC914" t="s">
        <v>20</v>
      </c>
      <c r="AD914">
        <v>435</v>
      </c>
    </row>
    <row r="915" spans="1:30" x14ac:dyDescent="0.3">
      <c r="A915">
        <v>18119911</v>
      </c>
      <c r="B915" s="3">
        <v>45685</v>
      </c>
      <c r="C915">
        <v>2025</v>
      </c>
      <c r="D915">
        <v>1</v>
      </c>
      <c r="E915" t="s">
        <v>1579</v>
      </c>
      <c r="F915" t="s">
        <v>0</v>
      </c>
      <c r="G915" t="s">
        <v>1</v>
      </c>
      <c r="H915" t="b">
        <v>0</v>
      </c>
      <c r="I915" t="b">
        <v>1</v>
      </c>
      <c r="J915" t="b">
        <v>0</v>
      </c>
      <c r="K915" t="b">
        <v>0</v>
      </c>
      <c r="L915" t="s">
        <v>2376</v>
      </c>
      <c r="M915" t="s">
        <v>206</v>
      </c>
      <c r="N915" t="s">
        <v>118</v>
      </c>
      <c r="O915" t="b">
        <v>0</v>
      </c>
      <c r="P915">
        <v>11</v>
      </c>
      <c r="Q915" t="s">
        <v>630</v>
      </c>
      <c r="R915" t="s">
        <v>5</v>
      </c>
      <c r="S915" t="s">
        <v>5</v>
      </c>
      <c r="T915" t="s">
        <v>590</v>
      </c>
      <c r="U915" t="s">
        <v>5</v>
      </c>
      <c r="V915" t="s">
        <v>5</v>
      </c>
      <c r="W915">
        <v>19</v>
      </c>
      <c r="X915" t="s">
        <v>6</v>
      </c>
      <c r="Y915">
        <v>72</v>
      </c>
      <c r="Z915" t="s">
        <v>67</v>
      </c>
      <c r="AA915" t="s">
        <v>15</v>
      </c>
      <c r="AB915">
        <v>47</v>
      </c>
      <c r="AC915" t="s">
        <v>32</v>
      </c>
      <c r="AD915">
        <v>424</v>
      </c>
    </row>
    <row r="916" spans="1:30" x14ac:dyDescent="0.3">
      <c r="A916">
        <v>18121846</v>
      </c>
      <c r="B916" s="3">
        <v>45663</v>
      </c>
      <c r="C916">
        <v>2025</v>
      </c>
      <c r="D916">
        <v>1</v>
      </c>
      <c r="E916" t="s">
        <v>1579</v>
      </c>
      <c r="F916" t="s">
        <v>125</v>
      </c>
      <c r="G916" t="s">
        <v>10</v>
      </c>
      <c r="H916" t="b">
        <v>0</v>
      </c>
      <c r="I916" t="b">
        <v>0</v>
      </c>
      <c r="J916" t="b">
        <v>0</v>
      </c>
      <c r="K916" t="b">
        <v>0</v>
      </c>
      <c r="L916" t="s">
        <v>1547</v>
      </c>
      <c r="M916" t="s">
        <v>526</v>
      </c>
      <c r="N916" t="s">
        <v>21</v>
      </c>
      <c r="O916" t="b">
        <v>0</v>
      </c>
      <c r="P916">
        <v>2</v>
      </c>
      <c r="Q916" t="s">
        <v>1098</v>
      </c>
      <c r="R916" t="s">
        <v>1099</v>
      </c>
      <c r="S916">
        <v>58</v>
      </c>
      <c r="T916" t="s">
        <v>134</v>
      </c>
      <c r="U916" t="s">
        <v>153</v>
      </c>
      <c r="V916" t="s">
        <v>1100</v>
      </c>
      <c r="W916">
        <v>4</v>
      </c>
      <c r="X916" t="s">
        <v>40</v>
      </c>
      <c r="Y916">
        <v>73</v>
      </c>
      <c r="Z916" t="s">
        <v>67</v>
      </c>
      <c r="AA916" t="s">
        <v>15</v>
      </c>
      <c r="AC916" t="s">
        <v>32</v>
      </c>
      <c r="AD916">
        <v>446</v>
      </c>
    </row>
    <row r="917" spans="1:30" x14ac:dyDescent="0.3">
      <c r="A917">
        <v>18123460</v>
      </c>
      <c r="B917" s="3">
        <v>45679</v>
      </c>
      <c r="C917">
        <v>2025</v>
      </c>
      <c r="D917">
        <v>1</v>
      </c>
      <c r="E917" t="s">
        <v>1579</v>
      </c>
      <c r="F917" t="s">
        <v>0</v>
      </c>
      <c r="G917" t="s">
        <v>10</v>
      </c>
      <c r="H917" t="b">
        <v>0</v>
      </c>
      <c r="I917" t="b">
        <v>0</v>
      </c>
      <c r="J917" t="b">
        <v>0</v>
      </c>
      <c r="K917" t="b">
        <v>0</v>
      </c>
      <c r="L917" t="s">
        <v>2377</v>
      </c>
      <c r="M917" t="s">
        <v>235</v>
      </c>
      <c r="N917" t="s">
        <v>5</v>
      </c>
      <c r="O917" t="b">
        <v>0</v>
      </c>
      <c r="P917">
        <v>5</v>
      </c>
      <c r="Q917" t="s">
        <v>547</v>
      </c>
      <c r="R917" t="s">
        <v>548</v>
      </c>
      <c r="S917">
        <v>65</v>
      </c>
      <c r="T917" t="s">
        <v>83</v>
      </c>
      <c r="U917" t="s">
        <v>549</v>
      </c>
      <c r="V917" t="s">
        <v>5</v>
      </c>
      <c r="W917">
        <v>7</v>
      </c>
      <c r="X917" t="s">
        <v>6</v>
      </c>
      <c r="Z917" t="s">
        <v>5</v>
      </c>
      <c r="AA917" t="s">
        <v>15</v>
      </c>
      <c r="AC917" t="s">
        <v>9</v>
      </c>
      <c r="AD917">
        <v>430</v>
      </c>
    </row>
    <row r="918" spans="1:30" x14ac:dyDescent="0.3">
      <c r="A918">
        <v>18130429</v>
      </c>
      <c r="B918" s="3">
        <v>45685</v>
      </c>
      <c r="C918">
        <v>2025</v>
      </c>
      <c r="D918">
        <v>1</v>
      </c>
      <c r="E918" t="s">
        <v>1579</v>
      </c>
      <c r="F918" t="s">
        <v>0</v>
      </c>
      <c r="G918" t="s">
        <v>10</v>
      </c>
      <c r="H918" t="b">
        <v>0</v>
      </c>
      <c r="I918" t="b">
        <v>0</v>
      </c>
      <c r="J918" t="b">
        <v>0</v>
      </c>
      <c r="K918" t="b">
        <v>0</v>
      </c>
      <c r="L918" t="s">
        <v>2378</v>
      </c>
      <c r="M918" t="s">
        <v>945</v>
      </c>
      <c r="N918" t="s">
        <v>140</v>
      </c>
      <c r="O918" t="b">
        <v>0</v>
      </c>
      <c r="P918">
        <v>31</v>
      </c>
      <c r="Q918" t="s">
        <v>588</v>
      </c>
      <c r="R918" t="s">
        <v>589</v>
      </c>
      <c r="S918" t="s">
        <v>5</v>
      </c>
      <c r="T918" t="s">
        <v>989</v>
      </c>
      <c r="U918" t="s">
        <v>591</v>
      </c>
      <c r="V918" t="s">
        <v>592</v>
      </c>
      <c r="W918">
        <v>27</v>
      </c>
      <c r="X918" t="s">
        <v>6</v>
      </c>
      <c r="Z918" t="s">
        <v>5</v>
      </c>
      <c r="AA918" t="s">
        <v>8</v>
      </c>
      <c r="AB918">
        <v>67</v>
      </c>
      <c r="AC918" t="s">
        <v>32</v>
      </c>
      <c r="AD918">
        <v>424</v>
      </c>
    </row>
    <row r="919" spans="1:30" x14ac:dyDescent="0.3">
      <c r="A919">
        <v>18135414</v>
      </c>
      <c r="B919" s="3">
        <v>45681</v>
      </c>
      <c r="C919">
        <v>2025</v>
      </c>
      <c r="D919">
        <v>1</v>
      </c>
      <c r="E919" t="s">
        <v>1579</v>
      </c>
      <c r="F919" t="s">
        <v>125</v>
      </c>
      <c r="G919" t="s">
        <v>10</v>
      </c>
      <c r="H919" t="b">
        <v>0</v>
      </c>
      <c r="I919" t="b">
        <v>0</v>
      </c>
      <c r="J919" t="b">
        <v>0</v>
      </c>
      <c r="K919" t="b">
        <v>0</v>
      </c>
      <c r="L919" t="s">
        <v>2379</v>
      </c>
      <c r="M919" t="s">
        <v>235</v>
      </c>
      <c r="N919" t="s">
        <v>63</v>
      </c>
      <c r="O919" t="b">
        <v>0</v>
      </c>
      <c r="P919">
        <v>6</v>
      </c>
      <c r="Q919" t="s">
        <v>547</v>
      </c>
      <c r="R919" t="s">
        <v>548</v>
      </c>
      <c r="S919">
        <v>55</v>
      </c>
      <c r="T919" t="s">
        <v>62</v>
      </c>
      <c r="U919" t="s">
        <v>549</v>
      </c>
      <c r="V919" t="s">
        <v>5</v>
      </c>
      <c r="W919">
        <v>8</v>
      </c>
      <c r="X919" t="s">
        <v>6</v>
      </c>
      <c r="Y919">
        <v>48</v>
      </c>
      <c r="Z919" t="s">
        <v>7</v>
      </c>
      <c r="AA919" t="s">
        <v>15</v>
      </c>
      <c r="AC919" t="s">
        <v>32</v>
      </c>
      <c r="AD919">
        <v>428</v>
      </c>
    </row>
    <row r="920" spans="1:30" x14ac:dyDescent="0.3">
      <c r="A920">
        <v>18136443</v>
      </c>
      <c r="B920" s="3">
        <v>45658</v>
      </c>
      <c r="C920">
        <v>2025</v>
      </c>
      <c r="D920">
        <v>1</v>
      </c>
      <c r="E920" t="s">
        <v>1579</v>
      </c>
      <c r="F920" t="s">
        <v>0</v>
      </c>
      <c r="G920" t="s">
        <v>1</v>
      </c>
      <c r="H920" t="b">
        <v>0</v>
      </c>
      <c r="I920" t="b">
        <v>1</v>
      </c>
      <c r="J920" t="b">
        <v>0</v>
      </c>
      <c r="K920" t="b">
        <v>0</v>
      </c>
      <c r="L920" t="s">
        <v>2380</v>
      </c>
      <c r="M920" t="s">
        <v>756</v>
      </c>
      <c r="N920" t="s">
        <v>63</v>
      </c>
      <c r="O920" t="b">
        <v>0</v>
      </c>
      <c r="P920">
        <v>10</v>
      </c>
      <c r="Q920" t="s">
        <v>907</v>
      </c>
      <c r="R920" t="s">
        <v>5</v>
      </c>
      <c r="S920" t="s">
        <v>5</v>
      </c>
      <c r="T920" t="s">
        <v>83</v>
      </c>
      <c r="U920" t="s">
        <v>5</v>
      </c>
      <c r="V920" t="s">
        <v>5</v>
      </c>
      <c r="W920">
        <v>14</v>
      </c>
      <c r="X920" t="s">
        <v>6</v>
      </c>
      <c r="Y920">
        <v>4</v>
      </c>
      <c r="Z920" t="s">
        <v>46</v>
      </c>
      <c r="AA920" t="s">
        <v>15</v>
      </c>
      <c r="AC920" t="s">
        <v>32</v>
      </c>
      <c r="AD920">
        <v>451</v>
      </c>
    </row>
    <row r="921" spans="1:30" x14ac:dyDescent="0.3">
      <c r="A921">
        <v>18139071</v>
      </c>
      <c r="B921" s="3">
        <v>45673</v>
      </c>
      <c r="C921">
        <v>2025</v>
      </c>
      <c r="D921">
        <v>1</v>
      </c>
      <c r="E921" t="s">
        <v>1579</v>
      </c>
      <c r="F921" t="s">
        <v>125</v>
      </c>
      <c r="G921" t="s">
        <v>10</v>
      </c>
      <c r="H921" t="b">
        <v>0</v>
      </c>
      <c r="I921" t="b">
        <v>0</v>
      </c>
      <c r="J921" t="b">
        <v>0</v>
      </c>
      <c r="K921" t="b">
        <v>0</v>
      </c>
      <c r="L921" t="s">
        <v>2381</v>
      </c>
      <c r="M921" t="s">
        <v>1038</v>
      </c>
      <c r="N921" t="s">
        <v>5</v>
      </c>
      <c r="O921" t="b">
        <v>0</v>
      </c>
      <c r="P921">
        <v>3</v>
      </c>
      <c r="Q921" t="s">
        <v>455</v>
      </c>
      <c r="R921" t="s">
        <v>456</v>
      </c>
      <c r="S921" t="s">
        <v>5</v>
      </c>
      <c r="T921" t="s">
        <v>309</v>
      </c>
      <c r="U921" t="s">
        <v>23</v>
      </c>
      <c r="V921" t="s">
        <v>458</v>
      </c>
      <c r="W921">
        <v>3</v>
      </c>
      <c r="X921" t="s">
        <v>14</v>
      </c>
      <c r="Y921">
        <v>49</v>
      </c>
      <c r="Z921" t="s">
        <v>7</v>
      </c>
      <c r="AA921" t="s">
        <v>8</v>
      </c>
      <c r="AC921" t="s">
        <v>32</v>
      </c>
      <c r="AD921">
        <v>436</v>
      </c>
    </row>
    <row r="922" spans="1:30" x14ac:dyDescent="0.3">
      <c r="A922">
        <v>18139478</v>
      </c>
      <c r="B922" s="3">
        <v>45659</v>
      </c>
      <c r="C922">
        <v>2025</v>
      </c>
      <c r="D922">
        <v>1</v>
      </c>
      <c r="E922" t="s">
        <v>1579</v>
      </c>
      <c r="F922" t="s">
        <v>0</v>
      </c>
      <c r="G922" t="s">
        <v>10</v>
      </c>
      <c r="H922" t="b">
        <v>0</v>
      </c>
      <c r="I922" t="b">
        <v>0</v>
      </c>
      <c r="J922" t="b">
        <v>0</v>
      </c>
      <c r="K922" t="b">
        <v>0</v>
      </c>
      <c r="L922" t="s">
        <v>2382</v>
      </c>
      <c r="M922" t="s">
        <v>351</v>
      </c>
      <c r="N922" t="s">
        <v>118</v>
      </c>
      <c r="O922" t="b">
        <v>0</v>
      </c>
      <c r="P922">
        <v>13</v>
      </c>
      <c r="Q922" t="s">
        <v>320</v>
      </c>
      <c r="R922" t="s">
        <v>321</v>
      </c>
      <c r="S922">
        <v>58</v>
      </c>
      <c r="T922" t="s">
        <v>594</v>
      </c>
      <c r="U922" t="s">
        <v>4</v>
      </c>
      <c r="V922" t="s">
        <v>322</v>
      </c>
      <c r="W922">
        <v>12</v>
      </c>
      <c r="X922" t="s">
        <v>6</v>
      </c>
      <c r="Y922">
        <v>52</v>
      </c>
      <c r="Z922" t="s">
        <v>7</v>
      </c>
      <c r="AA922" t="s">
        <v>8</v>
      </c>
      <c r="AC922" t="s">
        <v>9</v>
      </c>
      <c r="AD922">
        <v>450</v>
      </c>
    </row>
    <row r="923" spans="1:30" x14ac:dyDescent="0.3">
      <c r="A923">
        <v>18141745</v>
      </c>
      <c r="B923" s="3">
        <v>45659</v>
      </c>
      <c r="C923">
        <v>2025</v>
      </c>
      <c r="D923">
        <v>1</v>
      </c>
      <c r="E923" t="s">
        <v>1579</v>
      </c>
      <c r="F923" t="s">
        <v>0</v>
      </c>
      <c r="G923" t="s">
        <v>1</v>
      </c>
      <c r="H923" t="b">
        <v>0</v>
      </c>
      <c r="I923" t="b">
        <v>1</v>
      </c>
      <c r="J923" t="b">
        <v>0</v>
      </c>
      <c r="K923" t="b">
        <v>0</v>
      </c>
      <c r="L923" t="s">
        <v>2383</v>
      </c>
      <c r="M923" t="s">
        <v>1393</v>
      </c>
      <c r="N923" t="s">
        <v>2</v>
      </c>
      <c r="O923" t="b">
        <v>1</v>
      </c>
      <c r="P923">
        <v>12</v>
      </c>
      <c r="Q923" t="s">
        <v>187</v>
      </c>
      <c r="R923" t="s">
        <v>5</v>
      </c>
      <c r="S923" t="s">
        <v>5</v>
      </c>
      <c r="T923" t="s">
        <v>335</v>
      </c>
      <c r="U923" t="s">
        <v>5</v>
      </c>
      <c r="V923" t="s">
        <v>5</v>
      </c>
      <c r="W923">
        <v>17</v>
      </c>
      <c r="X923" t="s">
        <v>6</v>
      </c>
      <c r="Y923">
        <v>28</v>
      </c>
      <c r="Z923" t="s">
        <v>61</v>
      </c>
      <c r="AA923" t="s">
        <v>8</v>
      </c>
      <c r="AB923">
        <v>127.6</v>
      </c>
      <c r="AC923" t="s">
        <v>32</v>
      </c>
      <c r="AD923">
        <v>450</v>
      </c>
    </row>
    <row r="924" spans="1:30" x14ac:dyDescent="0.3">
      <c r="A924">
        <v>18145294</v>
      </c>
      <c r="B924" s="3">
        <v>45673</v>
      </c>
      <c r="C924">
        <v>2025</v>
      </c>
      <c r="D924">
        <v>1</v>
      </c>
      <c r="E924" t="s">
        <v>1579</v>
      </c>
      <c r="F924" t="s">
        <v>0</v>
      </c>
      <c r="G924" t="s">
        <v>197</v>
      </c>
      <c r="H924" t="b">
        <v>1</v>
      </c>
      <c r="I924" t="b">
        <v>1</v>
      </c>
      <c r="J924" t="b">
        <v>0</v>
      </c>
      <c r="K924" t="b">
        <v>0</v>
      </c>
      <c r="L924" t="s">
        <v>2384</v>
      </c>
      <c r="M924" t="s">
        <v>50</v>
      </c>
      <c r="N924" t="s">
        <v>118</v>
      </c>
      <c r="O924" t="b">
        <v>0</v>
      </c>
      <c r="P924">
        <v>14</v>
      </c>
      <c r="Q924" t="s">
        <v>588</v>
      </c>
      <c r="R924" t="s">
        <v>589</v>
      </c>
      <c r="S924" t="s">
        <v>5</v>
      </c>
      <c r="T924" t="s">
        <v>590</v>
      </c>
      <c r="U924" t="s">
        <v>591</v>
      </c>
      <c r="V924" t="s">
        <v>592</v>
      </c>
      <c r="W924">
        <v>27</v>
      </c>
      <c r="X924" t="s">
        <v>6</v>
      </c>
      <c r="Y924">
        <v>71</v>
      </c>
      <c r="Z924" t="s">
        <v>67</v>
      </c>
      <c r="AA924" t="s">
        <v>15</v>
      </c>
      <c r="AB924">
        <v>81</v>
      </c>
      <c r="AC924" t="s">
        <v>32</v>
      </c>
      <c r="AD924">
        <v>436</v>
      </c>
    </row>
    <row r="925" spans="1:30" x14ac:dyDescent="0.3">
      <c r="A925">
        <v>18146455</v>
      </c>
      <c r="B925" s="3">
        <v>45687</v>
      </c>
      <c r="C925">
        <v>2025</v>
      </c>
      <c r="D925">
        <v>1</v>
      </c>
      <c r="E925" t="s">
        <v>1579</v>
      </c>
      <c r="F925" t="s">
        <v>0</v>
      </c>
      <c r="G925" t="s">
        <v>10</v>
      </c>
      <c r="H925" t="b">
        <v>0</v>
      </c>
      <c r="I925" t="b">
        <v>0</v>
      </c>
      <c r="J925" t="b">
        <v>0</v>
      </c>
      <c r="K925" t="b">
        <v>0</v>
      </c>
      <c r="L925" t="s">
        <v>2385</v>
      </c>
      <c r="M925" t="s">
        <v>1170</v>
      </c>
      <c r="N925" t="s">
        <v>63</v>
      </c>
      <c r="O925" t="b">
        <v>0</v>
      </c>
      <c r="P925">
        <v>27</v>
      </c>
      <c r="Q925" t="s">
        <v>588</v>
      </c>
      <c r="R925" t="s">
        <v>589</v>
      </c>
      <c r="S925" t="s">
        <v>5</v>
      </c>
      <c r="T925" t="s">
        <v>590</v>
      </c>
      <c r="U925" t="s">
        <v>591</v>
      </c>
      <c r="V925" t="s">
        <v>592</v>
      </c>
      <c r="W925">
        <v>44</v>
      </c>
      <c r="X925" t="s">
        <v>6</v>
      </c>
      <c r="Y925">
        <v>62</v>
      </c>
      <c r="Z925" t="s">
        <v>7</v>
      </c>
      <c r="AA925" t="s">
        <v>8</v>
      </c>
      <c r="AB925">
        <v>66</v>
      </c>
      <c r="AC925" t="s">
        <v>32</v>
      </c>
      <c r="AD925">
        <v>422</v>
      </c>
    </row>
    <row r="926" spans="1:30" x14ac:dyDescent="0.3">
      <c r="A926">
        <v>18147456</v>
      </c>
      <c r="B926" s="3">
        <v>45685</v>
      </c>
      <c r="C926">
        <v>2025</v>
      </c>
      <c r="D926">
        <v>1</v>
      </c>
      <c r="E926" t="s">
        <v>1579</v>
      </c>
      <c r="F926" t="s">
        <v>125</v>
      </c>
      <c r="G926" t="s">
        <v>10</v>
      </c>
      <c r="H926" t="b">
        <v>0</v>
      </c>
      <c r="I926" t="b">
        <v>0</v>
      </c>
      <c r="J926" t="b">
        <v>0</v>
      </c>
      <c r="K926" t="b">
        <v>0</v>
      </c>
      <c r="L926" t="s">
        <v>2386</v>
      </c>
      <c r="M926" t="s">
        <v>896</v>
      </c>
      <c r="N926" t="s">
        <v>21</v>
      </c>
      <c r="O926" t="b">
        <v>0</v>
      </c>
      <c r="P926">
        <v>2</v>
      </c>
      <c r="Q926" t="s">
        <v>323</v>
      </c>
      <c r="R926" t="s">
        <v>324</v>
      </c>
      <c r="S926" t="s">
        <v>5</v>
      </c>
      <c r="T926" t="s">
        <v>257</v>
      </c>
      <c r="U926" t="s">
        <v>325</v>
      </c>
      <c r="V926" t="s">
        <v>326</v>
      </c>
      <c r="W926">
        <v>3</v>
      </c>
      <c r="X926" t="s">
        <v>14</v>
      </c>
      <c r="Y926">
        <v>49</v>
      </c>
      <c r="Z926" t="s">
        <v>7</v>
      </c>
      <c r="AA926" t="s">
        <v>8</v>
      </c>
      <c r="AC926" t="s">
        <v>32</v>
      </c>
      <c r="AD926">
        <v>424</v>
      </c>
    </row>
    <row r="927" spans="1:30" x14ac:dyDescent="0.3">
      <c r="A927">
        <v>18149522</v>
      </c>
      <c r="B927" s="3">
        <v>45673</v>
      </c>
      <c r="C927">
        <v>2025</v>
      </c>
      <c r="D927">
        <v>1</v>
      </c>
      <c r="E927" t="s">
        <v>1579</v>
      </c>
      <c r="F927" t="s">
        <v>0</v>
      </c>
      <c r="G927" t="s">
        <v>1</v>
      </c>
      <c r="H927" t="b">
        <v>0</v>
      </c>
      <c r="I927" t="b">
        <v>1</v>
      </c>
      <c r="J927" t="b">
        <v>0</v>
      </c>
      <c r="K927" t="b">
        <v>0</v>
      </c>
      <c r="L927" t="s">
        <v>2387</v>
      </c>
      <c r="M927" t="s">
        <v>2388</v>
      </c>
      <c r="N927" t="s">
        <v>17</v>
      </c>
      <c r="O927" t="b">
        <v>0</v>
      </c>
      <c r="P927">
        <v>11</v>
      </c>
      <c r="Q927" t="s">
        <v>78</v>
      </c>
      <c r="R927" t="s">
        <v>79</v>
      </c>
      <c r="S927">
        <v>65</v>
      </c>
      <c r="T927" t="s">
        <v>1135</v>
      </c>
      <c r="U927" t="s">
        <v>81</v>
      </c>
      <c r="V927" t="s">
        <v>82</v>
      </c>
      <c r="W927">
        <v>38</v>
      </c>
      <c r="X927" t="s">
        <v>6</v>
      </c>
      <c r="Z927" t="s">
        <v>5</v>
      </c>
      <c r="AA927" t="s">
        <v>5</v>
      </c>
      <c r="AC927" t="s">
        <v>359</v>
      </c>
      <c r="AD927">
        <v>436</v>
      </c>
    </row>
    <row r="928" spans="1:30" x14ac:dyDescent="0.3">
      <c r="A928">
        <v>18152671</v>
      </c>
      <c r="B928" s="3">
        <v>45680</v>
      </c>
      <c r="C928">
        <v>2025</v>
      </c>
      <c r="D928">
        <v>1</v>
      </c>
      <c r="E928" t="s">
        <v>1579</v>
      </c>
      <c r="F928" t="s">
        <v>0</v>
      </c>
      <c r="G928" t="s">
        <v>50</v>
      </c>
      <c r="H928" t="b">
        <v>1</v>
      </c>
      <c r="I928" t="b">
        <v>0</v>
      </c>
      <c r="J928" t="b">
        <v>0</v>
      </c>
      <c r="K928" t="b">
        <v>0</v>
      </c>
      <c r="L928" t="s">
        <v>1442</v>
      </c>
      <c r="M928" t="s">
        <v>1442</v>
      </c>
      <c r="N928" t="s">
        <v>5</v>
      </c>
      <c r="O928" t="b">
        <v>0</v>
      </c>
      <c r="P928">
        <v>1</v>
      </c>
      <c r="Q928" t="s">
        <v>930</v>
      </c>
      <c r="R928" t="s">
        <v>931</v>
      </c>
      <c r="S928">
        <v>42</v>
      </c>
      <c r="T928" t="s">
        <v>932</v>
      </c>
      <c r="U928" t="s">
        <v>144</v>
      </c>
      <c r="V928" t="s">
        <v>5</v>
      </c>
      <c r="W928">
        <v>1</v>
      </c>
      <c r="X928" t="s">
        <v>31</v>
      </c>
      <c r="Y928">
        <v>55</v>
      </c>
      <c r="Z928" t="s">
        <v>7</v>
      </c>
      <c r="AA928" t="s">
        <v>15</v>
      </c>
      <c r="AB928">
        <v>63</v>
      </c>
      <c r="AC928" t="s">
        <v>20</v>
      </c>
      <c r="AD928">
        <v>429</v>
      </c>
    </row>
    <row r="929" spans="1:30" x14ac:dyDescent="0.3">
      <c r="A929">
        <v>18153066</v>
      </c>
      <c r="B929" s="3">
        <v>45665</v>
      </c>
      <c r="C929">
        <v>2025</v>
      </c>
      <c r="D929">
        <v>1</v>
      </c>
      <c r="E929" t="s">
        <v>1579</v>
      </c>
      <c r="F929" t="s">
        <v>0</v>
      </c>
      <c r="G929" t="s">
        <v>10</v>
      </c>
      <c r="H929" t="b">
        <v>0</v>
      </c>
      <c r="I929" t="b">
        <v>0</v>
      </c>
      <c r="J929" t="b">
        <v>0</v>
      </c>
      <c r="K929" t="b">
        <v>0</v>
      </c>
      <c r="L929" t="s">
        <v>2389</v>
      </c>
      <c r="M929" t="s">
        <v>911</v>
      </c>
      <c r="N929" t="s">
        <v>57</v>
      </c>
      <c r="O929" t="b">
        <v>1</v>
      </c>
      <c r="P929">
        <v>17</v>
      </c>
      <c r="Q929" t="s">
        <v>907</v>
      </c>
      <c r="R929" t="s">
        <v>5</v>
      </c>
      <c r="S929" t="s">
        <v>5</v>
      </c>
      <c r="T929" t="s">
        <v>83</v>
      </c>
      <c r="U929" t="s">
        <v>5</v>
      </c>
      <c r="V929" t="s">
        <v>5</v>
      </c>
      <c r="W929">
        <v>8</v>
      </c>
      <c r="X929" t="s">
        <v>6</v>
      </c>
      <c r="Y929">
        <v>7</v>
      </c>
      <c r="Z929" t="s">
        <v>46</v>
      </c>
      <c r="AA929" t="s">
        <v>15</v>
      </c>
      <c r="AC929" t="s">
        <v>32</v>
      </c>
      <c r="AD929">
        <v>444</v>
      </c>
    </row>
    <row r="930" spans="1:30" x14ac:dyDescent="0.3">
      <c r="A930">
        <v>18162860</v>
      </c>
      <c r="B930" s="3">
        <v>45673</v>
      </c>
      <c r="C930">
        <v>2025</v>
      </c>
      <c r="D930">
        <v>1</v>
      </c>
      <c r="E930" t="s">
        <v>1579</v>
      </c>
      <c r="F930" t="s">
        <v>0</v>
      </c>
      <c r="G930" t="s">
        <v>16</v>
      </c>
      <c r="H930" t="b">
        <v>0</v>
      </c>
      <c r="I930" t="b">
        <v>1</v>
      </c>
      <c r="J930" t="b">
        <v>1</v>
      </c>
      <c r="K930" t="b">
        <v>0</v>
      </c>
      <c r="L930" t="s">
        <v>2390</v>
      </c>
      <c r="M930" t="s">
        <v>710</v>
      </c>
      <c r="N930" t="s">
        <v>12</v>
      </c>
      <c r="O930" t="b">
        <v>1</v>
      </c>
      <c r="P930">
        <v>2</v>
      </c>
      <c r="Q930" t="s">
        <v>528</v>
      </c>
      <c r="R930" t="s">
        <v>529</v>
      </c>
      <c r="S930">
        <v>65</v>
      </c>
      <c r="T930" t="s">
        <v>530</v>
      </c>
      <c r="U930" t="s">
        <v>531</v>
      </c>
      <c r="V930" t="s">
        <v>392</v>
      </c>
      <c r="W930">
        <v>4</v>
      </c>
      <c r="X930" t="s">
        <v>40</v>
      </c>
      <c r="Y930">
        <v>0.75</v>
      </c>
      <c r="Z930" t="s">
        <v>219</v>
      </c>
      <c r="AA930" t="s">
        <v>15</v>
      </c>
      <c r="AB930">
        <v>7</v>
      </c>
      <c r="AC930" t="s">
        <v>9</v>
      </c>
      <c r="AD930">
        <v>436</v>
      </c>
    </row>
    <row r="931" spans="1:30" x14ac:dyDescent="0.3">
      <c r="A931">
        <v>18163182</v>
      </c>
      <c r="B931" s="3">
        <v>45673</v>
      </c>
      <c r="C931">
        <v>2025</v>
      </c>
      <c r="D931">
        <v>1</v>
      </c>
      <c r="E931" t="s">
        <v>1579</v>
      </c>
      <c r="F931" t="s">
        <v>0</v>
      </c>
      <c r="G931" t="s">
        <v>10</v>
      </c>
      <c r="H931" t="b">
        <v>0</v>
      </c>
      <c r="I931" t="b">
        <v>0</v>
      </c>
      <c r="J931" t="b">
        <v>0</v>
      </c>
      <c r="K931" t="b">
        <v>0</v>
      </c>
      <c r="L931" t="s">
        <v>2391</v>
      </c>
      <c r="M931" t="s">
        <v>1027</v>
      </c>
      <c r="N931" t="s">
        <v>12</v>
      </c>
      <c r="O931" t="b">
        <v>1</v>
      </c>
      <c r="P931">
        <v>7</v>
      </c>
      <c r="Q931" t="s">
        <v>528</v>
      </c>
      <c r="R931" t="s">
        <v>529</v>
      </c>
      <c r="S931">
        <v>65</v>
      </c>
      <c r="T931" t="s">
        <v>530</v>
      </c>
      <c r="U931" t="s">
        <v>531</v>
      </c>
      <c r="V931" t="s">
        <v>392</v>
      </c>
      <c r="W931">
        <v>17</v>
      </c>
      <c r="X931" t="s">
        <v>6</v>
      </c>
      <c r="Y931">
        <v>0.66666666666666596</v>
      </c>
      <c r="Z931" t="s">
        <v>219</v>
      </c>
      <c r="AA931" t="s">
        <v>8</v>
      </c>
      <c r="AC931" t="s">
        <v>9</v>
      </c>
      <c r="AD931">
        <v>436</v>
      </c>
    </row>
    <row r="932" spans="1:30" x14ac:dyDescent="0.3">
      <c r="A932">
        <v>18172344</v>
      </c>
      <c r="B932" s="3">
        <v>45660</v>
      </c>
      <c r="C932">
        <v>2025</v>
      </c>
      <c r="D932">
        <v>1</v>
      </c>
      <c r="E932" t="s">
        <v>1579</v>
      </c>
      <c r="F932" t="s">
        <v>0</v>
      </c>
      <c r="G932" t="s">
        <v>16</v>
      </c>
      <c r="H932" t="b">
        <v>0</v>
      </c>
      <c r="I932" t="b">
        <v>1</v>
      </c>
      <c r="J932" t="b">
        <v>1</v>
      </c>
      <c r="K932" t="b">
        <v>0</v>
      </c>
      <c r="L932" t="s">
        <v>2392</v>
      </c>
      <c r="M932" t="s">
        <v>654</v>
      </c>
      <c r="N932" t="s">
        <v>70</v>
      </c>
      <c r="O932" t="b">
        <v>0</v>
      </c>
      <c r="P932">
        <v>10</v>
      </c>
      <c r="Q932" t="s">
        <v>673</v>
      </c>
      <c r="R932" t="s">
        <v>674</v>
      </c>
      <c r="S932">
        <v>48</v>
      </c>
      <c r="T932" t="s">
        <v>247</v>
      </c>
      <c r="U932" t="s">
        <v>675</v>
      </c>
      <c r="V932" t="s">
        <v>676</v>
      </c>
      <c r="W932">
        <v>5</v>
      </c>
      <c r="X932" t="s">
        <v>40</v>
      </c>
      <c r="Z932" t="s">
        <v>5</v>
      </c>
      <c r="AA932" t="s">
        <v>8</v>
      </c>
      <c r="AB932">
        <v>90</v>
      </c>
      <c r="AC932" t="s">
        <v>101</v>
      </c>
      <c r="AD932">
        <v>449</v>
      </c>
    </row>
    <row r="933" spans="1:30" x14ac:dyDescent="0.3">
      <c r="A933">
        <v>18174773</v>
      </c>
      <c r="B933" s="3">
        <v>45665</v>
      </c>
      <c r="C933">
        <v>2025</v>
      </c>
      <c r="D933">
        <v>1</v>
      </c>
      <c r="E933" t="s">
        <v>1579</v>
      </c>
      <c r="F933" t="s">
        <v>125</v>
      </c>
      <c r="G933" t="s">
        <v>10</v>
      </c>
      <c r="H933" t="b">
        <v>0</v>
      </c>
      <c r="I933" t="b">
        <v>0</v>
      </c>
      <c r="J933" t="b">
        <v>0</v>
      </c>
      <c r="K933" t="b">
        <v>0</v>
      </c>
      <c r="L933" t="s">
        <v>2393</v>
      </c>
      <c r="M933" t="s">
        <v>2394</v>
      </c>
      <c r="N933" t="s">
        <v>5</v>
      </c>
      <c r="O933" t="b">
        <v>0</v>
      </c>
      <c r="P933">
        <v>6</v>
      </c>
      <c r="Q933" t="s">
        <v>208</v>
      </c>
      <c r="R933" t="s">
        <v>286</v>
      </c>
      <c r="S933" t="s">
        <v>5</v>
      </c>
      <c r="T933" t="s">
        <v>5</v>
      </c>
      <c r="U933" t="s">
        <v>210</v>
      </c>
      <c r="V933" t="s">
        <v>5</v>
      </c>
      <c r="W933">
        <v>1</v>
      </c>
      <c r="X933" t="s">
        <v>31</v>
      </c>
      <c r="Y933">
        <v>71</v>
      </c>
      <c r="Z933" t="s">
        <v>67</v>
      </c>
      <c r="AA933" t="s">
        <v>8</v>
      </c>
      <c r="AC933" t="s">
        <v>32</v>
      </c>
      <c r="AD933">
        <v>444</v>
      </c>
    </row>
    <row r="934" spans="1:30" x14ac:dyDescent="0.3">
      <c r="A934">
        <v>18181485</v>
      </c>
      <c r="B934" s="3">
        <v>45684</v>
      </c>
      <c r="C934">
        <v>2025</v>
      </c>
      <c r="D934">
        <v>1</v>
      </c>
      <c r="E934" t="s">
        <v>1579</v>
      </c>
      <c r="F934" t="s">
        <v>0</v>
      </c>
      <c r="G934" t="s">
        <v>1</v>
      </c>
      <c r="H934" t="b">
        <v>0</v>
      </c>
      <c r="I934" t="b">
        <v>1</v>
      </c>
      <c r="J934" t="b">
        <v>0</v>
      </c>
      <c r="K934" t="b">
        <v>0</v>
      </c>
      <c r="L934" t="s">
        <v>2395</v>
      </c>
      <c r="M934" t="s">
        <v>923</v>
      </c>
      <c r="N934" t="s">
        <v>12</v>
      </c>
      <c r="O934" t="b">
        <v>1</v>
      </c>
      <c r="P934">
        <v>2</v>
      </c>
      <c r="Q934" t="s">
        <v>1034</v>
      </c>
      <c r="R934" t="s">
        <v>1035</v>
      </c>
      <c r="S934">
        <v>48</v>
      </c>
      <c r="T934" t="s">
        <v>1444</v>
      </c>
      <c r="U934" t="s">
        <v>1036</v>
      </c>
      <c r="V934" t="s">
        <v>5</v>
      </c>
      <c r="W934">
        <v>30</v>
      </c>
      <c r="X934" t="s">
        <v>6</v>
      </c>
      <c r="Y934">
        <v>22</v>
      </c>
      <c r="Z934" t="s">
        <v>61</v>
      </c>
      <c r="AA934" t="s">
        <v>8</v>
      </c>
      <c r="AC934" t="s">
        <v>9</v>
      </c>
      <c r="AD934">
        <v>425</v>
      </c>
    </row>
    <row r="935" spans="1:30" x14ac:dyDescent="0.3">
      <c r="A935">
        <v>18183912</v>
      </c>
      <c r="B935" s="3">
        <v>45686</v>
      </c>
      <c r="C935">
        <v>2025</v>
      </c>
      <c r="D935">
        <v>1</v>
      </c>
      <c r="E935" t="s">
        <v>1579</v>
      </c>
      <c r="F935" t="s">
        <v>125</v>
      </c>
      <c r="G935" t="s">
        <v>10</v>
      </c>
      <c r="H935" t="b">
        <v>0</v>
      </c>
      <c r="I935" t="b">
        <v>0</v>
      </c>
      <c r="J935" t="b">
        <v>0</v>
      </c>
      <c r="K935" t="b">
        <v>0</v>
      </c>
      <c r="L935" t="s">
        <v>2396</v>
      </c>
      <c r="M935" t="s">
        <v>682</v>
      </c>
      <c r="N935" t="s">
        <v>57</v>
      </c>
      <c r="O935" t="b">
        <v>1</v>
      </c>
      <c r="P935">
        <v>5</v>
      </c>
      <c r="Q935" t="s">
        <v>588</v>
      </c>
      <c r="R935" t="s">
        <v>589</v>
      </c>
      <c r="S935" t="s">
        <v>5</v>
      </c>
      <c r="T935" t="s">
        <v>590</v>
      </c>
      <c r="U935" t="s">
        <v>591</v>
      </c>
      <c r="V935" t="s">
        <v>592</v>
      </c>
      <c r="W935">
        <v>25</v>
      </c>
      <c r="X935" t="s">
        <v>6</v>
      </c>
      <c r="Y935">
        <v>46</v>
      </c>
      <c r="Z935" t="s">
        <v>7</v>
      </c>
      <c r="AA935" t="s">
        <v>8</v>
      </c>
      <c r="AB935">
        <v>56</v>
      </c>
      <c r="AC935" t="s">
        <v>32</v>
      </c>
      <c r="AD935">
        <v>423</v>
      </c>
    </row>
    <row r="936" spans="1:30" x14ac:dyDescent="0.3">
      <c r="A936">
        <v>18186196</v>
      </c>
      <c r="B936" s="3">
        <v>45685</v>
      </c>
      <c r="C936">
        <v>2025</v>
      </c>
      <c r="D936">
        <v>1</v>
      </c>
      <c r="E936" t="s">
        <v>1579</v>
      </c>
      <c r="F936" t="s">
        <v>0</v>
      </c>
      <c r="G936" t="s">
        <v>10</v>
      </c>
      <c r="H936" t="b">
        <v>0</v>
      </c>
      <c r="I936" t="b">
        <v>0</v>
      </c>
      <c r="J936" t="b">
        <v>0</v>
      </c>
      <c r="K936" t="b">
        <v>0</v>
      </c>
      <c r="L936" t="s">
        <v>2397</v>
      </c>
      <c r="M936" t="s">
        <v>235</v>
      </c>
      <c r="N936" t="s">
        <v>5</v>
      </c>
      <c r="O936" t="b">
        <v>0</v>
      </c>
      <c r="P936">
        <v>5</v>
      </c>
      <c r="Q936" t="s">
        <v>478</v>
      </c>
      <c r="R936" t="s">
        <v>479</v>
      </c>
      <c r="S936">
        <v>65</v>
      </c>
      <c r="T936" t="s">
        <v>83</v>
      </c>
      <c r="U936" t="s">
        <v>480</v>
      </c>
      <c r="V936" t="s">
        <v>111</v>
      </c>
      <c r="W936">
        <v>9</v>
      </c>
      <c r="X936" t="s">
        <v>6</v>
      </c>
      <c r="Z936" t="s">
        <v>5</v>
      </c>
      <c r="AA936" t="s">
        <v>15</v>
      </c>
      <c r="AC936" t="s">
        <v>9</v>
      </c>
      <c r="AD936">
        <v>424</v>
      </c>
    </row>
    <row r="937" spans="1:30" x14ac:dyDescent="0.3">
      <c r="A937">
        <v>18187079</v>
      </c>
      <c r="B937" s="3">
        <v>45673</v>
      </c>
      <c r="C937">
        <v>2025</v>
      </c>
      <c r="D937">
        <v>1</v>
      </c>
      <c r="E937" t="s">
        <v>1579</v>
      </c>
      <c r="F937" t="s">
        <v>0</v>
      </c>
      <c r="G937" t="s">
        <v>1</v>
      </c>
      <c r="H937" t="b">
        <v>0</v>
      </c>
      <c r="I937" t="b">
        <v>1</v>
      </c>
      <c r="J937" t="b">
        <v>0</v>
      </c>
      <c r="K937" t="b">
        <v>0</v>
      </c>
      <c r="L937" t="s">
        <v>2398</v>
      </c>
      <c r="M937" t="s">
        <v>1140</v>
      </c>
      <c r="N937" t="s">
        <v>140</v>
      </c>
      <c r="O937" t="b">
        <v>0</v>
      </c>
      <c r="P937">
        <v>15</v>
      </c>
      <c r="Q937" t="s">
        <v>588</v>
      </c>
      <c r="R937" t="s">
        <v>589</v>
      </c>
      <c r="S937" t="s">
        <v>5</v>
      </c>
      <c r="T937" t="s">
        <v>812</v>
      </c>
      <c r="U937" t="s">
        <v>591</v>
      </c>
      <c r="V937" t="s">
        <v>592</v>
      </c>
      <c r="W937">
        <v>54</v>
      </c>
      <c r="X937" t="s">
        <v>6</v>
      </c>
      <c r="Y937">
        <v>73</v>
      </c>
      <c r="Z937" t="s">
        <v>67</v>
      </c>
      <c r="AA937" t="s">
        <v>8</v>
      </c>
      <c r="AB937">
        <v>79</v>
      </c>
      <c r="AC937" t="s">
        <v>32</v>
      </c>
      <c r="AD937">
        <v>436</v>
      </c>
    </row>
    <row r="938" spans="1:30" x14ac:dyDescent="0.3">
      <c r="A938">
        <v>18191420</v>
      </c>
      <c r="B938" s="3">
        <v>45674</v>
      </c>
      <c r="C938">
        <v>2025</v>
      </c>
      <c r="D938">
        <v>1</v>
      </c>
      <c r="E938" t="s">
        <v>1579</v>
      </c>
      <c r="F938" t="s">
        <v>0</v>
      </c>
      <c r="G938" t="s">
        <v>1</v>
      </c>
      <c r="H938" t="b">
        <v>0</v>
      </c>
      <c r="I938" t="b">
        <v>1</v>
      </c>
      <c r="J938" t="b">
        <v>0</v>
      </c>
      <c r="K938" t="b">
        <v>0</v>
      </c>
      <c r="L938" t="s">
        <v>2399</v>
      </c>
      <c r="M938" t="s">
        <v>2400</v>
      </c>
      <c r="N938" t="s">
        <v>174</v>
      </c>
      <c r="O938" t="b">
        <v>0</v>
      </c>
      <c r="P938">
        <v>3</v>
      </c>
      <c r="Q938" t="s">
        <v>181</v>
      </c>
      <c r="R938" t="s">
        <v>182</v>
      </c>
      <c r="S938">
        <v>58</v>
      </c>
      <c r="T938" t="s">
        <v>291</v>
      </c>
      <c r="U938" t="s">
        <v>184</v>
      </c>
      <c r="V938" t="s">
        <v>5</v>
      </c>
      <c r="W938">
        <v>28</v>
      </c>
      <c r="X938" t="s">
        <v>6</v>
      </c>
      <c r="Y938">
        <v>19</v>
      </c>
      <c r="Z938" t="s">
        <v>61</v>
      </c>
      <c r="AA938" t="s">
        <v>8</v>
      </c>
      <c r="AB938">
        <v>70</v>
      </c>
      <c r="AC938" t="s">
        <v>32</v>
      </c>
      <c r="AD938">
        <v>435</v>
      </c>
    </row>
    <row r="939" spans="1:30" x14ac:dyDescent="0.3">
      <c r="A939">
        <v>18198148</v>
      </c>
      <c r="B939" s="3">
        <v>45688</v>
      </c>
      <c r="C939">
        <v>2025</v>
      </c>
      <c r="D939">
        <v>1</v>
      </c>
      <c r="E939" t="s">
        <v>1579</v>
      </c>
      <c r="F939" t="s">
        <v>0</v>
      </c>
      <c r="G939" t="s">
        <v>151</v>
      </c>
      <c r="H939" t="b">
        <v>0</v>
      </c>
      <c r="I939" t="b">
        <v>1</v>
      </c>
      <c r="J939" t="b">
        <v>0</v>
      </c>
      <c r="K939" t="b">
        <v>1</v>
      </c>
      <c r="L939" t="s">
        <v>2401</v>
      </c>
      <c r="M939" t="s">
        <v>2402</v>
      </c>
      <c r="N939" t="s">
        <v>140</v>
      </c>
      <c r="O939" t="b">
        <v>0</v>
      </c>
      <c r="P939">
        <v>9</v>
      </c>
      <c r="Q939" t="s">
        <v>333</v>
      </c>
      <c r="R939" t="s">
        <v>334</v>
      </c>
      <c r="S939">
        <v>48</v>
      </c>
      <c r="T939" t="s">
        <v>1495</v>
      </c>
      <c r="U939" t="s">
        <v>210</v>
      </c>
      <c r="V939" t="s">
        <v>5</v>
      </c>
      <c r="W939">
        <v>2</v>
      </c>
      <c r="X939" t="s">
        <v>14</v>
      </c>
      <c r="Y939">
        <v>77</v>
      </c>
      <c r="Z939" t="s">
        <v>67</v>
      </c>
      <c r="AA939" t="s">
        <v>8</v>
      </c>
      <c r="AC939" t="s">
        <v>32</v>
      </c>
      <c r="AD939">
        <v>421</v>
      </c>
    </row>
    <row r="940" spans="1:30" x14ac:dyDescent="0.3">
      <c r="A940">
        <v>18203511</v>
      </c>
      <c r="B940" s="3">
        <v>45666</v>
      </c>
      <c r="C940">
        <v>2025</v>
      </c>
      <c r="D940">
        <v>1</v>
      </c>
      <c r="E940" t="s">
        <v>1579</v>
      </c>
      <c r="F940" t="s">
        <v>0</v>
      </c>
      <c r="G940" t="s">
        <v>10</v>
      </c>
      <c r="H940" t="b">
        <v>0</v>
      </c>
      <c r="I940" t="b">
        <v>0</v>
      </c>
      <c r="J940" t="b">
        <v>0</v>
      </c>
      <c r="K940" t="b">
        <v>0</v>
      </c>
      <c r="L940" t="s">
        <v>2403</v>
      </c>
      <c r="M940" t="s">
        <v>206</v>
      </c>
      <c r="N940" t="s">
        <v>5</v>
      </c>
      <c r="O940" t="b">
        <v>0</v>
      </c>
      <c r="P940">
        <v>5</v>
      </c>
      <c r="Q940" t="s">
        <v>588</v>
      </c>
      <c r="R940" t="s">
        <v>589</v>
      </c>
      <c r="S940" t="s">
        <v>5</v>
      </c>
      <c r="T940" t="s">
        <v>590</v>
      </c>
      <c r="U940" t="s">
        <v>591</v>
      </c>
      <c r="V940" t="s">
        <v>592</v>
      </c>
      <c r="W940">
        <v>11</v>
      </c>
      <c r="X940" t="s">
        <v>6</v>
      </c>
      <c r="Z940" t="s">
        <v>5</v>
      </c>
      <c r="AA940" t="s">
        <v>15</v>
      </c>
      <c r="AB940">
        <v>74</v>
      </c>
      <c r="AC940" t="s">
        <v>32</v>
      </c>
      <c r="AD940">
        <v>443</v>
      </c>
    </row>
    <row r="941" spans="1:30" x14ac:dyDescent="0.3">
      <c r="A941">
        <v>18219065</v>
      </c>
      <c r="B941" s="3">
        <v>45658</v>
      </c>
      <c r="C941">
        <v>2025</v>
      </c>
      <c r="D941">
        <v>1</v>
      </c>
      <c r="E941" t="s">
        <v>1579</v>
      </c>
      <c r="F941" t="s">
        <v>0</v>
      </c>
      <c r="G941" t="s">
        <v>1</v>
      </c>
      <c r="H941" t="b">
        <v>0</v>
      </c>
      <c r="I941" t="b">
        <v>1</v>
      </c>
      <c r="J941" t="b">
        <v>0</v>
      </c>
      <c r="K941" t="b">
        <v>0</v>
      </c>
      <c r="L941" t="s">
        <v>2404</v>
      </c>
      <c r="M941" t="s">
        <v>1012</v>
      </c>
      <c r="N941" t="s">
        <v>63</v>
      </c>
      <c r="O941" t="b">
        <v>0</v>
      </c>
      <c r="P941">
        <v>18</v>
      </c>
      <c r="Q941" t="s">
        <v>630</v>
      </c>
      <c r="R941" t="s">
        <v>5</v>
      </c>
      <c r="S941" t="s">
        <v>5</v>
      </c>
      <c r="T941" t="s">
        <v>590</v>
      </c>
      <c r="U941" t="s">
        <v>5</v>
      </c>
      <c r="V941" t="s">
        <v>5</v>
      </c>
      <c r="W941">
        <v>14</v>
      </c>
      <c r="X941" t="s">
        <v>6</v>
      </c>
      <c r="Y941">
        <v>67</v>
      </c>
      <c r="Z941" t="s">
        <v>67</v>
      </c>
      <c r="AA941" t="s">
        <v>8</v>
      </c>
      <c r="AB941">
        <v>63</v>
      </c>
      <c r="AC941" t="s">
        <v>32</v>
      </c>
      <c r="AD941">
        <v>451</v>
      </c>
    </row>
    <row r="942" spans="1:30" x14ac:dyDescent="0.3">
      <c r="A942">
        <v>18223122</v>
      </c>
      <c r="B942" s="3">
        <v>45678</v>
      </c>
      <c r="C942">
        <v>2025</v>
      </c>
      <c r="D942">
        <v>1</v>
      </c>
      <c r="E942" t="s">
        <v>1579</v>
      </c>
      <c r="F942" t="s">
        <v>0</v>
      </c>
      <c r="G942" t="s">
        <v>1</v>
      </c>
      <c r="H942" t="b">
        <v>0</v>
      </c>
      <c r="I942" t="b">
        <v>1</v>
      </c>
      <c r="J942" t="b">
        <v>0</v>
      </c>
      <c r="K942" t="b">
        <v>0</v>
      </c>
      <c r="L942" t="s">
        <v>2405</v>
      </c>
      <c r="M942" t="s">
        <v>882</v>
      </c>
      <c r="N942" t="s">
        <v>57</v>
      </c>
      <c r="O942" t="b">
        <v>1</v>
      </c>
      <c r="P942">
        <v>40</v>
      </c>
      <c r="Q942" t="s">
        <v>282</v>
      </c>
      <c r="R942" t="s">
        <v>5</v>
      </c>
      <c r="S942" t="s">
        <v>5</v>
      </c>
      <c r="T942" t="s">
        <v>283</v>
      </c>
      <c r="U942" t="s">
        <v>5</v>
      </c>
      <c r="V942" t="s">
        <v>5</v>
      </c>
      <c r="W942">
        <v>44</v>
      </c>
      <c r="X942" t="s">
        <v>6</v>
      </c>
      <c r="Y942">
        <v>56</v>
      </c>
      <c r="Z942" t="s">
        <v>7</v>
      </c>
      <c r="AA942" t="s">
        <v>8</v>
      </c>
      <c r="AB942">
        <v>58</v>
      </c>
      <c r="AC942" t="s">
        <v>32</v>
      </c>
      <c r="AD942">
        <v>431</v>
      </c>
    </row>
    <row r="943" spans="1:30" x14ac:dyDescent="0.3">
      <c r="A943">
        <v>18223656</v>
      </c>
      <c r="B943" s="3">
        <v>45674</v>
      </c>
      <c r="C943">
        <v>2025</v>
      </c>
      <c r="D943">
        <v>1</v>
      </c>
      <c r="E943" t="s">
        <v>1579</v>
      </c>
      <c r="F943" t="s">
        <v>0</v>
      </c>
      <c r="G943" t="s">
        <v>10</v>
      </c>
      <c r="H943" t="b">
        <v>0</v>
      </c>
      <c r="I943" t="b">
        <v>0</v>
      </c>
      <c r="J943" t="b">
        <v>0</v>
      </c>
      <c r="K943" t="b">
        <v>0</v>
      </c>
      <c r="L943" t="s">
        <v>2406</v>
      </c>
      <c r="M943" t="s">
        <v>647</v>
      </c>
      <c r="N943" t="s">
        <v>17</v>
      </c>
      <c r="O943" t="b">
        <v>0</v>
      </c>
      <c r="P943">
        <v>7</v>
      </c>
      <c r="Q943" t="s">
        <v>208</v>
      </c>
      <c r="R943" t="s">
        <v>286</v>
      </c>
      <c r="S943">
        <v>48</v>
      </c>
      <c r="T943" t="s">
        <v>161</v>
      </c>
      <c r="U943" t="s">
        <v>210</v>
      </c>
      <c r="V943" t="s">
        <v>5</v>
      </c>
      <c r="W943">
        <v>2</v>
      </c>
      <c r="X943" t="s">
        <v>14</v>
      </c>
      <c r="Y943">
        <v>72</v>
      </c>
      <c r="Z943" t="s">
        <v>67</v>
      </c>
      <c r="AA943" t="s">
        <v>8</v>
      </c>
      <c r="AB943">
        <v>63.05</v>
      </c>
      <c r="AC943" t="s">
        <v>32</v>
      </c>
      <c r="AD943">
        <v>435</v>
      </c>
    </row>
    <row r="944" spans="1:30" x14ac:dyDescent="0.3">
      <c r="A944">
        <v>18224165</v>
      </c>
      <c r="B944" s="3">
        <v>45663</v>
      </c>
      <c r="C944">
        <v>2025</v>
      </c>
      <c r="D944">
        <v>1</v>
      </c>
      <c r="E944" t="s">
        <v>1579</v>
      </c>
      <c r="F944" t="s">
        <v>0</v>
      </c>
      <c r="G944" t="s">
        <v>10</v>
      </c>
      <c r="H944" t="b">
        <v>0</v>
      </c>
      <c r="I944" t="b">
        <v>0</v>
      </c>
      <c r="J944" t="b">
        <v>0</v>
      </c>
      <c r="K944" t="b">
        <v>0</v>
      </c>
      <c r="L944" t="s">
        <v>2407</v>
      </c>
      <c r="M944" t="s">
        <v>1369</v>
      </c>
      <c r="N944" t="s">
        <v>174</v>
      </c>
      <c r="O944" t="b">
        <v>0</v>
      </c>
      <c r="P944">
        <v>4</v>
      </c>
      <c r="Q944" t="s">
        <v>935</v>
      </c>
      <c r="R944" t="s">
        <v>936</v>
      </c>
      <c r="S944">
        <v>42</v>
      </c>
      <c r="T944" t="s">
        <v>1076</v>
      </c>
      <c r="U944" t="s">
        <v>937</v>
      </c>
      <c r="V944" t="s">
        <v>938</v>
      </c>
      <c r="W944">
        <v>12</v>
      </c>
      <c r="X944" t="s">
        <v>6</v>
      </c>
      <c r="Y944">
        <v>40</v>
      </c>
      <c r="Z944" t="s">
        <v>61</v>
      </c>
      <c r="AA944" t="s">
        <v>15</v>
      </c>
      <c r="AB944">
        <v>64.852999999999994</v>
      </c>
      <c r="AC944" t="s">
        <v>32</v>
      </c>
      <c r="AD944">
        <v>446</v>
      </c>
    </row>
    <row r="945" spans="1:30" x14ac:dyDescent="0.3">
      <c r="A945">
        <v>18233477</v>
      </c>
      <c r="B945" s="3">
        <v>45687</v>
      </c>
      <c r="C945">
        <v>2025</v>
      </c>
      <c r="D945">
        <v>1</v>
      </c>
      <c r="E945" t="s">
        <v>1579</v>
      </c>
      <c r="F945" t="s">
        <v>0</v>
      </c>
      <c r="G945" t="s">
        <v>384</v>
      </c>
      <c r="H945" t="b">
        <v>1</v>
      </c>
      <c r="I945" t="b">
        <v>1</v>
      </c>
      <c r="J945" t="b">
        <v>1</v>
      </c>
      <c r="K945" t="b">
        <v>0</v>
      </c>
      <c r="L945" t="s">
        <v>2408</v>
      </c>
      <c r="M945" t="s">
        <v>1279</v>
      </c>
      <c r="N945" t="s">
        <v>207</v>
      </c>
      <c r="O945" t="b">
        <v>0</v>
      </c>
      <c r="P945">
        <v>39</v>
      </c>
      <c r="Q945" t="s">
        <v>245</v>
      </c>
      <c r="R945" t="s">
        <v>246</v>
      </c>
      <c r="S945">
        <v>48</v>
      </c>
      <c r="T945" t="s">
        <v>247</v>
      </c>
      <c r="U945" t="s">
        <v>210</v>
      </c>
      <c r="V945" t="s">
        <v>248</v>
      </c>
      <c r="W945">
        <v>48</v>
      </c>
      <c r="X945" t="s">
        <v>6</v>
      </c>
      <c r="Y945">
        <v>77</v>
      </c>
      <c r="Z945" t="s">
        <v>67</v>
      </c>
      <c r="AA945" t="s">
        <v>8</v>
      </c>
      <c r="AB945">
        <v>55</v>
      </c>
      <c r="AC945" t="s">
        <v>101</v>
      </c>
      <c r="AD945">
        <v>422</v>
      </c>
    </row>
    <row r="946" spans="1:30" x14ac:dyDescent="0.3">
      <c r="A946">
        <v>18234810</v>
      </c>
      <c r="B946" s="3">
        <v>45666</v>
      </c>
      <c r="C946">
        <v>2025</v>
      </c>
      <c r="D946">
        <v>1</v>
      </c>
      <c r="E946" t="s">
        <v>1579</v>
      </c>
      <c r="F946" t="s">
        <v>125</v>
      </c>
      <c r="G946" t="s">
        <v>10</v>
      </c>
      <c r="H946" t="b">
        <v>0</v>
      </c>
      <c r="I946" t="b">
        <v>0</v>
      </c>
      <c r="J946" t="b">
        <v>0</v>
      </c>
      <c r="K946" t="b">
        <v>0</v>
      </c>
      <c r="L946" t="s">
        <v>1466</v>
      </c>
      <c r="M946" t="s">
        <v>1104</v>
      </c>
      <c r="N946" t="s">
        <v>5</v>
      </c>
      <c r="O946" t="b">
        <v>0</v>
      </c>
      <c r="P946">
        <v>2</v>
      </c>
      <c r="Q946" t="s">
        <v>289</v>
      </c>
      <c r="R946" t="s">
        <v>290</v>
      </c>
      <c r="S946" t="s">
        <v>5</v>
      </c>
      <c r="T946" t="s">
        <v>183</v>
      </c>
      <c r="U946" t="s">
        <v>271</v>
      </c>
      <c r="V946" t="s">
        <v>292</v>
      </c>
      <c r="W946">
        <v>1</v>
      </c>
      <c r="X946" t="s">
        <v>31</v>
      </c>
      <c r="Z946" t="s">
        <v>5</v>
      </c>
      <c r="AA946" t="s">
        <v>8</v>
      </c>
      <c r="AC946" t="s">
        <v>32</v>
      </c>
      <c r="AD946">
        <v>443</v>
      </c>
    </row>
    <row r="947" spans="1:30" x14ac:dyDescent="0.3">
      <c r="A947">
        <v>18248477</v>
      </c>
      <c r="B947" s="3">
        <v>45667</v>
      </c>
      <c r="C947">
        <v>2025</v>
      </c>
      <c r="D947">
        <v>1</v>
      </c>
      <c r="E947" t="s">
        <v>1579</v>
      </c>
      <c r="F947" t="s">
        <v>0</v>
      </c>
      <c r="G947" t="s">
        <v>10</v>
      </c>
      <c r="H947" t="b">
        <v>0</v>
      </c>
      <c r="I947" t="b">
        <v>0</v>
      </c>
      <c r="J947" t="b">
        <v>0</v>
      </c>
      <c r="K947" t="b">
        <v>0</v>
      </c>
      <c r="L947" t="s">
        <v>2409</v>
      </c>
      <c r="M947" t="s">
        <v>378</v>
      </c>
      <c r="N947" t="s">
        <v>5</v>
      </c>
      <c r="O947" t="b">
        <v>0</v>
      </c>
      <c r="P947">
        <v>9</v>
      </c>
      <c r="Q947" t="s">
        <v>1556</v>
      </c>
      <c r="R947" t="s">
        <v>1557</v>
      </c>
      <c r="S947" t="s">
        <v>5</v>
      </c>
      <c r="T947" t="s">
        <v>83</v>
      </c>
      <c r="U947" t="s">
        <v>271</v>
      </c>
      <c r="V947" t="s">
        <v>5</v>
      </c>
      <c r="W947">
        <v>4</v>
      </c>
      <c r="X947" t="s">
        <v>40</v>
      </c>
      <c r="Z947" t="s">
        <v>5</v>
      </c>
      <c r="AA947" t="s">
        <v>15</v>
      </c>
      <c r="AC947" t="s">
        <v>32</v>
      </c>
      <c r="AD947">
        <v>442</v>
      </c>
    </row>
    <row r="948" spans="1:30" x14ac:dyDescent="0.3">
      <c r="A948">
        <v>18251112</v>
      </c>
      <c r="B948" s="3">
        <v>45677</v>
      </c>
      <c r="C948">
        <v>2025</v>
      </c>
      <c r="D948">
        <v>1</v>
      </c>
      <c r="E948" t="s">
        <v>1579</v>
      </c>
      <c r="F948" t="s">
        <v>125</v>
      </c>
      <c r="G948" t="s">
        <v>10</v>
      </c>
      <c r="H948" t="b">
        <v>0</v>
      </c>
      <c r="I948" t="b">
        <v>0</v>
      </c>
      <c r="J948" t="b">
        <v>0</v>
      </c>
      <c r="K948" t="b">
        <v>0</v>
      </c>
      <c r="L948" t="s">
        <v>2410</v>
      </c>
      <c r="M948" t="s">
        <v>267</v>
      </c>
      <c r="N948" t="s">
        <v>5</v>
      </c>
      <c r="O948" t="b">
        <v>0</v>
      </c>
      <c r="P948">
        <v>5</v>
      </c>
      <c r="Q948" t="s">
        <v>853</v>
      </c>
      <c r="R948" t="s">
        <v>854</v>
      </c>
      <c r="S948">
        <v>58</v>
      </c>
      <c r="T948" t="s">
        <v>855</v>
      </c>
      <c r="U948" t="s">
        <v>834</v>
      </c>
      <c r="V948" t="s">
        <v>5</v>
      </c>
      <c r="W948">
        <v>8</v>
      </c>
      <c r="X948" t="s">
        <v>6</v>
      </c>
      <c r="Z948" t="s">
        <v>5</v>
      </c>
      <c r="AA948" t="s">
        <v>5</v>
      </c>
      <c r="AC948" t="s">
        <v>32</v>
      </c>
      <c r="AD948">
        <v>432</v>
      </c>
    </row>
    <row r="949" spans="1:30" x14ac:dyDescent="0.3">
      <c r="A949">
        <v>18251231</v>
      </c>
      <c r="B949" s="3">
        <v>45667</v>
      </c>
      <c r="C949">
        <v>2025</v>
      </c>
      <c r="D949">
        <v>1</v>
      </c>
      <c r="E949" t="s">
        <v>1579</v>
      </c>
      <c r="F949" t="s">
        <v>0</v>
      </c>
      <c r="G949" t="s">
        <v>1</v>
      </c>
      <c r="H949" t="b">
        <v>0</v>
      </c>
      <c r="I949" t="b">
        <v>1</v>
      </c>
      <c r="J949" t="b">
        <v>0</v>
      </c>
      <c r="K949" t="b">
        <v>0</v>
      </c>
      <c r="L949" t="s">
        <v>2411</v>
      </c>
      <c r="M949" t="s">
        <v>432</v>
      </c>
      <c r="N949" t="s">
        <v>21</v>
      </c>
      <c r="O949" t="b">
        <v>0</v>
      </c>
      <c r="P949">
        <v>36</v>
      </c>
      <c r="Q949" t="s">
        <v>227</v>
      </c>
      <c r="R949" t="s">
        <v>256</v>
      </c>
      <c r="S949">
        <v>65</v>
      </c>
      <c r="T949" t="s">
        <v>83</v>
      </c>
      <c r="U949" t="s">
        <v>258</v>
      </c>
      <c r="V949" t="s">
        <v>259</v>
      </c>
      <c r="W949">
        <v>11</v>
      </c>
      <c r="X949" t="s">
        <v>6</v>
      </c>
      <c r="Y949">
        <v>60</v>
      </c>
      <c r="Z949" t="s">
        <v>7</v>
      </c>
      <c r="AA949" t="s">
        <v>8</v>
      </c>
      <c r="AB949">
        <v>81</v>
      </c>
      <c r="AC949" t="s">
        <v>9</v>
      </c>
      <c r="AD949">
        <v>442</v>
      </c>
    </row>
    <row r="950" spans="1:30" x14ac:dyDescent="0.3">
      <c r="A950">
        <v>18253466</v>
      </c>
      <c r="B950" s="3">
        <v>45660</v>
      </c>
      <c r="C950">
        <v>2025</v>
      </c>
      <c r="D950">
        <v>1</v>
      </c>
      <c r="E950" t="s">
        <v>1579</v>
      </c>
      <c r="F950" t="s">
        <v>0</v>
      </c>
      <c r="G950" t="s">
        <v>10</v>
      </c>
      <c r="H950" t="b">
        <v>0</v>
      </c>
      <c r="I950" t="b">
        <v>0</v>
      </c>
      <c r="J950" t="b">
        <v>0</v>
      </c>
      <c r="K950" t="b">
        <v>0</v>
      </c>
      <c r="L950" t="s">
        <v>2412</v>
      </c>
      <c r="M950" t="s">
        <v>1363</v>
      </c>
      <c r="N950" t="s">
        <v>57</v>
      </c>
      <c r="O950" t="b">
        <v>1</v>
      </c>
      <c r="P950">
        <v>2</v>
      </c>
      <c r="Q950" t="s">
        <v>499</v>
      </c>
      <c r="R950" t="s">
        <v>500</v>
      </c>
      <c r="S950">
        <v>41</v>
      </c>
      <c r="T950" t="s">
        <v>992</v>
      </c>
      <c r="U950" t="s">
        <v>501</v>
      </c>
      <c r="V950" t="s">
        <v>130</v>
      </c>
      <c r="W950">
        <v>2</v>
      </c>
      <c r="X950" t="s">
        <v>14</v>
      </c>
      <c r="Y950">
        <v>13</v>
      </c>
      <c r="Z950" t="s">
        <v>19</v>
      </c>
      <c r="AA950" t="s">
        <v>8</v>
      </c>
      <c r="AB950">
        <v>54.3</v>
      </c>
      <c r="AC950" t="s">
        <v>9</v>
      </c>
      <c r="AD950">
        <v>449</v>
      </c>
    </row>
    <row r="951" spans="1:30" x14ac:dyDescent="0.3">
      <c r="A951">
        <v>18254163</v>
      </c>
      <c r="B951" s="3">
        <v>45676</v>
      </c>
      <c r="C951">
        <v>2025</v>
      </c>
      <c r="D951">
        <v>1</v>
      </c>
      <c r="E951" t="s">
        <v>1579</v>
      </c>
      <c r="F951" t="s">
        <v>0</v>
      </c>
      <c r="G951" t="s">
        <v>1</v>
      </c>
      <c r="H951" t="b">
        <v>0</v>
      </c>
      <c r="I951" t="b">
        <v>1</v>
      </c>
      <c r="J951" t="b">
        <v>0</v>
      </c>
      <c r="K951" t="b">
        <v>0</v>
      </c>
      <c r="L951" t="s">
        <v>2413</v>
      </c>
      <c r="M951" t="s">
        <v>430</v>
      </c>
      <c r="N951" t="s">
        <v>21</v>
      </c>
      <c r="O951" t="b">
        <v>0</v>
      </c>
      <c r="P951">
        <v>18</v>
      </c>
      <c r="Q951" t="s">
        <v>347</v>
      </c>
      <c r="R951" t="s">
        <v>348</v>
      </c>
      <c r="S951">
        <v>65</v>
      </c>
      <c r="T951" t="s">
        <v>83</v>
      </c>
      <c r="U951" t="s">
        <v>349</v>
      </c>
      <c r="V951" t="s">
        <v>350</v>
      </c>
      <c r="W951">
        <v>15</v>
      </c>
      <c r="X951" t="s">
        <v>6</v>
      </c>
      <c r="Z951" t="s">
        <v>5</v>
      </c>
      <c r="AA951" t="s">
        <v>5</v>
      </c>
      <c r="AC951" t="s">
        <v>9</v>
      </c>
      <c r="AD951">
        <v>433</v>
      </c>
    </row>
    <row r="952" spans="1:30" x14ac:dyDescent="0.3">
      <c r="A952">
        <v>18258116</v>
      </c>
      <c r="B952" s="3">
        <v>45672</v>
      </c>
      <c r="C952">
        <v>2025</v>
      </c>
      <c r="D952">
        <v>1</v>
      </c>
      <c r="E952" t="s">
        <v>1579</v>
      </c>
      <c r="F952" t="s">
        <v>0</v>
      </c>
      <c r="G952" t="s">
        <v>10</v>
      </c>
      <c r="H952" t="b">
        <v>0</v>
      </c>
      <c r="I952" t="b">
        <v>0</v>
      </c>
      <c r="J952" t="b">
        <v>0</v>
      </c>
      <c r="K952" t="b">
        <v>0</v>
      </c>
      <c r="L952" t="s">
        <v>1386</v>
      </c>
      <c r="M952" t="s">
        <v>206</v>
      </c>
      <c r="N952" t="s">
        <v>57</v>
      </c>
      <c r="O952" t="b">
        <v>1</v>
      </c>
      <c r="P952">
        <v>2</v>
      </c>
      <c r="Q952" t="s">
        <v>499</v>
      </c>
      <c r="R952" t="s">
        <v>500</v>
      </c>
      <c r="S952">
        <v>41</v>
      </c>
      <c r="T952" t="s">
        <v>2414</v>
      </c>
      <c r="U952" t="s">
        <v>501</v>
      </c>
      <c r="V952" t="s">
        <v>130</v>
      </c>
      <c r="W952">
        <v>4</v>
      </c>
      <c r="X952" t="s">
        <v>40</v>
      </c>
      <c r="Y952">
        <v>13</v>
      </c>
      <c r="Z952" t="s">
        <v>19</v>
      </c>
      <c r="AA952" t="s">
        <v>8</v>
      </c>
      <c r="AB952">
        <v>72</v>
      </c>
      <c r="AC952" t="s">
        <v>9</v>
      </c>
      <c r="AD952">
        <v>437</v>
      </c>
    </row>
    <row r="953" spans="1:30" x14ac:dyDescent="0.3">
      <c r="A953">
        <v>18258616</v>
      </c>
      <c r="B953" s="3">
        <v>45678</v>
      </c>
      <c r="C953">
        <v>2025</v>
      </c>
      <c r="D953">
        <v>1</v>
      </c>
      <c r="E953" t="s">
        <v>1579</v>
      </c>
      <c r="F953" t="s">
        <v>0</v>
      </c>
      <c r="G953" t="s">
        <v>1</v>
      </c>
      <c r="H953" t="b">
        <v>0</v>
      </c>
      <c r="I953" t="b">
        <v>1</v>
      </c>
      <c r="J953" t="b">
        <v>0</v>
      </c>
      <c r="K953" t="b">
        <v>0</v>
      </c>
      <c r="L953" t="s">
        <v>2415</v>
      </c>
      <c r="M953" t="s">
        <v>1572</v>
      </c>
      <c r="N953" t="s">
        <v>5</v>
      </c>
      <c r="O953" t="b">
        <v>0</v>
      </c>
      <c r="P953">
        <v>2</v>
      </c>
      <c r="Q953" t="s">
        <v>208</v>
      </c>
      <c r="R953" t="s">
        <v>286</v>
      </c>
      <c r="S953" t="s">
        <v>5</v>
      </c>
      <c r="T953" t="s">
        <v>5</v>
      </c>
      <c r="U953" t="s">
        <v>210</v>
      </c>
      <c r="V953" t="s">
        <v>5</v>
      </c>
      <c r="W953">
        <v>1</v>
      </c>
      <c r="X953" t="s">
        <v>31</v>
      </c>
      <c r="Y953">
        <v>83</v>
      </c>
      <c r="Z953" t="s">
        <v>196</v>
      </c>
      <c r="AA953" t="s">
        <v>8</v>
      </c>
      <c r="AC953" t="s">
        <v>32</v>
      </c>
      <c r="AD953">
        <v>431</v>
      </c>
    </row>
    <row r="954" spans="1:30" x14ac:dyDescent="0.3">
      <c r="A954">
        <v>18258729</v>
      </c>
      <c r="B954" s="3">
        <v>45679</v>
      </c>
      <c r="C954">
        <v>2025</v>
      </c>
      <c r="D954">
        <v>1</v>
      </c>
      <c r="E954" t="s">
        <v>1579</v>
      </c>
      <c r="F954" t="s">
        <v>0</v>
      </c>
      <c r="G954" t="s">
        <v>16</v>
      </c>
      <c r="H954" t="b">
        <v>0</v>
      </c>
      <c r="I954" t="b">
        <v>1</v>
      </c>
      <c r="J954" t="b">
        <v>1</v>
      </c>
      <c r="K954" t="b">
        <v>0</v>
      </c>
      <c r="L954" t="s">
        <v>2416</v>
      </c>
      <c r="M954" t="s">
        <v>1056</v>
      </c>
      <c r="N954" t="s">
        <v>12</v>
      </c>
      <c r="O954" t="b">
        <v>1</v>
      </c>
      <c r="P954">
        <v>11</v>
      </c>
      <c r="Q954" t="s">
        <v>933</v>
      </c>
      <c r="R954" t="s">
        <v>934</v>
      </c>
      <c r="S954" t="s">
        <v>5</v>
      </c>
      <c r="T954" t="s">
        <v>134</v>
      </c>
      <c r="U954" t="s">
        <v>897</v>
      </c>
      <c r="V954" t="s">
        <v>898</v>
      </c>
      <c r="W954">
        <v>22</v>
      </c>
      <c r="X954" t="s">
        <v>6</v>
      </c>
      <c r="Y954">
        <v>67</v>
      </c>
      <c r="Z954" t="s">
        <v>67</v>
      </c>
      <c r="AA954" t="s">
        <v>8</v>
      </c>
      <c r="AB954">
        <v>57</v>
      </c>
      <c r="AC954" t="s">
        <v>9</v>
      </c>
      <c r="AD954">
        <v>430</v>
      </c>
    </row>
    <row r="955" spans="1:30" x14ac:dyDescent="0.3">
      <c r="A955">
        <v>18259034</v>
      </c>
      <c r="B955" s="3">
        <v>45686</v>
      </c>
      <c r="C955">
        <v>2025</v>
      </c>
      <c r="D955">
        <v>1</v>
      </c>
      <c r="E955" t="s">
        <v>1579</v>
      </c>
      <c r="F955" t="s">
        <v>0</v>
      </c>
      <c r="G955" t="s">
        <v>50</v>
      </c>
      <c r="H955" t="b">
        <v>1</v>
      </c>
      <c r="I955" t="b">
        <v>0</v>
      </c>
      <c r="J955" t="b">
        <v>0</v>
      </c>
      <c r="K955" t="b">
        <v>0</v>
      </c>
      <c r="L955" t="s">
        <v>2417</v>
      </c>
      <c r="M955" t="s">
        <v>833</v>
      </c>
      <c r="N955" t="s">
        <v>5</v>
      </c>
      <c r="O955" t="b">
        <v>0</v>
      </c>
      <c r="P955">
        <v>3</v>
      </c>
      <c r="Q955" t="s">
        <v>949</v>
      </c>
      <c r="R955" t="s">
        <v>950</v>
      </c>
      <c r="S955">
        <v>48</v>
      </c>
      <c r="T955" t="s">
        <v>266</v>
      </c>
      <c r="U955" t="s">
        <v>951</v>
      </c>
      <c r="V955" t="s">
        <v>5</v>
      </c>
      <c r="W955">
        <v>12</v>
      </c>
      <c r="X955" t="s">
        <v>6</v>
      </c>
      <c r="Z955" t="s">
        <v>5</v>
      </c>
      <c r="AA955" t="s">
        <v>15</v>
      </c>
      <c r="AC955" t="s">
        <v>32</v>
      </c>
      <c r="AD955">
        <v>423</v>
      </c>
    </row>
    <row r="956" spans="1:30" x14ac:dyDescent="0.3">
      <c r="A956">
        <v>18265810</v>
      </c>
      <c r="B956" s="3">
        <v>45688</v>
      </c>
      <c r="C956">
        <v>2025</v>
      </c>
      <c r="D956">
        <v>1</v>
      </c>
      <c r="E956" t="s">
        <v>1579</v>
      </c>
      <c r="F956" t="s">
        <v>0</v>
      </c>
      <c r="G956" t="s">
        <v>10</v>
      </c>
      <c r="H956" t="b">
        <v>0</v>
      </c>
      <c r="I956" t="b">
        <v>0</v>
      </c>
      <c r="J956" t="b">
        <v>0</v>
      </c>
      <c r="K956" t="b">
        <v>0</v>
      </c>
      <c r="L956" t="s">
        <v>2418</v>
      </c>
      <c r="M956" t="s">
        <v>1163</v>
      </c>
      <c r="N956" t="s">
        <v>5</v>
      </c>
      <c r="O956" t="b">
        <v>0</v>
      </c>
      <c r="P956">
        <v>5</v>
      </c>
      <c r="Q956" t="s">
        <v>367</v>
      </c>
      <c r="R956" t="s">
        <v>368</v>
      </c>
      <c r="S956">
        <v>65</v>
      </c>
      <c r="T956" t="s">
        <v>60</v>
      </c>
      <c r="U956" t="s">
        <v>81</v>
      </c>
      <c r="V956" t="s">
        <v>82</v>
      </c>
      <c r="W956">
        <v>1</v>
      </c>
      <c r="X956" t="s">
        <v>31</v>
      </c>
      <c r="Y956">
        <v>49</v>
      </c>
      <c r="Z956" t="s">
        <v>7</v>
      </c>
      <c r="AA956" t="s">
        <v>15</v>
      </c>
      <c r="AC956" t="s">
        <v>32</v>
      </c>
      <c r="AD956">
        <v>421</v>
      </c>
    </row>
    <row r="957" spans="1:30" x14ac:dyDescent="0.3">
      <c r="A957">
        <v>18268130</v>
      </c>
      <c r="B957" s="3">
        <v>45660</v>
      </c>
      <c r="C957">
        <v>2025</v>
      </c>
      <c r="D957">
        <v>1</v>
      </c>
      <c r="E957" t="s">
        <v>1579</v>
      </c>
      <c r="F957" t="s">
        <v>0</v>
      </c>
      <c r="G957" t="s">
        <v>10</v>
      </c>
      <c r="H957" t="b">
        <v>0</v>
      </c>
      <c r="I957" t="b">
        <v>0</v>
      </c>
      <c r="J957" t="b">
        <v>0</v>
      </c>
      <c r="K957" t="b">
        <v>0</v>
      </c>
      <c r="L957" t="s">
        <v>2419</v>
      </c>
      <c r="M957" t="s">
        <v>1022</v>
      </c>
      <c r="N957" t="s">
        <v>5</v>
      </c>
      <c r="O957" t="b">
        <v>0</v>
      </c>
      <c r="P957">
        <v>5</v>
      </c>
      <c r="Q957" t="s">
        <v>1198</v>
      </c>
      <c r="R957" t="s">
        <v>1199</v>
      </c>
      <c r="S957">
        <v>37</v>
      </c>
      <c r="T957" t="s">
        <v>5</v>
      </c>
      <c r="U957" t="s">
        <v>1200</v>
      </c>
      <c r="V957" t="s">
        <v>1201</v>
      </c>
      <c r="W957">
        <v>1</v>
      </c>
      <c r="X957" t="s">
        <v>31</v>
      </c>
      <c r="Z957" t="s">
        <v>5</v>
      </c>
      <c r="AA957" t="s">
        <v>5</v>
      </c>
      <c r="AC957" t="s">
        <v>32</v>
      </c>
      <c r="AD957">
        <v>449</v>
      </c>
    </row>
    <row r="958" spans="1:30" x14ac:dyDescent="0.3">
      <c r="A958">
        <v>18268211</v>
      </c>
      <c r="B958" s="3">
        <v>45660</v>
      </c>
      <c r="C958">
        <v>2025</v>
      </c>
      <c r="D958">
        <v>1</v>
      </c>
      <c r="E958" t="s">
        <v>1579</v>
      </c>
      <c r="F958" t="s">
        <v>0</v>
      </c>
      <c r="G958" t="s">
        <v>10</v>
      </c>
      <c r="H958" t="b">
        <v>0</v>
      </c>
      <c r="I958" t="b">
        <v>0</v>
      </c>
      <c r="J958" t="b">
        <v>0</v>
      </c>
      <c r="K958" t="b">
        <v>0</v>
      </c>
      <c r="L958" t="s">
        <v>2420</v>
      </c>
      <c r="M958" t="s">
        <v>1022</v>
      </c>
      <c r="N958" t="s">
        <v>5</v>
      </c>
      <c r="O958" t="b">
        <v>0</v>
      </c>
      <c r="P958">
        <v>5</v>
      </c>
      <c r="Q958" t="s">
        <v>1198</v>
      </c>
      <c r="R958" t="s">
        <v>1199</v>
      </c>
      <c r="S958">
        <v>37</v>
      </c>
      <c r="T958" t="s">
        <v>5</v>
      </c>
      <c r="U958" t="s">
        <v>1200</v>
      </c>
      <c r="V958" t="s">
        <v>1201</v>
      </c>
      <c r="W958">
        <v>2</v>
      </c>
      <c r="X958" t="s">
        <v>14</v>
      </c>
      <c r="Z958" t="s">
        <v>5</v>
      </c>
      <c r="AA958" t="s">
        <v>5</v>
      </c>
      <c r="AC958" t="s">
        <v>32</v>
      </c>
      <c r="AD958">
        <v>449</v>
      </c>
    </row>
    <row r="959" spans="1:30" x14ac:dyDescent="0.3">
      <c r="A959">
        <v>18268414</v>
      </c>
      <c r="B959" s="3">
        <v>45687</v>
      </c>
      <c r="C959">
        <v>2025</v>
      </c>
      <c r="D959">
        <v>1</v>
      </c>
      <c r="E959" t="s">
        <v>1579</v>
      </c>
      <c r="F959" t="s">
        <v>125</v>
      </c>
      <c r="G959" t="s">
        <v>10</v>
      </c>
      <c r="H959" t="b">
        <v>0</v>
      </c>
      <c r="I959" t="b">
        <v>0</v>
      </c>
      <c r="J959" t="b">
        <v>0</v>
      </c>
      <c r="K959" t="b">
        <v>0</v>
      </c>
      <c r="L959" t="s">
        <v>2421</v>
      </c>
      <c r="M959" t="s">
        <v>965</v>
      </c>
      <c r="N959" t="s">
        <v>17</v>
      </c>
      <c r="O959" t="b">
        <v>0</v>
      </c>
      <c r="P959">
        <v>11</v>
      </c>
      <c r="Q959" t="s">
        <v>588</v>
      </c>
      <c r="R959" t="s">
        <v>589</v>
      </c>
      <c r="S959" t="s">
        <v>5</v>
      </c>
      <c r="T959" t="s">
        <v>590</v>
      </c>
      <c r="U959" t="s">
        <v>591</v>
      </c>
      <c r="V959" t="s">
        <v>592</v>
      </c>
      <c r="W959">
        <v>46</v>
      </c>
      <c r="X959" t="s">
        <v>6</v>
      </c>
      <c r="Y959">
        <v>8</v>
      </c>
      <c r="Z959" t="s">
        <v>46</v>
      </c>
      <c r="AA959" t="s">
        <v>15</v>
      </c>
      <c r="AB959">
        <v>25</v>
      </c>
      <c r="AC959" t="s">
        <v>32</v>
      </c>
      <c r="AD959">
        <v>422</v>
      </c>
    </row>
    <row r="960" spans="1:30" x14ac:dyDescent="0.3">
      <c r="A960">
        <v>18273891</v>
      </c>
      <c r="B960" s="3">
        <v>45658</v>
      </c>
      <c r="C960">
        <v>2025</v>
      </c>
      <c r="D960">
        <v>1</v>
      </c>
      <c r="E960" t="s">
        <v>1579</v>
      </c>
      <c r="F960" t="s">
        <v>125</v>
      </c>
      <c r="G960" t="s">
        <v>10</v>
      </c>
      <c r="H960" t="b">
        <v>0</v>
      </c>
      <c r="I960" t="b">
        <v>0</v>
      </c>
      <c r="J960" t="b">
        <v>0</v>
      </c>
      <c r="K960" t="b">
        <v>0</v>
      </c>
      <c r="L960" t="s">
        <v>2422</v>
      </c>
      <c r="M960" t="s">
        <v>1180</v>
      </c>
      <c r="N960" t="s">
        <v>5</v>
      </c>
      <c r="O960" t="b">
        <v>0</v>
      </c>
      <c r="P960">
        <v>3</v>
      </c>
      <c r="Q960" t="s">
        <v>132</v>
      </c>
      <c r="R960" t="s">
        <v>133</v>
      </c>
      <c r="S960">
        <v>65</v>
      </c>
      <c r="T960" t="s">
        <v>134</v>
      </c>
      <c r="U960" t="s">
        <v>23</v>
      </c>
      <c r="V960" t="s">
        <v>24</v>
      </c>
      <c r="W960">
        <v>2</v>
      </c>
      <c r="X960" t="s">
        <v>14</v>
      </c>
      <c r="Y960">
        <v>62</v>
      </c>
      <c r="Z960" t="s">
        <v>7</v>
      </c>
      <c r="AA960" t="s">
        <v>15</v>
      </c>
      <c r="AC960" t="s">
        <v>32</v>
      </c>
      <c r="AD960">
        <v>451</v>
      </c>
    </row>
    <row r="961" spans="1:30" x14ac:dyDescent="0.3">
      <c r="A961">
        <v>18274552</v>
      </c>
      <c r="B961" s="3">
        <v>45678</v>
      </c>
      <c r="C961">
        <v>2025</v>
      </c>
      <c r="D961">
        <v>1</v>
      </c>
      <c r="E961" t="s">
        <v>1579</v>
      </c>
      <c r="F961" t="s">
        <v>0</v>
      </c>
      <c r="G961" t="s">
        <v>1</v>
      </c>
      <c r="H961" t="b">
        <v>0</v>
      </c>
      <c r="I961" t="b">
        <v>1</v>
      </c>
      <c r="J961" t="b">
        <v>0</v>
      </c>
      <c r="K961" t="b">
        <v>0</v>
      </c>
      <c r="L961" t="s">
        <v>843</v>
      </c>
      <c r="M961" t="s">
        <v>843</v>
      </c>
      <c r="N961" t="s">
        <v>5</v>
      </c>
      <c r="O961" t="b">
        <v>0</v>
      </c>
      <c r="P961">
        <v>1</v>
      </c>
      <c r="Q961" t="s">
        <v>2423</v>
      </c>
      <c r="R961" t="s">
        <v>2424</v>
      </c>
      <c r="S961">
        <v>48</v>
      </c>
      <c r="T961" t="s">
        <v>5</v>
      </c>
      <c r="U961" t="s">
        <v>72</v>
      </c>
      <c r="V961" t="s">
        <v>108</v>
      </c>
      <c r="W961">
        <v>1</v>
      </c>
      <c r="X961" t="s">
        <v>31</v>
      </c>
      <c r="Z961" t="s">
        <v>5</v>
      </c>
      <c r="AA961" t="s">
        <v>5</v>
      </c>
      <c r="AC961" t="s">
        <v>32</v>
      </c>
      <c r="AD961">
        <v>431</v>
      </c>
    </row>
    <row r="962" spans="1:30" x14ac:dyDescent="0.3">
      <c r="A962">
        <v>18274971</v>
      </c>
      <c r="B962" s="3">
        <v>45660</v>
      </c>
      <c r="C962">
        <v>2025</v>
      </c>
      <c r="D962">
        <v>1</v>
      </c>
      <c r="E962" t="s">
        <v>1579</v>
      </c>
      <c r="F962" t="s">
        <v>0</v>
      </c>
      <c r="G962" t="s">
        <v>10</v>
      </c>
      <c r="H962" t="b">
        <v>0</v>
      </c>
      <c r="I962" t="b">
        <v>0</v>
      </c>
      <c r="J962" t="b">
        <v>0</v>
      </c>
      <c r="K962" t="b">
        <v>0</v>
      </c>
      <c r="L962" t="s">
        <v>2425</v>
      </c>
      <c r="M962" t="s">
        <v>1022</v>
      </c>
      <c r="N962" t="s">
        <v>12</v>
      </c>
      <c r="O962" t="b">
        <v>1</v>
      </c>
      <c r="P962">
        <v>4</v>
      </c>
      <c r="Q962" t="s">
        <v>1198</v>
      </c>
      <c r="R962" t="s">
        <v>1199</v>
      </c>
      <c r="S962">
        <v>37</v>
      </c>
      <c r="T962" t="s">
        <v>5</v>
      </c>
      <c r="U962" t="s">
        <v>1200</v>
      </c>
      <c r="V962" t="s">
        <v>1201</v>
      </c>
      <c r="W962">
        <v>2</v>
      </c>
      <c r="X962" t="s">
        <v>14</v>
      </c>
      <c r="Z962" t="s">
        <v>5</v>
      </c>
      <c r="AA962" t="s">
        <v>5</v>
      </c>
      <c r="AC962" t="s">
        <v>32</v>
      </c>
      <c r="AD962">
        <v>449</v>
      </c>
    </row>
    <row r="963" spans="1:30" x14ac:dyDescent="0.3">
      <c r="A963">
        <v>18283654</v>
      </c>
      <c r="B963" s="3">
        <v>45674</v>
      </c>
      <c r="C963">
        <v>2025</v>
      </c>
      <c r="D963">
        <v>1</v>
      </c>
      <c r="E963" t="s">
        <v>1579</v>
      </c>
      <c r="F963" t="s">
        <v>125</v>
      </c>
      <c r="G963" t="s">
        <v>10</v>
      </c>
      <c r="H963" t="b">
        <v>0</v>
      </c>
      <c r="I963" t="b">
        <v>0</v>
      </c>
      <c r="J963" t="b">
        <v>0</v>
      </c>
      <c r="K963" t="b">
        <v>0</v>
      </c>
      <c r="L963" t="s">
        <v>2426</v>
      </c>
      <c r="M963" t="s">
        <v>918</v>
      </c>
      <c r="N963" t="s">
        <v>63</v>
      </c>
      <c r="O963" t="b">
        <v>0</v>
      </c>
      <c r="P963">
        <v>5</v>
      </c>
      <c r="Q963" t="s">
        <v>879</v>
      </c>
      <c r="R963" t="s">
        <v>880</v>
      </c>
      <c r="S963" t="s">
        <v>5</v>
      </c>
      <c r="T963" t="s">
        <v>422</v>
      </c>
      <c r="U963" t="s">
        <v>881</v>
      </c>
      <c r="V963" t="s">
        <v>5</v>
      </c>
      <c r="W963">
        <v>4</v>
      </c>
      <c r="X963" t="s">
        <v>40</v>
      </c>
      <c r="Y963">
        <v>54</v>
      </c>
      <c r="Z963" t="s">
        <v>7</v>
      </c>
      <c r="AA963" t="s">
        <v>15</v>
      </c>
      <c r="AB963">
        <v>104.33</v>
      </c>
      <c r="AC963" t="s">
        <v>32</v>
      </c>
      <c r="AD963">
        <v>435</v>
      </c>
    </row>
    <row r="964" spans="1:30" x14ac:dyDescent="0.3">
      <c r="A964">
        <v>18283655</v>
      </c>
      <c r="B964" s="3">
        <v>45671</v>
      </c>
      <c r="C964">
        <v>2025</v>
      </c>
      <c r="D964">
        <v>1</v>
      </c>
      <c r="E964" t="s">
        <v>1579</v>
      </c>
      <c r="F964" t="s">
        <v>0</v>
      </c>
      <c r="G964" t="s">
        <v>10</v>
      </c>
      <c r="H964" t="b">
        <v>0</v>
      </c>
      <c r="I964" t="b">
        <v>0</v>
      </c>
      <c r="J964" t="b">
        <v>0</v>
      </c>
      <c r="K964" t="b">
        <v>0</v>
      </c>
      <c r="L964" t="s">
        <v>2427</v>
      </c>
      <c r="M964" t="s">
        <v>717</v>
      </c>
      <c r="N964" t="s">
        <v>5</v>
      </c>
      <c r="O964" t="b">
        <v>0</v>
      </c>
      <c r="P964">
        <v>2</v>
      </c>
      <c r="Q964" t="s">
        <v>738</v>
      </c>
      <c r="R964" t="s">
        <v>5</v>
      </c>
      <c r="S964">
        <v>42</v>
      </c>
      <c r="T964" t="s">
        <v>739</v>
      </c>
      <c r="U964" t="s">
        <v>5</v>
      </c>
      <c r="V964" t="s">
        <v>5</v>
      </c>
      <c r="W964">
        <v>3</v>
      </c>
      <c r="X964" t="s">
        <v>14</v>
      </c>
      <c r="Y964">
        <v>24</v>
      </c>
      <c r="Z964" t="s">
        <v>61</v>
      </c>
      <c r="AA964" t="s">
        <v>15</v>
      </c>
      <c r="AB964">
        <v>70</v>
      </c>
      <c r="AC964" t="s">
        <v>32</v>
      </c>
      <c r="AD964">
        <v>438</v>
      </c>
    </row>
    <row r="965" spans="1:30" x14ac:dyDescent="0.3">
      <c r="A965">
        <v>18285226</v>
      </c>
      <c r="B965" s="3">
        <v>45688</v>
      </c>
      <c r="C965">
        <v>2025</v>
      </c>
      <c r="D965">
        <v>1</v>
      </c>
      <c r="E965" t="s">
        <v>1579</v>
      </c>
      <c r="F965" t="s">
        <v>0</v>
      </c>
      <c r="G965" t="s">
        <v>10</v>
      </c>
      <c r="H965" t="b">
        <v>0</v>
      </c>
      <c r="I965" t="b">
        <v>0</v>
      </c>
      <c r="J965" t="b">
        <v>0</v>
      </c>
      <c r="K965" t="b">
        <v>0</v>
      </c>
      <c r="L965" t="s">
        <v>2428</v>
      </c>
      <c r="M965" t="s">
        <v>586</v>
      </c>
      <c r="N965" t="s">
        <v>17</v>
      </c>
      <c r="O965" t="b">
        <v>0</v>
      </c>
      <c r="P965">
        <v>5</v>
      </c>
      <c r="Q965" t="s">
        <v>245</v>
      </c>
      <c r="R965" t="s">
        <v>246</v>
      </c>
      <c r="S965" t="s">
        <v>5</v>
      </c>
      <c r="T965" t="s">
        <v>5</v>
      </c>
      <c r="U965" t="s">
        <v>210</v>
      </c>
      <c r="V965" t="s">
        <v>248</v>
      </c>
      <c r="W965">
        <v>3</v>
      </c>
      <c r="X965" t="s">
        <v>14</v>
      </c>
      <c r="Y965">
        <v>58</v>
      </c>
      <c r="Z965" t="s">
        <v>7</v>
      </c>
      <c r="AA965" t="s">
        <v>8</v>
      </c>
      <c r="AC965" t="s">
        <v>32</v>
      </c>
      <c r="AD965">
        <v>421</v>
      </c>
    </row>
    <row r="966" spans="1:30" x14ac:dyDescent="0.3">
      <c r="A966">
        <v>18287040</v>
      </c>
      <c r="B966" s="3">
        <v>45664</v>
      </c>
      <c r="C966">
        <v>2025</v>
      </c>
      <c r="D966">
        <v>1</v>
      </c>
      <c r="E966" t="s">
        <v>1579</v>
      </c>
      <c r="F966" t="s">
        <v>125</v>
      </c>
      <c r="G966" t="s">
        <v>10</v>
      </c>
      <c r="H966" t="b">
        <v>0</v>
      </c>
      <c r="I966" t="b">
        <v>0</v>
      </c>
      <c r="J966" t="b">
        <v>0</v>
      </c>
      <c r="K966" t="b">
        <v>0</v>
      </c>
      <c r="L966" t="s">
        <v>2429</v>
      </c>
      <c r="M966" t="s">
        <v>1162</v>
      </c>
      <c r="N966" t="s">
        <v>17</v>
      </c>
      <c r="O966" t="b">
        <v>0</v>
      </c>
      <c r="P966">
        <v>3</v>
      </c>
      <c r="Q966" t="s">
        <v>442</v>
      </c>
      <c r="R966" t="s">
        <v>443</v>
      </c>
      <c r="S966" t="s">
        <v>5</v>
      </c>
      <c r="T966" t="s">
        <v>382</v>
      </c>
      <c r="U966" t="s">
        <v>271</v>
      </c>
      <c r="V966" t="s">
        <v>383</v>
      </c>
      <c r="W966">
        <v>2</v>
      </c>
      <c r="X966" t="s">
        <v>14</v>
      </c>
      <c r="Z966" t="s">
        <v>5</v>
      </c>
      <c r="AA966" t="s">
        <v>15</v>
      </c>
      <c r="AC966" t="s">
        <v>32</v>
      </c>
      <c r="AD966">
        <v>445</v>
      </c>
    </row>
    <row r="967" spans="1:30" x14ac:dyDescent="0.3">
      <c r="A967">
        <v>18287351</v>
      </c>
      <c r="B967" s="3">
        <v>45660</v>
      </c>
      <c r="C967">
        <v>2025</v>
      </c>
      <c r="D967">
        <v>1</v>
      </c>
      <c r="E967" t="s">
        <v>1579</v>
      </c>
      <c r="F967" t="s">
        <v>0</v>
      </c>
      <c r="G967" t="s">
        <v>10</v>
      </c>
      <c r="H967" t="b">
        <v>0</v>
      </c>
      <c r="I967" t="b">
        <v>0</v>
      </c>
      <c r="J967" t="b">
        <v>0</v>
      </c>
      <c r="K967" t="b">
        <v>0</v>
      </c>
      <c r="L967" t="s">
        <v>2430</v>
      </c>
      <c r="M967" t="s">
        <v>438</v>
      </c>
      <c r="N967" t="s">
        <v>63</v>
      </c>
      <c r="O967" t="b">
        <v>0</v>
      </c>
      <c r="P967">
        <v>15</v>
      </c>
      <c r="Q967" t="s">
        <v>600</v>
      </c>
      <c r="R967" t="s">
        <v>890</v>
      </c>
      <c r="S967">
        <v>58</v>
      </c>
      <c r="T967" t="s">
        <v>773</v>
      </c>
      <c r="U967" t="s">
        <v>891</v>
      </c>
      <c r="V967" t="s">
        <v>5</v>
      </c>
      <c r="W967">
        <v>4</v>
      </c>
      <c r="X967" t="s">
        <v>40</v>
      </c>
      <c r="Z967" t="s">
        <v>5</v>
      </c>
      <c r="AA967" t="s">
        <v>15</v>
      </c>
      <c r="AC967" t="s">
        <v>716</v>
      </c>
      <c r="AD967">
        <v>449</v>
      </c>
    </row>
    <row r="968" spans="1:30" x14ac:dyDescent="0.3">
      <c r="A968">
        <v>18287446</v>
      </c>
      <c r="B968" s="3">
        <v>45680</v>
      </c>
      <c r="C968">
        <v>2025</v>
      </c>
      <c r="D968">
        <v>1</v>
      </c>
      <c r="E968" t="s">
        <v>1579</v>
      </c>
      <c r="F968" t="s">
        <v>0</v>
      </c>
      <c r="G968" t="s">
        <v>50</v>
      </c>
      <c r="H968" t="b">
        <v>1</v>
      </c>
      <c r="I968" t="b">
        <v>0</v>
      </c>
      <c r="J968" t="b">
        <v>0</v>
      </c>
      <c r="K968" t="b">
        <v>0</v>
      </c>
      <c r="L968" t="s">
        <v>2431</v>
      </c>
      <c r="M968" t="s">
        <v>50</v>
      </c>
      <c r="N968" t="s">
        <v>57</v>
      </c>
      <c r="O968" t="b">
        <v>1</v>
      </c>
      <c r="P968">
        <v>8</v>
      </c>
      <c r="Q968" t="s">
        <v>471</v>
      </c>
      <c r="R968" t="s">
        <v>472</v>
      </c>
      <c r="S968">
        <v>65</v>
      </c>
      <c r="T968" t="s">
        <v>993</v>
      </c>
      <c r="U968" t="s">
        <v>473</v>
      </c>
      <c r="V968" t="s">
        <v>5</v>
      </c>
      <c r="W968">
        <v>19</v>
      </c>
      <c r="X968" t="s">
        <v>6</v>
      </c>
      <c r="Z968" t="s">
        <v>5</v>
      </c>
      <c r="AA968" t="s">
        <v>5</v>
      </c>
      <c r="AC968" t="s">
        <v>9</v>
      </c>
      <c r="AD968">
        <v>429</v>
      </c>
    </row>
    <row r="969" spans="1:30" x14ac:dyDescent="0.3">
      <c r="A969">
        <v>18287736</v>
      </c>
      <c r="B969" s="3">
        <v>45660</v>
      </c>
      <c r="C969">
        <v>2025</v>
      </c>
      <c r="D969">
        <v>1</v>
      </c>
      <c r="E969" t="s">
        <v>1579</v>
      </c>
      <c r="F969" t="s">
        <v>125</v>
      </c>
      <c r="G969" t="s">
        <v>10</v>
      </c>
      <c r="H969" t="b">
        <v>0</v>
      </c>
      <c r="I969" t="b">
        <v>0</v>
      </c>
      <c r="J969" t="b">
        <v>0</v>
      </c>
      <c r="K969" t="b">
        <v>0</v>
      </c>
      <c r="L969" t="s">
        <v>2432</v>
      </c>
      <c r="M969" t="s">
        <v>54</v>
      </c>
      <c r="N969" t="s">
        <v>21</v>
      </c>
      <c r="O969" t="b">
        <v>0</v>
      </c>
      <c r="P969">
        <v>2</v>
      </c>
      <c r="Q969" t="s">
        <v>455</v>
      </c>
      <c r="R969" t="s">
        <v>456</v>
      </c>
      <c r="S969">
        <v>58</v>
      </c>
      <c r="T969" t="s">
        <v>62</v>
      </c>
      <c r="U969" t="s">
        <v>23</v>
      </c>
      <c r="V969" t="s">
        <v>458</v>
      </c>
      <c r="W969">
        <v>6</v>
      </c>
      <c r="X969" t="s">
        <v>6</v>
      </c>
      <c r="Y969">
        <v>53</v>
      </c>
      <c r="Z969" t="s">
        <v>7</v>
      </c>
      <c r="AA969" t="s">
        <v>8</v>
      </c>
      <c r="AB969">
        <v>79.55</v>
      </c>
      <c r="AC969" t="s">
        <v>32</v>
      </c>
      <c r="AD969">
        <v>449</v>
      </c>
    </row>
    <row r="970" spans="1:30" x14ac:dyDescent="0.3">
      <c r="A970">
        <v>18288336</v>
      </c>
      <c r="B970" s="3">
        <v>45685</v>
      </c>
      <c r="C970">
        <v>2025</v>
      </c>
      <c r="D970">
        <v>1</v>
      </c>
      <c r="E970" t="s">
        <v>1579</v>
      </c>
      <c r="F970" t="s">
        <v>0</v>
      </c>
      <c r="G970" t="s">
        <v>151</v>
      </c>
      <c r="H970" t="b">
        <v>0</v>
      </c>
      <c r="I970" t="b">
        <v>1</v>
      </c>
      <c r="J970" t="b">
        <v>0</v>
      </c>
      <c r="K970" t="b">
        <v>1</v>
      </c>
      <c r="L970" t="s">
        <v>2433</v>
      </c>
      <c r="M970" t="s">
        <v>463</v>
      </c>
      <c r="N970" t="s">
        <v>21</v>
      </c>
      <c r="O970" t="b">
        <v>0</v>
      </c>
      <c r="P970">
        <v>55</v>
      </c>
      <c r="Q970" t="s">
        <v>1001</v>
      </c>
      <c r="R970" t="s">
        <v>1002</v>
      </c>
      <c r="S970">
        <v>65</v>
      </c>
      <c r="T970" t="s">
        <v>80</v>
      </c>
      <c r="U970" t="s">
        <v>1003</v>
      </c>
      <c r="V970" t="s">
        <v>1004</v>
      </c>
      <c r="W970">
        <v>113</v>
      </c>
      <c r="X970" t="s">
        <v>5</v>
      </c>
      <c r="Y970">
        <v>45</v>
      </c>
      <c r="Z970" t="s">
        <v>7</v>
      </c>
      <c r="AA970" t="s">
        <v>8</v>
      </c>
      <c r="AB970">
        <v>97</v>
      </c>
      <c r="AC970" t="s">
        <v>9</v>
      </c>
      <c r="AD970">
        <v>424</v>
      </c>
    </row>
    <row r="971" spans="1:30" x14ac:dyDescent="0.3">
      <c r="A971">
        <v>18291160</v>
      </c>
      <c r="B971" s="3">
        <v>45659</v>
      </c>
      <c r="C971">
        <v>2025</v>
      </c>
      <c r="D971">
        <v>1</v>
      </c>
      <c r="E971" t="s">
        <v>1579</v>
      </c>
      <c r="F971" t="s">
        <v>125</v>
      </c>
      <c r="G971" t="s">
        <v>10</v>
      </c>
      <c r="H971" t="b">
        <v>0</v>
      </c>
      <c r="I971" t="b">
        <v>0</v>
      </c>
      <c r="J971" t="b">
        <v>0</v>
      </c>
      <c r="K971" t="b">
        <v>0</v>
      </c>
      <c r="L971" t="s">
        <v>2434</v>
      </c>
      <c r="M971" t="s">
        <v>714</v>
      </c>
      <c r="N971" t="s">
        <v>5</v>
      </c>
      <c r="O971" t="b">
        <v>0</v>
      </c>
      <c r="P971">
        <v>4</v>
      </c>
      <c r="Q971" t="s">
        <v>455</v>
      </c>
      <c r="R971" t="s">
        <v>456</v>
      </c>
      <c r="S971">
        <v>58</v>
      </c>
      <c r="T971" t="s">
        <v>714</v>
      </c>
      <c r="U971" t="s">
        <v>23</v>
      </c>
      <c r="V971" t="s">
        <v>458</v>
      </c>
      <c r="W971">
        <v>2</v>
      </c>
      <c r="X971" t="s">
        <v>14</v>
      </c>
      <c r="Z971" t="s">
        <v>5</v>
      </c>
      <c r="AA971" t="s">
        <v>8</v>
      </c>
      <c r="AC971" t="s">
        <v>32</v>
      </c>
      <c r="AD971">
        <v>450</v>
      </c>
    </row>
    <row r="972" spans="1:30" x14ac:dyDescent="0.3">
      <c r="A972">
        <v>18292572</v>
      </c>
      <c r="B972" s="3">
        <v>45673</v>
      </c>
      <c r="C972">
        <v>2025</v>
      </c>
      <c r="D972">
        <v>1</v>
      </c>
      <c r="E972" t="s">
        <v>1579</v>
      </c>
      <c r="F972" t="s">
        <v>0</v>
      </c>
      <c r="G972" t="s">
        <v>1</v>
      </c>
      <c r="H972" t="b">
        <v>0</v>
      </c>
      <c r="I972" t="b">
        <v>1</v>
      </c>
      <c r="J972" t="b">
        <v>0</v>
      </c>
      <c r="K972" t="b">
        <v>0</v>
      </c>
      <c r="L972" t="s">
        <v>2435</v>
      </c>
      <c r="M972" t="s">
        <v>409</v>
      </c>
      <c r="N972" t="s">
        <v>57</v>
      </c>
      <c r="O972" t="b">
        <v>1</v>
      </c>
      <c r="P972">
        <v>4</v>
      </c>
      <c r="Q972" t="s">
        <v>947</v>
      </c>
      <c r="R972" t="s">
        <v>1126</v>
      </c>
      <c r="S972">
        <v>65</v>
      </c>
      <c r="T972" t="s">
        <v>924</v>
      </c>
      <c r="U972" t="s">
        <v>1127</v>
      </c>
      <c r="V972" t="s">
        <v>5</v>
      </c>
      <c r="W972">
        <v>13</v>
      </c>
      <c r="X972" t="s">
        <v>6</v>
      </c>
      <c r="Y972">
        <v>55</v>
      </c>
      <c r="Z972" t="s">
        <v>7</v>
      </c>
      <c r="AA972" t="s">
        <v>8</v>
      </c>
      <c r="AC972" t="s">
        <v>9</v>
      </c>
      <c r="AD972">
        <v>436</v>
      </c>
    </row>
    <row r="973" spans="1:30" x14ac:dyDescent="0.3">
      <c r="A973">
        <v>18292703</v>
      </c>
      <c r="B973" s="3">
        <v>45688</v>
      </c>
      <c r="C973">
        <v>2025</v>
      </c>
      <c r="D973">
        <v>1</v>
      </c>
      <c r="E973" t="s">
        <v>1579</v>
      </c>
      <c r="F973" t="s">
        <v>0</v>
      </c>
      <c r="G973" t="s">
        <v>10</v>
      </c>
      <c r="H973" t="b">
        <v>0</v>
      </c>
      <c r="I973" t="b">
        <v>0</v>
      </c>
      <c r="J973" t="b">
        <v>0</v>
      </c>
      <c r="K973" t="b">
        <v>0</v>
      </c>
      <c r="L973" t="s">
        <v>2436</v>
      </c>
      <c r="M973" t="s">
        <v>351</v>
      </c>
      <c r="N973" t="s">
        <v>118</v>
      </c>
      <c r="O973" t="b">
        <v>0</v>
      </c>
      <c r="P973">
        <v>7</v>
      </c>
      <c r="Q973" t="s">
        <v>955</v>
      </c>
      <c r="R973" t="s">
        <v>956</v>
      </c>
      <c r="S973">
        <v>48</v>
      </c>
      <c r="T973" t="s">
        <v>594</v>
      </c>
      <c r="U973" t="s">
        <v>574</v>
      </c>
      <c r="V973" t="s">
        <v>778</v>
      </c>
      <c r="W973">
        <v>37</v>
      </c>
      <c r="X973" t="s">
        <v>6</v>
      </c>
      <c r="Y973">
        <v>53</v>
      </c>
      <c r="Z973" t="s">
        <v>7</v>
      </c>
      <c r="AA973" t="s">
        <v>8</v>
      </c>
      <c r="AC973" t="s">
        <v>32</v>
      </c>
      <c r="AD973">
        <v>421</v>
      </c>
    </row>
    <row r="974" spans="1:30" x14ac:dyDescent="0.3">
      <c r="A974">
        <v>18293034</v>
      </c>
      <c r="B974" s="3">
        <v>45680</v>
      </c>
      <c r="C974">
        <v>2025</v>
      </c>
      <c r="D974">
        <v>1</v>
      </c>
      <c r="E974" t="s">
        <v>1579</v>
      </c>
      <c r="F974" t="s">
        <v>125</v>
      </c>
      <c r="G974" t="s">
        <v>10</v>
      </c>
      <c r="H974" t="b">
        <v>0</v>
      </c>
      <c r="I974" t="b">
        <v>0</v>
      </c>
      <c r="J974" t="b">
        <v>0</v>
      </c>
      <c r="K974" t="b">
        <v>0</v>
      </c>
      <c r="L974" t="s">
        <v>2437</v>
      </c>
      <c r="M974" t="s">
        <v>1167</v>
      </c>
      <c r="N974" t="s">
        <v>21</v>
      </c>
      <c r="O974" t="b">
        <v>0</v>
      </c>
      <c r="P974">
        <v>4</v>
      </c>
      <c r="Q974" t="s">
        <v>1248</v>
      </c>
      <c r="R974" t="s">
        <v>1249</v>
      </c>
      <c r="S974">
        <v>48</v>
      </c>
      <c r="T974" t="s">
        <v>1250</v>
      </c>
      <c r="U974" t="s">
        <v>1251</v>
      </c>
      <c r="V974" t="s">
        <v>5</v>
      </c>
      <c r="W974">
        <v>12</v>
      </c>
      <c r="X974" t="s">
        <v>6</v>
      </c>
      <c r="Z974" t="s">
        <v>5</v>
      </c>
      <c r="AA974" t="s">
        <v>15</v>
      </c>
      <c r="AB974">
        <v>72.561999999999998</v>
      </c>
      <c r="AC974" t="s">
        <v>32</v>
      </c>
      <c r="AD974">
        <v>429</v>
      </c>
    </row>
    <row r="975" spans="1:30" x14ac:dyDescent="0.3">
      <c r="A975">
        <v>18298774</v>
      </c>
      <c r="B975" s="3">
        <v>45677</v>
      </c>
      <c r="C975">
        <v>2025</v>
      </c>
      <c r="D975">
        <v>1</v>
      </c>
      <c r="E975" t="s">
        <v>1579</v>
      </c>
      <c r="F975" t="s">
        <v>0</v>
      </c>
      <c r="G975" t="s">
        <v>10</v>
      </c>
      <c r="H975" t="b">
        <v>0</v>
      </c>
      <c r="I975" t="b">
        <v>0</v>
      </c>
      <c r="J975" t="b">
        <v>0</v>
      </c>
      <c r="K975" t="b">
        <v>0</v>
      </c>
      <c r="L975" t="s">
        <v>2438</v>
      </c>
      <c r="M975" t="s">
        <v>1338</v>
      </c>
      <c r="N975" t="s">
        <v>70</v>
      </c>
      <c r="O975" t="b">
        <v>0</v>
      </c>
      <c r="P975">
        <v>9</v>
      </c>
      <c r="Q975" t="s">
        <v>611</v>
      </c>
      <c r="R975" t="s">
        <v>612</v>
      </c>
      <c r="S975">
        <v>42</v>
      </c>
      <c r="T975" t="s">
        <v>291</v>
      </c>
      <c r="U975" t="s">
        <v>29</v>
      </c>
      <c r="V975" t="s">
        <v>130</v>
      </c>
      <c r="W975">
        <v>32</v>
      </c>
      <c r="X975" t="s">
        <v>6</v>
      </c>
      <c r="Z975" t="s">
        <v>5</v>
      </c>
      <c r="AA975" t="s">
        <v>5</v>
      </c>
      <c r="AC975" t="s">
        <v>9</v>
      </c>
      <c r="AD975">
        <v>432</v>
      </c>
    </row>
    <row r="976" spans="1:30" x14ac:dyDescent="0.3">
      <c r="A976">
        <v>18298822</v>
      </c>
      <c r="B976" s="3">
        <v>45671</v>
      </c>
      <c r="C976">
        <v>2025</v>
      </c>
      <c r="D976">
        <v>1</v>
      </c>
      <c r="E976" t="s">
        <v>1579</v>
      </c>
      <c r="F976" t="s">
        <v>0</v>
      </c>
      <c r="G976" t="s">
        <v>50</v>
      </c>
      <c r="H976" t="b">
        <v>1</v>
      </c>
      <c r="I976" t="b">
        <v>0</v>
      </c>
      <c r="J976" t="b">
        <v>0</v>
      </c>
      <c r="K976" t="b">
        <v>0</v>
      </c>
      <c r="L976" t="s">
        <v>2439</v>
      </c>
      <c r="M976" t="s">
        <v>50</v>
      </c>
      <c r="N976" t="s">
        <v>140</v>
      </c>
      <c r="O976" t="b">
        <v>0</v>
      </c>
      <c r="P976">
        <v>12</v>
      </c>
      <c r="Q976" t="s">
        <v>820</v>
      </c>
      <c r="R976" t="s">
        <v>821</v>
      </c>
      <c r="S976" t="s">
        <v>5</v>
      </c>
      <c r="T976" t="s">
        <v>822</v>
      </c>
      <c r="U976" t="s">
        <v>271</v>
      </c>
      <c r="V976" t="s">
        <v>823</v>
      </c>
      <c r="W976">
        <v>14</v>
      </c>
      <c r="X976" t="s">
        <v>6</v>
      </c>
      <c r="Y976">
        <v>87</v>
      </c>
      <c r="Z976" t="s">
        <v>196</v>
      </c>
      <c r="AA976" t="s">
        <v>8</v>
      </c>
      <c r="AB976">
        <v>55</v>
      </c>
      <c r="AC976" t="s">
        <v>32</v>
      </c>
      <c r="AD976">
        <v>438</v>
      </c>
    </row>
    <row r="977" spans="1:30" x14ac:dyDescent="0.3">
      <c r="A977">
        <v>18299194</v>
      </c>
      <c r="B977" s="3">
        <v>45664</v>
      </c>
      <c r="C977">
        <v>2025</v>
      </c>
      <c r="D977">
        <v>1</v>
      </c>
      <c r="E977" t="s">
        <v>1579</v>
      </c>
      <c r="F977" t="s">
        <v>125</v>
      </c>
      <c r="G977" t="s">
        <v>10</v>
      </c>
      <c r="H977" t="b">
        <v>0</v>
      </c>
      <c r="I977" t="b">
        <v>0</v>
      </c>
      <c r="J977" t="b">
        <v>0</v>
      </c>
      <c r="K977" t="b">
        <v>0</v>
      </c>
      <c r="L977" t="s">
        <v>2440</v>
      </c>
      <c r="M977" t="s">
        <v>742</v>
      </c>
      <c r="N977" t="s">
        <v>63</v>
      </c>
      <c r="O977" t="b">
        <v>0</v>
      </c>
      <c r="P977">
        <v>4</v>
      </c>
      <c r="Q977" t="s">
        <v>955</v>
      </c>
      <c r="R977" t="s">
        <v>956</v>
      </c>
      <c r="S977">
        <v>48</v>
      </c>
      <c r="T977" t="s">
        <v>594</v>
      </c>
      <c r="U977" t="s">
        <v>574</v>
      </c>
      <c r="V977" t="s">
        <v>778</v>
      </c>
      <c r="W977">
        <v>1</v>
      </c>
      <c r="X977" t="s">
        <v>31</v>
      </c>
      <c r="Y977">
        <v>62</v>
      </c>
      <c r="Z977" t="s">
        <v>7</v>
      </c>
      <c r="AA977" t="s">
        <v>8</v>
      </c>
      <c r="AC977" t="s">
        <v>32</v>
      </c>
      <c r="AD977">
        <v>445</v>
      </c>
    </row>
    <row r="978" spans="1:30" x14ac:dyDescent="0.3">
      <c r="A978">
        <v>18302861</v>
      </c>
      <c r="B978" s="3">
        <v>45666</v>
      </c>
      <c r="C978">
        <v>2025</v>
      </c>
      <c r="D978">
        <v>1</v>
      </c>
      <c r="E978" t="s">
        <v>1579</v>
      </c>
      <c r="F978" t="s">
        <v>0</v>
      </c>
      <c r="G978" t="s">
        <v>1</v>
      </c>
      <c r="H978" t="b">
        <v>0</v>
      </c>
      <c r="I978" t="b">
        <v>1</v>
      </c>
      <c r="J978" t="b">
        <v>0</v>
      </c>
      <c r="K978" t="b">
        <v>0</v>
      </c>
      <c r="L978" t="s">
        <v>2441</v>
      </c>
      <c r="M978" t="s">
        <v>838</v>
      </c>
      <c r="N978" t="s">
        <v>63</v>
      </c>
      <c r="O978" t="b">
        <v>0</v>
      </c>
      <c r="P978">
        <v>25</v>
      </c>
      <c r="Q978" t="s">
        <v>135</v>
      </c>
      <c r="R978" t="s">
        <v>136</v>
      </c>
      <c r="S978">
        <v>58</v>
      </c>
      <c r="T978" t="s">
        <v>299</v>
      </c>
      <c r="U978" t="s">
        <v>81</v>
      </c>
      <c r="V978" t="s">
        <v>137</v>
      </c>
      <c r="W978">
        <v>25</v>
      </c>
      <c r="X978" t="s">
        <v>6</v>
      </c>
      <c r="Y978">
        <v>45</v>
      </c>
      <c r="Z978" t="s">
        <v>7</v>
      </c>
      <c r="AA978" t="s">
        <v>8</v>
      </c>
      <c r="AB978">
        <v>95</v>
      </c>
      <c r="AC978" t="s">
        <v>377</v>
      </c>
      <c r="AD978">
        <v>443</v>
      </c>
    </row>
    <row r="979" spans="1:30" x14ac:dyDescent="0.3">
      <c r="A979">
        <v>18305553</v>
      </c>
      <c r="B979" s="3">
        <v>45678</v>
      </c>
      <c r="C979">
        <v>2025</v>
      </c>
      <c r="D979">
        <v>1</v>
      </c>
      <c r="E979" t="s">
        <v>1579</v>
      </c>
      <c r="F979" t="s">
        <v>0</v>
      </c>
      <c r="G979" t="s">
        <v>1</v>
      </c>
      <c r="H979" t="b">
        <v>0</v>
      </c>
      <c r="I979" t="b">
        <v>1</v>
      </c>
      <c r="J979" t="b">
        <v>0</v>
      </c>
      <c r="K979" t="b">
        <v>0</v>
      </c>
      <c r="L979" t="s">
        <v>2442</v>
      </c>
      <c r="M979" t="s">
        <v>1492</v>
      </c>
      <c r="N979" t="s">
        <v>63</v>
      </c>
      <c r="O979" t="b">
        <v>0</v>
      </c>
      <c r="P979">
        <v>14</v>
      </c>
      <c r="Q979" t="s">
        <v>588</v>
      </c>
      <c r="R979" t="s">
        <v>589</v>
      </c>
      <c r="S979" t="s">
        <v>5</v>
      </c>
      <c r="T979" t="s">
        <v>590</v>
      </c>
      <c r="U979" t="s">
        <v>591</v>
      </c>
      <c r="V979" t="s">
        <v>592</v>
      </c>
      <c r="W979">
        <v>31</v>
      </c>
      <c r="X979" t="s">
        <v>6</v>
      </c>
      <c r="Y979">
        <v>77</v>
      </c>
      <c r="Z979" t="s">
        <v>67</v>
      </c>
      <c r="AA979" t="s">
        <v>8</v>
      </c>
      <c r="AB979">
        <v>80.725999999999999</v>
      </c>
      <c r="AC979" t="s">
        <v>32</v>
      </c>
      <c r="AD979">
        <v>431</v>
      </c>
    </row>
    <row r="980" spans="1:30" x14ac:dyDescent="0.3">
      <c r="A980">
        <v>18305904</v>
      </c>
      <c r="B980" s="3">
        <v>45660</v>
      </c>
      <c r="C980">
        <v>2025</v>
      </c>
      <c r="D980">
        <v>1</v>
      </c>
      <c r="E980" t="s">
        <v>1579</v>
      </c>
      <c r="F980" t="s">
        <v>0</v>
      </c>
      <c r="G980" t="s">
        <v>10</v>
      </c>
      <c r="H980" t="b">
        <v>0</v>
      </c>
      <c r="I980" t="b">
        <v>0</v>
      </c>
      <c r="J980" t="b">
        <v>0</v>
      </c>
      <c r="K980" t="b">
        <v>0</v>
      </c>
      <c r="L980" t="s">
        <v>2443</v>
      </c>
      <c r="M980" t="s">
        <v>814</v>
      </c>
      <c r="N980" t="s">
        <v>21</v>
      </c>
      <c r="O980" t="b">
        <v>0</v>
      </c>
      <c r="P980">
        <v>12</v>
      </c>
      <c r="Q980" t="s">
        <v>78</v>
      </c>
      <c r="R980" t="s">
        <v>79</v>
      </c>
      <c r="S980">
        <v>42</v>
      </c>
      <c r="T980" t="s">
        <v>80</v>
      </c>
      <c r="U980" t="s">
        <v>81</v>
      </c>
      <c r="V980" t="s">
        <v>82</v>
      </c>
      <c r="W980">
        <v>24</v>
      </c>
      <c r="X980" t="s">
        <v>6</v>
      </c>
      <c r="Z980" t="s">
        <v>5</v>
      </c>
      <c r="AA980" t="s">
        <v>5</v>
      </c>
      <c r="AC980" t="s">
        <v>9</v>
      </c>
      <c r="AD980">
        <v>449</v>
      </c>
    </row>
    <row r="981" spans="1:30" x14ac:dyDescent="0.3">
      <c r="A981">
        <v>18310093</v>
      </c>
      <c r="B981" s="3">
        <v>45662</v>
      </c>
      <c r="C981">
        <v>2025</v>
      </c>
      <c r="D981">
        <v>1</v>
      </c>
      <c r="E981" t="s">
        <v>1579</v>
      </c>
      <c r="F981" t="s">
        <v>125</v>
      </c>
      <c r="G981" t="s">
        <v>10</v>
      </c>
      <c r="H981" t="b">
        <v>0</v>
      </c>
      <c r="I981" t="b">
        <v>0</v>
      </c>
      <c r="J981" t="b">
        <v>0</v>
      </c>
      <c r="K981" t="b">
        <v>0</v>
      </c>
      <c r="L981" t="s">
        <v>2444</v>
      </c>
      <c r="M981" t="s">
        <v>911</v>
      </c>
      <c r="N981" t="s">
        <v>5</v>
      </c>
      <c r="O981" t="b">
        <v>0</v>
      </c>
      <c r="P981">
        <v>6</v>
      </c>
      <c r="Q981" t="s">
        <v>455</v>
      </c>
      <c r="R981" t="s">
        <v>456</v>
      </c>
      <c r="S981">
        <v>58</v>
      </c>
      <c r="T981" t="s">
        <v>457</v>
      </c>
      <c r="U981" t="s">
        <v>23</v>
      </c>
      <c r="V981" t="s">
        <v>458</v>
      </c>
      <c r="W981">
        <v>2</v>
      </c>
      <c r="X981" t="s">
        <v>14</v>
      </c>
      <c r="Y981">
        <v>48</v>
      </c>
      <c r="Z981" t="s">
        <v>7</v>
      </c>
      <c r="AA981" t="s">
        <v>15</v>
      </c>
      <c r="AC981" t="s">
        <v>32</v>
      </c>
      <c r="AD981">
        <v>447</v>
      </c>
    </row>
    <row r="982" spans="1:30" x14ac:dyDescent="0.3">
      <c r="A982">
        <v>18310258</v>
      </c>
      <c r="B982" s="3">
        <v>45686</v>
      </c>
      <c r="C982">
        <v>2025</v>
      </c>
      <c r="D982">
        <v>1</v>
      </c>
      <c r="E982" t="s">
        <v>1579</v>
      </c>
      <c r="F982" t="s">
        <v>0</v>
      </c>
      <c r="G982" t="s">
        <v>10</v>
      </c>
      <c r="H982" t="b">
        <v>0</v>
      </c>
      <c r="I982" t="b">
        <v>0</v>
      </c>
      <c r="J982" t="b">
        <v>0</v>
      </c>
      <c r="K982" t="b">
        <v>0</v>
      </c>
      <c r="L982" t="s">
        <v>2445</v>
      </c>
      <c r="M982" t="s">
        <v>1416</v>
      </c>
      <c r="N982" t="s">
        <v>5</v>
      </c>
      <c r="O982" t="b">
        <v>0</v>
      </c>
      <c r="P982">
        <v>27</v>
      </c>
      <c r="Q982" t="s">
        <v>632</v>
      </c>
      <c r="R982" t="s">
        <v>633</v>
      </c>
      <c r="S982">
        <v>45</v>
      </c>
      <c r="T982" t="s">
        <v>83</v>
      </c>
      <c r="U982" t="s">
        <v>634</v>
      </c>
      <c r="V982" t="s">
        <v>5</v>
      </c>
      <c r="W982">
        <v>6</v>
      </c>
      <c r="X982" t="s">
        <v>6</v>
      </c>
      <c r="Z982" t="s">
        <v>5</v>
      </c>
      <c r="AA982" t="s">
        <v>8</v>
      </c>
      <c r="AC982" t="s">
        <v>25</v>
      </c>
      <c r="AD982">
        <v>423</v>
      </c>
    </row>
    <row r="983" spans="1:30" x14ac:dyDescent="0.3">
      <c r="A983">
        <v>18325460</v>
      </c>
      <c r="B983" s="3">
        <v>45666</v>
      </c>
      <c r="C983">
        <v>2025</v>
      </c>
      <c r="D983">
        <v>1</v>
      </c>
      <c r="E983" t="s">
        <v>1579</v>
      </c>
      <c r="F983" t="s">
        <v>125</v>
      </c>
      <c r="G983" t="s">
        <v>10</v>
      </c>
      <c r="H983" t="b">
        <v>0</v>
      </c>
      <c r="I983" t="b">
        <v>0</v>
      </c>
      <c r="J983" t="b">
        <v>0</v>
      </c>
      <c r="K983" t="b">
        <v>0</v>
      </c>
      <c r="L983" t="s">
        <v>308</v>
      </c>
      <c r="M983" t="s">
        <v>308</v>
      </c>
      <c r="N983" t="s">
        <v>5</v>
      </c>
      <c r="O983" t="b">
        <v>0</v>
      </c>
      <c r="P983">
        <v>1</v>
      </c>
      <c r="Q983" t="s">
        <v>1532</v>
      </c>
      <c r="R983" t="s">
        <v>1533</v>
      </c>
      <c r="S983">
        <v>65</v>
      </c>
      <c r="T983" t="s">
        <v>83</v>
      </c>
      <c r="U983" t="s">
        <v>4</v>
      </c>
      <c r="V983" t="s">
        <v>5</v>
      </c>
      <c r="W983">
        <v>1</v>
      </c>
      <c r="X983" t="s">
        <v>31</v>
      </c>
      <c r="Z983" t="s">
        <v>5</v>
      </c>
      <c r="AA983" t="s">
        <v>8</v>
      </c>
      <c r="AC983" t="s">
        <v>32</v>
      </c>
      <c r="AD983">
        <v>443</v>
      </c>
    </row>
    <row r="984" spans="1:30" x14ac:dyDescent="0.3">
      <c r="A984">
        <v>18328148</v>
      </c>
      <c r="B984" s="3">
        <v>45686</v>
      </c>
      <c r="C984">
        <v>2025</v>
      </c>
      <c r="D984">
        <v>1</v>
      </c>
      <c r="E984" t="s">
        <v>1579</v>
      </c>
      <c r="F984" t="s">
        <v>0</v>
      </c>
      <c r="G984" t="s">
        <v>10</v>
      </c>
      <c r="H984" t="b">
        <v>0</v>
      </c>
      <c r="I984" t="b">
        <v>0</v>
      </c>
      <c r="J984" t="b">
        <v>0</v>
      </c>
      <c r="K984" t="b">
        <v>0</v>
      </c>
      <c r="L984" t="s">
        <v>2446</v>
      </c>
      <c r="M984" t="s">
        <v>2447</v>
      </c>
      <c r="N984" t="s">
        <v>118</v>
      </c>
      <c r="O984" t="b">
        <v>0</v>
      </c>
      <c r="P984">
        <v>17</v>
      </c>
      <c r="Q984" t="s">
        <v>509</v>
      </c>
      <c r="R984" t="s">
        <v>5</v>
      </c>
      <c r="S984">
        <v>65</v>
      </c>
      <c r="T984" t="s">
        <v>629</v>
      </c>
      <c r="U984" t="s">
        <v>5</v>
      </c>
      <c r="V984" t="s">
        <v>5</v>
      </c>
      <c r="W984">
        <v>9</v>
      </c>
      <c r="X984" t="s">
        <v>6</v>
      </c>
      <c r="Z984" t="s">
        <v>5</v>
      </c>
      <c r="AA984" t="s">
        <v>5</v>
      </c>
      <c r="AC984" t="s">
        <v>25</v>
      </c>
      <c r="AD984">
        <v>423</v>
      </c>
    </row>
    <row r="985" spans="1:30" x14ac:dyDescent="0.3">
      <c r="A985">
        <v>18329146</v>
      </c>
      <c r="B985" s="3">
        <v>45665</v>
      </c>
      <c r="C985">
        <v>2025</v>
      </c>
      <c r="D985">
        <v>1</v>
      </c>
      <c r="E985" t="s">
        <v>1579</v>
      </c>
      <c r="F985" t="s">
        <v>0</v>
      </c>
      <c r="G985" t="s">
        <v>10</v>
      </c>
      <c r="H985" t="b">
        <v>0</v>
      </c>
      <c r="I985" t="b">
        <v>0</v>
      </c>
      <c r="J985" t="b">
        <v>0</v>
      </c>
      <c r="K985" t="b">
        <v>0</v>
      </c>
      <c r="L985" t="s">
        <v>2448</v>
      </c>
      <c r="M985" t="s">
        <v>109</v>
      </c>
      <c r="N985" t="s">
        <v>63</v>
      </c>
      <c r="O985" t="b">
        <v>0</v>
      </c>
      <c r="P985">
        <v>5</v>
      </c>
      <c r="Q985" t="s">
        <v>208</v>
      </c>
      <c r="R985" t="s">
        <v>209</v>
      </c>
      <c r="S985" t="s">
        <v>5</v>
      </c>
      <c r="T985" t="s">
        <v>80</v>
      </c>
      <c r="U985" t="s">
        <v>210</v>
      </c>
      <c r="V985" t="s">
        <v>5</v>
      </c>
      <c r="W985">
        <v>3</v>
      </c>
      <c r="X985" t="s">
        <v>14</v>
      </c>
      <c r="Y985">
        <v>70</v>
      </c>
      <c r="Z985" t="s">
        <v>67</v>
      </c>
      <c r="AA985" t="s">
        <v>15</v>
      </c>
      <c r="AC985" t="s">
        <v>32</v>
      </c>
      <c r="AD985">
        <v>444</v>
      </c>
    </row>
    <row r="986" spans="1:30" x14ac:dyDescent="0.3">
      <c r="A986">
        <v>18331999</v>
      </c>
      <c r="B986" s="3">
        <v>45664</v>
      </c>
      <c r="C986">
        <v>2025</v>
      </c>
      <c r="D986">
        <v>1</v>
      </c>
      <c r="E986" t="s">
        <v>1579</v>
      </c>
      <c r="F986" t="s">
        <v>0</v>
      </c>
      <c r="G986" t="s">
        <v>10</v>
      </c>
      <c r="H986" t="b">
        <v>0</v>
      </c>
      <c r="I986" t="b">
        <v>0</v>
      </c>
      <c r="J986" t="b">
        <v>0</v>
      </c>
      <c r="K986" t="b">
        <v>0</v>
      </c>
      <c r="L986" t="s">
        <v>2449</v>
      </c>
      <c r="M986" t="s">
        <v>206</v>
      </c>
      <c r="N986" t="s">
        <v>57</v>
      </c>
      <c r="O986" t="b">
        <v>1</v>
      </c>
      <c r="P986">
        <v>12</v>
      </c>
      <c r="Q986" t="s">
        <v>630</v>
      </c>
      <c r="R986" t="s">
        <v>5</v>
      </c>
      <c r="S986" t="s">
        <v>5</v>
      </c>
      <c r="T986" t="s">
        <v>590</v>
      </c>
      <c r="U986" t="s">
        <v>5</v>
      </c>
      <c r="V986" t="s">
        <v>5</v>
      </c>
      <c r="W986">
        <v>39</v>
      </c>
      <c r="X986" t="s">
        <v>6</v>
      </c>
      <c r="Y986">
        <v>72</v>
      </c>
      <c r="Z986" t="s">
        <v>67</v>
      </c>
      <c r="AA986" t="s">
        <v>8</v>
      </c>
      <c r="AB986">
        <v>76</v>
      </c>
      <c r="AC986" t="s">
        <v>32</v>
      </c>
      <c r="AD986">
        <v>445</v>
      </c>
    </row>
    <row r="987" spans="1:30" x14ac:dyDescent="0.3">
      <c r="A987">
        <v>18333866</v>
      </c>
      <c r="B987" s="3">
        <v>45677</v>
      </c>
      <c r="C987">
        <v>2025</v>
      </c>
      <c r="D987">
        <v>1</v>
      </c>
      <c r="E987" t="s">
        <v>1579</v>
      </c>
      <c r="F987" t="s">
        <v>0</v>
      </c>
      <c r="G987" t="s">
        <v>1</v>
      </c>
      <c r="H987" t="b">
        <v>0</v>
      </c>
      <c r="I987" t="b">
        <v>1</v>
      </c>
      <c r="J987" t="b">
        <v>0</v>
      </c>
      <c r="K987" t="b">
        <v>0</v>
      </c>
      <c r="L987" t="s">
        <v>986</v>
      </c>
      <c r="M987" t="s">
        <v>986</v>
      </c>
      <c r="N987" t="s">
        <v>5</v>
      </c>
      <c r="O987" t="b">
        <v>0</v>
      </c>
      <c r="P987">
        <v>1</v>
      </c>
      <c r="Q987" t="s">
        <v>455</v>
      </c>
      <c r="R987" t="s">
        <v>456</v>
      </c>
      <c r="S987">
        <v>58</v>
      </c>
      <c r="T987" t="s">
        <v>457</v>
      </c>
      <c r="U987" t="s">
        <v>23</v>
      </c>
      <c r="V987" t="s">
        <v>458</v>
      </c>
      <c r="W987">
        <v>1</v>
      </c>
      <c r="X987" t="s">
        <v>31</v>
      </c>
      <c r="Y987">
        <v>15</v>
      </c>
      <c r="Z987" t="s">
        <v>19</v>
      </c>
      <c r="AA987" t="s">
        <v>15</v>
      </c>
      <c r="AC987" t="s">
        <v>32</v>
      </c>
      <c r="AD987">
        <v>432</v>
      </c>
    </row>
    <row r="988" spans="1:30" x14ac:dyDescent="0.3">
      <c r="A988">
        <v>18334027</v>
      </c>
      <c r="B988" s="3">
        <v>45685</v>
      </c>
      <c r="C988">
        <v>2025</v>
      </c>
      <c r="D988">
        <v>1</v>
      </c>
      <c r="E988" t="s">
        <v>1579</v>
      </c>
      <c r="F988" t="s">
        <v>0</v>
      </c>
      <c r="G988" t="s">
        <v>16</v>
      </c>
      <c r="H988" t="b">
        <v>0</v>
      </c>
      <c r="I988" t="b">
        <v>1</v>
      </c>
      <c r="J988" t="b">
        <v>1</v>
      </c>
      <c r="K988" t="b">
        <v>0</v>
      </c>
      <c r="L988" t="s">
        <v>2450</v>
      </c>
      <c r="M988" t="s">
        <v>346</v>
      </c>
      <c r="N988" t="s">
        <v>94</v>
      </c>
      <c r="O988" t="b">
        <v>1</v>
      </c>
      <c r="P988">
        <v>23</v>
      </c>
      <c r="Q988" t="s">
        <v>42</v>
      </c>
      <c r="R988" t="s">
        <v>43</v>
      </c>
      <c r="S988">
        <v>48</v>
      </c>
      <c r="T988" t="s">
        <v>378</v>
      </c>
      <c r="U988" t="s">
        <v>44</v>
      </c>
      <c r="V988" t="s">
        <v>45</v>
      </c>
      <c r="W988">
        <v>19</v>
      </c>
      <c r="X988" t="s">
        <v>6</v>
      </c>
      <c r="Y988">
        <v>16</v>
      </c>
      <c r="Z988" t="s">
        <v>19</v>
      </c>
      <c r="AA988" t="s">
        <v>8</v>
      </c>
      <c r="AB988">
        <v>48</v>
      </c>
      <c r="AC988" t="s">
        <v>9</v>
      </c>
      <c r="AD988">
        <v>424</v>
      </c>
    </row>
    <row r="989" spans="1:30" x14ac:dyDescent="0.3">
      <c r="A989">
        <v>18338231</v>
      </c>
      <c r="B989" s="3">
        <v>45666</v>
      </c>
      <c r="C989">
        <v>2025</v>
      </c>
      <c r="D989">
        <v>1</v>
      </c>
      <c r="E989" t="s">
        <v>1579</v>
      </c>
      <c r="F989" t="s">
        <v>0</v>
      </c>
      <c r="G989" t="s">
        <v>10</v>
      </c>
      <c r="H989" t="b">
        <v>0</v>
      </c>
      <c r="I989" t="b">
        <v>0</v>
      </c>
      <c r="J989" t="b">
        <v>0</v>
      </c>
      <c r="K989" t="b">
        <v>0</v>
      </c>
      <c r="L989" t="s">
        <v>2451</v>
      </c>
      <c r="M989" t="s">
        <v>895</v>
      </c>
      <c r="N989" t="s">
        <v>63</v>
      </c>
      <c r="O989" t="b">
        <v>0</v>
      </c>
      <c r="P989">
        <v>12</v>
      </c>
      <c r="Q989" t="s">
        <v>78</v>
      </c>
      <c r="R989" t="s">
        <v>79</v>
      </c>
      <c r="S989">
        <v>41</v>
      </c>
      <c r="T989" t="s">
        <v>80</v>
      </c>
      <c r="U989" t="s">
        <v>81</v>
      </c>
      <c r="V989" t="s">
        <v>82</v>
      </c>
      <c r="W989">
        <v>31</v>
      </c>
      <c r="X989" t="s">
        <v>6</v>
      </c>
      <c r="Z989" t="s">
        <v>5</v>
      </c>
      <c r="AA989" t="s">
        <v>5</v>
      </c>
      <c r="AC989" t="s">
        <v>9</v>
      </c>
      <c r="AD989">
        <v>443</v>
      </c>
    </row>
    <row r="990" spans="1:30" x14ac:dyDescent="0.3">
      <c r="A990">
        <v>18341732</v>
      </c>
      <c r="B990" s="3">
        <v>45686</v>
      </c>
      <c r="C990">
        <v>2025</v>
      </c>
      <c r="D990">
        <v>1</v>
      </c>
      <c r="E990" t="s">
        <v>1579</v>
      </c>
      <c r="F990" t="s">
        <v>0</v>
      </c>
      <c r="G990" t="s">
        <v>1</v>
      </c>
      <c r="H990" t="b">
        <v>0</v>
      </c>
      <c r="I990" t="b">
        <v>1</v>
      </c>
      <c r="J990" t="b">
        <v>0</v>
      </c>
      <c r="K990" t="b">
        <v>0</v>
      </c>
      <c r="L990" t="s">
        <v>2452</v>
      </c>
      <c r="M990" t="s">
        <v>945</v>
      </c>
      <c r="N990" t="s">
        <v>57</v>
      </c>
      <c r="O990" t="b">
        <v>1</v>
      </c>
      <c r="P990">
        <v>14</v>
      </c>
      <c r="Q990" t="s">
        <v>588</v>
      </c>
      <c r="R990" t="s">
        <v>589</v>
      </c>
      <c r="S990" t="s">
        <v>5</v>
      </c>
      <c r="T990" t="s">
        <v>590</v>
      </c>
      <c r="U990" t="s">
        <v>591</v>
      </c>
      <c r="V990" t="s">
        <v>592</v>
      </c>
      <c r="W990">
        <v>27</v>
      </c>
      <c r="X990" t="s">
        <v>6</v>
      </c>
      <c r="Z990" t="s">
        <v>5</v>
      </c>
      <c r="AA990" t="s">
        <v>15</v>
      </c>
      <c r="AB990">
        <v>75</v>
      </c>
      <c r="AC990" t="s">
        <v>32</v>
      </c>
      <c r="AD990">
        <v>423</v>
      </c>
    </row>
    <row r="991" spans="1:30" x14ac:dyDescent="0.3">
      <c r="A991">
        <v>18343251</v>
      </c>
      <c r="B991" s="3">
        <v>45688</v>
      </c>
      <c r="C991">
        <v>2025</v>
      </c>
      <c r="D991">
        <v>1</v>
      </c>
      <c r="E991" t="s">
        <v>1579</v>
      </c>
      <c r="F991" t="s">
        <v>0</v>
      </c>
      <c r="G991" t="s">
        <v>1</v>
      </c>
      <c r="H991" t="b">
        <v>0</v>
      </c>
      <c r="I991" t="b">
        <v>1</v>
      </c>
      <c r="J991" t="b">
        <v>0</v>
      </c>
      <c r="K991" t="b">
        <v>0</v>
      </c>
      <c r="L991" t="s">
        <v>2453</v>
      </c>
      <c r="M991" t="s">
        <v>1183</v>
      </c>
      <c r="N991" t="s">
        <v>5</v>
      </c>
      <c r="O991" t="b">
        <v>0</v>
      </c>
      <c r="P991">
        <v>5</v>
      </c>
      <c r="Q991" t="s">
        <v>528</v>
      </c>
      <c r="R991" t="s">
        <v>529</v>
      </c>
      <c r="S991">
        <v>65</v>
      </c>
      <c r="T991" t="s">
        <v>83</v>
      </c>
      <c r="U991" t="s">
        <v>531</v>
      </c>
      <c r="V991" t="s">
        <v>392</v>
      </c>
      <c r="W991">
        <v>51</v>
      </c>
      <c r="X991" t="s">
        <v>6</v>
      </c>
      <c r="Y991">
        <v>36</v>
      </c>
      <c r="Z991" t="s">
        <v>61</v>
      </c>
      <c r="AA991" t="s">
        <v>8</v>
      </c>
      <c r="AC991" t="s">
        <v>9</v>
      </c>
      <c r="AD991">
        <v>421</v>
      </c>
    </row>
    <row r="992" spans="1:30" x14ac:dyDescent="0.3">
      <c r="A992">
        <v>18344543</v>
      </c>
      <c r="B992" s="3">
        <v>45680</v>
      </c>
      <c r="C992">
        <v>2025</v>
      </c>
      <c r="D992">
        <v>1</v>
      </c>
      <c r="E992" t="s">
        <v>1579</v>
      </c>
      <c r="F992" t="s">
        <v>0</v>
      </c>
      <c r="G992" t="s">
        <v>10</v>
      </c>
      <c r="H992" t="b">
        <v>0</v>
      </c>
      <c r="I992" t="b">
        <v>0</v>
      </c>
      <c r="J992" t="b">
        <v>0</v>
      </c>
      <c r="K992" t="b">
        <v>0</v>
      </c>
      <c r="L992" t="s">
        <v>2454</v>
      </c>
      <c r="M992" t="s">
        <v>1070</v>
      </c>
      <c r="N992" t="s">
        <v>118</v>
      </c>
      <c r="O992" t="b">
        <v>0</v>
      </c>
      <c r="P992">
        <v>5</v>
      </c>
      <c r="Q992" t="s">
        <v>907</v>
      </c>
      <c r="R992" t="s">
        <v>5</v>
      </c>
      <c r="S992" t="s">
        <v>5</v>
      </c>
      <c r="T992" t="s">
        <v>83</v>
      </c>
      <c r="U992" t="s">
        <v>5</v>
      </c>
      <c r="V992" t="s">
        <v>5</v>
      </c>
      <c r="W992">
        <v>4</v>
      </c>
      <c r="X992" t="s">
        <v>40</v>
      </c>
      <c r="Y992">
        <v>27</v>
      </c>
      <c r="Z992" t="s">
        <v>61</v>
      </c>
      <c r="AA992" t="s">
        <v>15</v>
      </c>
      <c r="AC992" t="s">
        <v>32</v>
      </c>
      <c r="AD992">
        <v>429</v>
      </c>
    </row>
    <row r="993" spans="1:30" x14ac:dyDescent="0.3">
      <c r="A993">
        <v>18355609</v>
      </c>
      <c r="B993" s="3">
        <v>45674</v>
      </c>
      <c r="C993">
        <v>2025</v>
      </c>
      <c r="D993">
        <v>1</v>
      </c>
      <c r="E993" t="s">
        <v>1579</v>
      </c>
      <c r="F993" t="s">
        <v>0</v>
      </c>
      <c r="G993" t="s">
        <v>10</v>
      </c>
      <c r="H993" t="b">
        <v>0</v>
      </c>
      <c r="I993" t="b">
        <v>0</v>
      </c>
      <c r="J993" t="b">
        <v>0</v>
      </c>
      <c r="K993" t="b">
        <v>0</v>
      </c>
      <c r="L993" t="s">
        <v>2455</v>
      </c>
      <c r="M993" t="s">
        <v>604</v>
      </c>
      <c r="N993" t="s">
        <v>57</v>
      </c>
      <c r="O993" t="b">
        <v>1</v>
      </c>
      <c r="P993">
        <v>3</v>
      </c>
      <c r="Q993" t="s">
        <v>1498</v>
      </c>
      <c r="R993" t="s">
        <v>1499</v>
      </c>
      <c r="S993">
        <v>48</v>
      </c>
      <c r="T993" t="s">
        <v>83</v>
      </c>
      <c r="U993" t="s">
        <v>1075</v>
      </c>
      <c r="V993" t="s">
        <v>5</v>
      </c>
      <c r="W993">
        <v>33</v>
      </c>
      <c r="X993" t="s">
        <v>6</v>
      </c>
      <c r="Z993" t="s">
        <v>5</v>
      </c>
      <c r="AA993" t="s">
        <v>5</v>
      </c>
      <c r="AC993" t="s">
        <v>20</v>
      </c>
      <c r="AD993">
        <v>435</v>
      </c>
    </row>
    <row r="994" spans="1:30" x14ac:dyDescent="0.3">
      <c r="A994">
        <v>18358014</v>
      </c>
      <c r="B994" s="3">
        <v>45659</v>
      </c>
      <c r="C994">
        <v>2025</v>
      </c>
      <c r="D994">
        <v>1</v>
      </c>
      <c r="E994" t="s">
        <v>1579</v>
      </c>
      <c r="F994" t="s">
        <v>125</v>
      </c>
      <c r="G994" t="s">
        <v>10</v>
      </c>
      <c r="H994" t="b">
        <v>0</v>
      </c>
      <c r="I994" t="b">
        <v>0</v>
      </c>
      <c r="J994" t="b">
        <v>0</v>
      </c>
      <c r="K994" t="b">
        <v>0</v>
      </c>
      <c r="L994" t="s">
        <v>260</v>
      </c>
      <c r="M994" t="s">
        <v>260</v>
      </c>
      <c r="N994" t="s">
        <v>5</v>
      </c>
      <c r="O994" t="b">
        <v>0</v>
      </c>
      <c r="P994">
        <v>1</v>
      </c>
      <c r="Q994" t="s">
        <v>955</v>
      </c>
      <c r="R994" t="s">
        <v>956</v>
      </c>
      <c r="S994">
        <v>48</v>
      </c>
      <c r="T994" t="s">
        <v>594</v>
      </c>
      <c r="U994" t="s">
        <v>574</v>
      </c>
      <c r="V994" t="s">
        <v>778</v>
      </c>
      <c r="W994">
        <v>3</v>
      </c>
      <c r="X994" t="s">
        <v>14</v>
      </c>
      <c r="Y994">
        <v>66</v>
      </c>
      <c r="Z994" t="s">
        <v>67</v>
      </c>
      <c r="AA994" t="s">
        <v>8</v>
      </c>
      <c r="AC994" t="s">
        <v>32</v>
      </c>
      <c r="AD994">
        <v>450</v>
      </c>
    </row>
    <row r="995" spans="1:30" x14ac:dyDescent="0.3">
      <c r="A995">
        <v>18361017</v>
      </c>
      <c r="B995" s="3">
        <v>45681</v>
      </c>
      <c r="C995">
        <v>2025</v>
      </c>
      <c r="D995">
        <v>1</v>
      </c>
      <c r="E995" t="s">
        <v>1579</v>
      </c>
      <c r="F995" t="s">
        <v>125</v>
      </c>
      <c r="G995" t="s">
        <v>10</v>
      </c>
      <c r="H995" t="b">
        <v>0</v>
      </c>
      <c r="I995" t="b">
        <v>0</v>
      </c>
      <c r="J995" t="b">
        <v>0</v>
      </c>
      <c r="K995" t="b">
        <v>0</v>
      </c>
      <c r="L995" t="s">
        <v>2456</v>
      </c>
      <c r="M995" t="s">
        <v>682</v>
      </c>
      <c r="N995" t="s">
        <v>57</v>
      </c>
      <c r="O995" t="b">
        <v>1</v>
      </c>
      <c r="P995">
        <v>8</v>
      </c>
      <c r="Q995" t="s">
        <v>323</v>
      </c>
      <c r="R995" t="s">
        <v>324</v>
      </c>
      <c r="S995">
        <v>42</v>
      </c>
      <c r="T995" t="s">
        <v>257</v>
      </c>
      <c r="U995" t="s">
        <v>325</v>
      </c>
      <c r="V995" t="s">
        <v>326</v>
      </c>
      <c r="W995">
        <v>7</v>
      </c>
      <c r="X995" t="s">
        <v>6</v>
      </c>
      <c r="Z995" t="s">
        <v>5</v>
      </c>
      <c r="AA995" t="s">
        <v>5</v>
      </c>
      <c r="AC995" t="s">
        <v>154</v>
      </c>
      <c r="AD995">
        <v>428</v>
      </c>
    </row>
    <row r="996" spans="1:30" x14ac:dyDescent="0.3">
      <c r="A996">
        <v>18366499</v>
      </c>
      <c r="B996" s="3">
        <v>45666</v>
      </c>
      <c r="C996">
        <v>2025</v>
      </c>
      <c r="D996">
        <v>1</v>
      </c>
      <c r="E996" t="s">
        <v>1579</v>
      </c>
      <c r="F996" t="s">
        <v>0</v>
      </c>
      <c r="G996" t="s">
        <v>10</v>
      </c>
      <c r="H996" t="b">
        <v>0</v>
      </c>
      <c r="I996" t="b">
        <v>0</v>
      </c>
      <c r="J996" t="b">
        <v>0</v>
      </c>
      <c r="K996" t="b">
        <v>0</v>
      </c>
      <c r="L996" t="s">
        <v>2457</v>
      </c>
      <c r="M996" t="s">
        <v>1379</v>
      </c>
      <c r="N996" t="s">
        <v>140</v>
      </c>
      <c r="O996" t="b">
        <v>0</v>
      </c>
      <c r="P996">
        <v>4</v>
      </c>
      <c r="Q996" t="s">
        <v>169</v>
      </c>
      <c r="R996" t="s">
        <v>170</v>
      </c>
      <c r="S996" t="s">
        <v>5</v>
      </c>
      <c r="T996" t="s">
        <v>1325</v>
      </c>
      <c r="U996" t="s">
        <v>106</v>
      </c>
      <c r="V996" t="s">
        <v>172</v>
      </c>
      <c r="W996">
        <v>1</v>
      </c>
      <c r="X996" t="s">
        <v>31</v>
      </c>
      <c r="Z996" t="s">
        <v>5</v>
      </c>
      <c r="AA996" t="s">
        <v>5</v>
      </c>
      <c r="AC996" t="s">
        <v>341</v>
      </c>
      <c r="AD996">
        <v>443</v>
      </c>
    </row>
    <row r="997" spans="1:30" x14ac:dyDescent="0.3">
      <c r="A997">
        <v>18369664</v>
      </c>
      <c r="B997" s="3">
        <v>45677</v>
      </c>
      <c r="C997">
        <v>2025</v>
      </c>
      <c r="D997">
        <v>1</v>
      </c>
      <c r="E997" t="s">
        <v>1579</v>
      </c>
      <c r="F997" t="s">
        <v>0</v>
      </c>
      <c r="G997" t="s">
        <v>10</v>
      </c>
      <c r="H997" t="b">
        <v>0</v>
      </c>
      <c r="I997" t="b">
        <v>0</v>
      </c>
      <c r="J997" t="b">
        <v>0</v>
      </c>
      <c r="K997" t="b">
        <v>0</v>
      </c>
      <c r="L997" t="s">
        <v>2458</v>
      </c>
      <c r="M997" t="s">
        <v>864</v>
      </c>
      <c r="N997" t="s">
        <v>2</v>
      </c>
      <c r="O997" t="b">
        <v>1</v>
      </c>
      <c r="P997">
        <v>15</v>
      </c>
      <c r="Q997" t="s">
        <v>611</v>
      </c>
      <c r="R997" t="s">
        <v>612</v>
      </c>
      <c r="S997">
        <v>42</v>
      </c>
      <c r="T997" t="s">
        <v>594</v>
      </c>
      <c r="U997" t="s">
        <v>29</v>
      </c>
      <c r="V997" t="s">
        <v>130</v>
      </c>
      <c r="W997">
        <v>50</v>
      </c>
      <c r="X997" t="s">
        <v>6</v>
      </c>
      <c r="Z997" t="s">
        <v>5</v>
      </c>
      <c r="AA997" t="s">
        <v>5</v>
      </c>
      <c r="AC997" t="s">
        <v>9</v>
      </c>
      <c r="AD997">
        <v>432</v>
      </c>
    </row>
    <row r="998" spans="1:30" x14ac:dyDescent="0.3">
      <c r="A998">
        <v>18372493</v>
      </c>
      <c r="B998" s="3">
        <v>45671</v>
      </c>
      <c r="C998">
        <v>2025</v>
      </c>
      <c r="D998">
        <v>1</v>
      </c>
      <c r="E998" t="s">
        <v>1579</v>
      </c>
      <c r="F998" t="s">
        <v>0</v>
      </c>
      <c r="G998" t="s">
        <v>1</v>
      </c>
      <c r="H998" t="b">
        <v>0</v>
      </c>
      <c r="I998" t="b">
        <v>1</v>
      </c>
      <c r="J998" t="b">
        <v>0</v>
      </c>
      <c r="K998" t="b">
        <v>0</v>
      </c>
      <c r="L998" t="s">
        <v>2459</v>
      </c>
      <c r="M998" t="s">
        <v>791</v>
      </c>
      <c r="N998" t="s">
        <v>70</v>
      </c>
      <c r="O998" t="b">
        <v>0</v>
      </c>
      <c r="P998">
        <v>18</v>
      </c>
      <c r="Q998" t="s">
        <v>208</v>
      </c>
      <c r="R998" t="s">
        <v>286</v>
      </c>
      <c r="S998" t="s">
        <v>5</v>
      </c>
      <c r="T998" t="s">
        <v>80</v>
      </c>
      <c r="U998" t="s">
        <v>210</v>
      </c>
      <c r="V998" t="s">
        <v>5</v>
      </c>
      <c r="W998">
        <v>8</v>
      </c>
      <c r="X998" t="s">
        <v>6</v>
      </c>
      <c r="Y998">
        <v>72</v>
      </c>
      <c r="Z998" t="s">
        <v>67</v>
      </c>
      <c r="AA998" t="s">
        <v>8</v>
      </c>
      <c r="AC998" t="s">
        <v>32</v>
      </c>
      <c r="AD998">
        <v>438</v>
      </c>
    </row>
    <row r="999" spans="1:30" x14ac:dyDescent="0.3">
      <c r="A999">
        <v>18375677</v>
      </c>
      <c r="B999" s="3">
        <v>45665</v>
      </c>
      <c r="C999">
        <v>2025</v>
      </c>
      <c r="D999">
        <v>1</v>
      </c>
      <c r="E999" t="s">
        <v>1579</v>
      </c>
      <c r="F999" t="s">
        <v>125</v>
      </c>
      <c r="G999" t="s">
        <v>10</v>
      </c>
      <c r="H999" t="b">
        <v>0</v>
      </c>
      <c r="I999" t="b">
        <v>0</v>
      </c>
      <c r="J999" t="b">
        <v>0</v>
      </c>
      <c r="K999" t="b">
        <v>0</v>
      </c>
      <c r="L999" t="s">
        <v>2460</v>
      </c>
      <c r="M999" t="s">
        <v>516</v>
      </c>
      <c r="N999" t="s">
        <v>118</v>
      </c>
      <c r="O999" t="b">
        <v>0</v>
      </c>
      <c r="P999">
        <v>5</v>
      </c>
      <c r="Q999" t="s">
        <v>355</v>
      </c>
      <c r="R999" t="s">
        <v>356</v>
      </c>
      <c r="S999">
        <v>48</v>
      </c>
      <c r="T999" t="s">
        <v>357</v>
      </c>
      <c r="U999" t="s">
        <v>358</v>
      </c>
      <c r="V999" t="s">
        <v>5</v>
      </c>
      <c r="W999">
        <v>7</v>
      </c>
      <c r="X999" t="s">
        <v>6</v>
      </c>
      <c r="Z999" t="s">
        <v>5</v>
      </c>
      <c r="AA999" t="s">
        <v>15</v>
      </c>
      <c r="AC999" t="s">
        <v>32</v>
      </c>
      <c r="AD999">
        <v>444</v>
      </c>
    </row>
    <row r="1000" spans="1:30" x14ac:dyDescent="0.3">
      <c r="A1000">
        <v>18375989</v>
      </c>
      <c r="B1000" s="3">
        <v>45660</v>
      </c>
      <c r="C1000">
        <v>2025</v>
      </c>
      <c r="D1000">
        <v>1</v>
      </c>
      <c r="E1000" t="s">
        <v>1579</v>
      </c>
      <c r="F1000" t="s">
        <v>125</v>
      </c>
      <c r="G1000" t="s">
        <v>10</v>
      </c>
      <c r="H1000" t="b">
        <v>0</v>
      </c>
      <c r="I1000" t="b">
        <v>0</v>
      </c>
      <c r="J1000" t="b">
        <v>0</v>
      </c>
      <c r="K1000" t="b">
        <v>0</v>
      </c>
      <c r="L1000" t="s">
        <v>2461</v>
      </c>
      <c r="M1000" t="s">
        <v>1122</v>
      </c>
      <c r="N1000" t="s">
        <v>5</v>
      </c>
      <c r="O1000" t="b">
        <v>0</v>
      </c>
      <c r="P1000">
        <v>5</v>
      </c>
      <c r="Q1000" t="s">
        <v>1189</v>
      </c>
      <c r="R1000" t="s">
        <v>1294</v>
      </c>
      <c r="S1000">
        <v>48</v>
      </c>
      <c r="T1000" t="s">
        <v>335</v>
      </c>
      <c r="U1000" t="s">
        <v>1295</v>
      </c>
      <c r="V1000" t="s">
        <v>5</v>
      </c>
      <c r="W1000">
        <v>1</v>
      </c>
      <c r="X1000" t="s">
        <v>31</v>
      </c>
      <c r="Y1000">
        <v>67</v>
      </c>
      <c r="Z1000" t="s">
        <v>67</v>
      </c>
      <c r="AA1000" t="s">
        <v>8</v>
      </c>
      <c r="AC1000" t="s">
        <v>32</v>
      </c>
      <c r="AD1000">
        <v>449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42BC-D5A2-4D3F-8CF3-E44400B9ADFA}">
  <dimension ref="A1:G1000"/>
  <sheetViews>
    <sheetView zoomScale="77" workbookViewId="0">
      <selection activeCell="B23" sqref="B23"/>
    </sheetView>
  </sheetViews>
  <sheetFormatPr defaultRowHeight="14.4" x14ac:dyDescent="0.3"/>
  <cols>
    <col min="1" max="1" width="15.44140625" style="5" bestFit="1" customWidth="1"/>
    <col min="2" max="2" width="35.109375" customWidth="1"/>
    <col min="3" max="3" width="35.109375" bestFit="1" customWidth="1"/>
    <col min="4" max="4" width="51.88671875" customWidth="1"/>
    <col min="5" max="5" width="14.44140625" customWidth="1"/>
    <col min="6" max="6" width="27" customWidth="1"/>
    <col min="7" max="7" width="11.77734375" customWidth="1"/>
  </cols>
  <sheetData>
    <row r="1" spans="1:7" x14ac:dyDescent="0.3">
      <c r="A1" s="4" t="s">
        <v>2462</v>
      </c>
      <c r="B1" s="1" t="s">
        <v>2474</v>
      </c>
      <c r="C1" s="1" t="s">
        <v>2492</v>
      </c>
      <c r="D1" s="1" t="s">
        <v>2493</v>
      </c>
      <c r="E1" s="1" t="s">
        <v>2511</v>
      </c>
      <c r="F1" s="1" t="s">
        <v>2514</v>
      </c>
      <c r="G1" s="1" t="s">
        <v>2467</v>
      </c>
    </row>
    <row r="2" spans="1:7" x14ac:dyDescent="0.3">
      <c r="A2" s="5">
        <v>10136674</v>
      </c>
      <c r="B2" t="s">
        <v>206</v>
      </c>
      <c r="C2" t="s">
        <v>206</v>
      </c>
      <c r="D2" t="s">
        <v>2496</v>
      </c>
      <c r="E2" t="str">
        <f>IFERROR(VLOOKUP(B2,Signal_detection!$A$1:$C$22,2,FALSE),"")</f>
        <v>Probable</v>
      </c>
      <c r="F2" t="str">
        <f>IFERROR(VLOOKUP(B2,Signal_detection!$A$1:$C$22,3,FALSE),"")</f>
        <v>Infection signal</v>
      </c>
      <c r="G2" t="s">
        <v>0</v>
      </c>
    </row>
    <row r="3" spans="1:7" x14ac:dyDescent="0.3">
      <c r="A3" s="5">
        <v>10233235</v>
      </c>
      <c r="B3" t="s">
        <v>459</v>
      </c>
      <c r="C3" t="s">
        <v>459</v>
      </c>
      <c r="D3" t="s">
        <v>2503</v>
      </c>
      <c r="E3" t="str">
        <f>IFERROR(VLOOKUP(B3,Signal_detection!$A$1:$C$22,2,FALSE),"")</f>
        <v>Probable</v>
      </c>
      <c r="F3" t="str">
        <f>IFERROR(VLOOKUP(B3,Signal_detection!$A$1:$C$22,3,FALSE),"")</f>
        <v>Neurological signal</v>
      </c>
      <c r="G3" t="s">
        <v>0</v>
      </c>
    </row>
    <row r="4" spans="1:7" x14ac:dyDescent="0.3">
      <c r="A4" s="5">
        <v>10285496</v>
      </c>
      <c r="B4" t="s">
        <v>159</v>
      </c>
      <c r="C4" t="s">
        <v>159</v>
      </c>
      <c r="D4" t="s">
        <v>2499</v>
      </c>
      <c r="E4" t="str">
        <f>IFERROR(VLOOKUP(B4,Signal_detection!$A$1:$C$22,2,FALSE),"")</f>
        <v>Possible</v>
      </c>
      <c r="F4" t="str">
        <f>IFERROR(VLOOKUP(B4,Signal_detection!$A$1:$C$22,3,FALSE),"")</f>
        <v>Non-serious ADR</v>
      </c>
      <c r="G4" t="s">
        <v>0</v>
      </c>
    </row>
    <row r="5" spans="1:7" x14ac:dyDescent="0.3">
      <c r="A5" s="5">
        <v>10356309</v>
      </c>
      <c r="B5" t="s">
        <v>206</v>
      </c>
      <c r="C5" t="s">
        <v>206</v>
      </c>
      <c r="D5" t="s">
        <v>2496</v>
      </c>
      <c r="E5" t="str">
        <f>IFERROR(VLOOKUP(B5,Signal_detection!$A$1:$C$22,2,FALSE),"")</f>
        <v>Probable</v>
      </c>
      <c r="F5" t="str">
        <f>IFERROR(VLOOKUP(B5,Signal_detection!$A$1:$C$22,3,FALSE),"")</f>
        <v>Infection signal</v>
      </c>
      <c r="G5" t="s">
        <v>0</v>
      </c>
    </row>
    <row r="6" spans="1:7" x14ac:dyDescent="0.3">
      <c r="A6" s="5">
        <v>10450109</v>
      </c>
      <c r="B6" t="s">
        <v>1584</v>
      </c>
      <c r="C6" t="s">
        <v>2510</v>
      </c>
      <c r="D6" t="s">
        <v>2510</v>
      </c>
      <c r="E6" t="str">
        <f>IFERROR(VLOOKUP(B6,Signal_detection!$A$1:$C$22,2,FALSE),"")</f>
        <v/>
      </c>
      <c r="F6" t="str">
        <f>IFERROR(VLOOKUP(B6,Signal_detection!$A$1:$C$22,3,FALSE),"")</f>
        <v/>
      </c>
      <c r="G6" t="s">
        <v>0</v>
      </c>
    </row>
    <row r="7" spans="1:7" x14ac:dyDescent="0.3">
      <c r="A7" s="5">
        <v>10607501</v>
      </c>
      <c r="B7" t="s">
        <v>50</v>
      </c>
      <c r="C7" t="s">
        <v>50</v>
      </c>
      <c r="D7" t="s">
        <v>2497</v>
      </c>
      <c r="E7" t="str">
        <f>IFERROR(VLOOKUP(B7,Signal_detection!$A$1:$C$22,2,FALSE),"")</f>
        <v/>
      </c>
      <c r="F7" t="str">
        <f>IFERROR(VLOOKUP(B7,Signal_detection!$A$1:$C$22,3,FALSE),"")</f>
        <v/>
      </c>
      <c r="G7" t="s">
        <v>0</v>
      </c>
    </row>
    <row r="8" spans="1:7" x14ac:dyDescent="0.3">
      <c r="A8" s="5">
        <v>10660602</v>
      </c>
      <c r="B8" t="s">
        <v>557</v>
      </c>
      <c r="C8" t="s">
        <v>2510</v>
      </c>
      <c r="D8" t="s">
        <v>2510</v>
      </c>
      <c r="E8" t="str">
        <f>IFERROR(VLOOKUP(B8,Signal_detection!$A$1:$C$22,2,FALSE),"")</f>
        <v/>
      </c>
      <c r="F8" t="str">
        <f>IFERROR(VLOOKUP(B8,Signal_detection!$A$1:$C$22,3,FALSE),"")</f>
        <v/>
      </c>
      <c r="G8" t="s">
        <v>0</v>
      </c>
    </row>
    <row r="9" spans="1:7" x14ac:dyDescent="0.3">
      <c r="A9" s="5">
        <v>10675738</v>
      </c>
      <c r="B9" t="s">
        <v>869</v>
      </c>
      <c r="C9" t="s">
        <v>2510</v>
      </c>
      <c r="D9" t="s">
        <v>2510</v>
      </c>
      <c r="E9" t="str">
        <f>IFERROR(VLOOKUP(B9,Signal_detection!$A$1:$C$22,2,FALSE),"")</f>
        <v/>
      </c>
      <c r="F9" t="str">
        <f>IFERROR(VLOOKUP(B9,Signal_detection!$A$1:$C$22,3,FALSE),"")</f>
        <v/>
      </c>
      <c r="G9" t="s">
        <v>0</v>
      </c>
    </row>
    <row r="10" spans="1:7" x14ac:dyDescent="0.3">
      <c r="A10" s="5">
        <v>10786604</v>
      </c>
      <c r="B10" t="s">
        <v>1343</v>
      </c>
      <c r="C10" t="s">
        <v>2510</v>
      </c>
      <c r="D10" t="s">
        <v>2510</v>
      </c>
      <c r="E10" t="str">
        <f>IFERROR(VLOOKUP(B10,Signal_detection!$A$1:$C$22,2,FALSE),"")</f>
        <v/>
      </c>
      <c r="F10" t="str">
        <f>IFERROR(VLOOKUP(B10,Signal_detection!$A$1:$C$22,3,FALSE),"")</f>
        <v/>
      </c>
      <c r="G10" t="s">
        <v>125</v>
      </c>
    </row>
    <row r="11" spans="1:7" x14ac:dyDescent="0.3">
      <c r="A11" s="5">
        <v>10853820</v>
      </c>
      <c r="B11" t="s">
        <v>698</v>
      </c>
      <c r="C11" t="s">
        <v>2510</v>
      </c>
      <c r="D11" t="s">
        <v>2510</v>
      </c>
      <c r="E11" t="str">
        <f>IFERROR(VLOOKUP(B11,Signal_detection!$A$1:$C$22,2,FALSE),"")</f>
        <v/>
      </c>
      <c r="F11" t="str">
        <f>IFERROR(VLOOKUP(B11,Signal_detection!$A$1:$C$22,3,FALSE),"")</f>
        <v/>
      </c>
      <c r="G11" t="s">
        <v>0</v>
      </c>
    </row>
    <row r="12" spans="1:7" x14ac:dyDescent="0.3">
      <c r="A12" s="5">
        <v>10876704</v>
      </c>
      <c r="B12" t="s">
        <v>496</v>
      </c>
      <c r="C12" t="s">
        <v>2510</v>
      </c>
      <c r="D12" t="s">
        <v>2510</v>
      </c>
      <c r="E12" t="str">
        <f>IFERROR(VLOOKUP(B12,Signal_detection!$A$1:$C$22,2,FALSE),"")</f>
        <v/>
      </c>
      <c r="F12" t="str">
        <f>IFERROR(VLOOKUP(B12,Signal_detection!$A$1:$C$22,3,FALSE),"")</f>
        <v/>
      </c>
      <c r="G12" t="s">
        <v>0</v>
      </c>
    </row>
    <row r="13" spans="1:7" x14ac:dyDescent="0.3">
      <c r="A13" s="5">
        <v>10928940</v>
      </c>
      <c r="B13" t="s">
        <v>102</v>
      </c>
      <c r="C13" t="s">
        <v>102</v>
      </c>
      <c r="D13" t="s">
        <v>2498</v>
      </c>
      <c r="E13" t="str">
        <f>IFERROR(VLOOKUP(B13,Signal_detection!$A$1:$C$22,2,FALSE),"")</f>
        <v/>
      </c>
      <c r="F13" t="str">
        <f>IFERROR(VLOOKUP(B13,Signal_detection!$A$1:$C$22,3,FALSE),"")</f>
        <v/>
      </c>
      <c r="G13" t="s">
        <v>0</v>
      </c>
    </row>
    <row r="14" spans="1:7" x14ac:dyDescent="0.3">
      <c r="A14" s="5">
        <v>10943373</v>
      </c>
      <c r="B14" t="s">
        <v>139</v>
      </c>
      <c r="C14" t="s">
        <v>2510</v>
      </c>
      <c r="D14" t="s">
        <v>2510</v>
      </c>
      <c r="E14" t="str">
        <f>IFERROR(VLOOKUP(B14,Signal_detection!$A$1:$C$22,2,FALSE),"")</f>
        <v/>
      </c>
      <c r="F14" t="str">
        <f>IFERROR(VLOOKUP(B14,Signal_detection!$A$1:$C$22,3,FALSE),"")</f>
        <v/>
      </c>
      <c r="G14" t="s">
        <v>125</v>
      </c>
    </row>
    <row r="15" spans="1:7" x14ac:dyDescent="0.3">
      <c r="A15" s="5">
        <v>10943649</v>
      </c>
      <c r="B15" t="s">
        <v>102</v>
      </c>
      <c r="C15" t="s">
        <v>102</v>
      </c>
      <c r="D15" t="s">
        <v>2498</v>
      </c>
      <c r="E15" t="str">
        <f>IFERROR(VLOOKUP(B15,Signal_detection!$A$1:$C$22,2,FALSE),"")</f>
        <v/>
      </c>
      <c r="F15" t="str">
        <f>IFERROR(VLOOKUP(B15,Signal_detection!$A$1:$C$22,3,FALSE),"")</f>
        <v/>
      </c>
      <c r="G15" t="s">
        <v>125</v>
      </c>
    </row>
    <row r="16" spans="1:7" x14ac:dyDescent="0.3">
      <c r="A16" s="5">
        <v>10946040</v>
      </c>
      <c r="B16" t="s">
        <v>102</v>
      </c>
      <c r="C16" t="s">
        <v>102</v>
      </c>
      <c r="D16" t="s">
        <v>2498</v>
      </c>
      <c r="E16" t="str">
        <f>IFERROR(VLOOKUP(B16,Signal_detection!$A$1:$C$22,2,FALSE),"")</f>
        <v/>
      </c>
      <c r="F16" t="str">
        <f>IFERROR(VLOOKUP(B16,Signal_detection!$A$1:$C$22,3,FALSE),"")</f>
        <v/>
      </c>
      <c r="G16" t="s">
        <v>125</v>
      </c>
    </row>
    <row r="17" spans="1:7" x14ac:dyDescent="0.3">
      <c r="A17" s="5">
        <v>10975876</v>
      </c>
      <c r="B17" t="s">
        <v>817</v>
      </c>
      <c r="C17" t="s">
        <v>2510</v>
      </c>
      <c r="D17" t="s">
        <v>2510</v>
      </c>
      <c r="E17" t="str">
        <f>IFERROR(VLOOKUP(B17,Signal_detection!$A$1:$C$22,2,FALSE),"")</f>
        <v/>
      </c>
      <c r="F17" t="str">
        <f>IFERROR(VLOOKUP(B17,Signal_detection!$A$1:$C$22,3,FALSE),"")</f>
        <v/>
      </c>
      <c r="G17" t="s">
        <v>0</v>
      </c>
    </row>
    <row r="18" spans="1:7" x14ac:dyDescent="0.3">
      <c r="A18" s="5">
        <v>11069598</v>
      </c>
      <c r="B18" t="s">
        <v>919</v>
      </c>
      <c r="C18" t="s">
        <v>2510</v>
      </c>
      <c r="D18" t="s">
        <v>2510</v>
      </c>
      <c r="E18" t="str">
        <f>IFERROR(VLOOKUP(B18,Signal_detection!$A$1:$C$22,2,FALSE),"")</f>
        <v/>
      </c>
      <c r="F18" t="str">
        <f>IFERROR(VLOOKUP(B18,Signal_detection!$A$1:$C$22,3,FALSE),"")</f>
        <v/>
      </c>
      <c r="G18" t="s">
        <v>0</v>
      </c>
    </row>
    <row r="19" spans="1:7" x14ac:dyDescent="0.3">
      <c r="A19" s="5">
        <v>11101084</v>
      </c>
      <c r="B19" t="s">
        <v>168</v>
      </c>
      <c r="C19" t="s">
        <v>2510</v>
      </c>
      <c r="D19" t="s">
        <v>2510</v>
      </c>
      <c r="E19" t="str">
        <f>IFERROR(VLOOKUP(B19,Signal_detection!$A$1:$C$22,2,FALSE),"")</f>
        <v/>
      </c>
      <c r="F19" t="str">
        <f>IFERROR(VLOOKUP(B19,Signal_detection!$A$1:$C$22,3,FALSE),"")</f>
        <v/>
      </c>
      <c r="G19" t="s">
        <v>0</v>
      </c>
    </row>
    <row r="20" spans="1:7" x14ac:dyDescent="0.3">
      <c r="A20" s="5">
        <v>11140907</v>
      </c>
      <c r="B20" t="s">
        <v>102</v>
      </c>
      <c r="C20" t="s">
        <v>102</v>
      </c>
      <c r="D20" t="s">
        <v>2498</v>
      </c>
      <c r="E20" t="str">
        <f>IFERROR(VLOOKUP(B20,Signal_detection!$A$1:$C$22,2,FALSE),"")</f>
        <v/>
      </c>
      <c r="F20" t="str">
        <f>IFERROR(VLOOKUP(B20,Signal_detection!$A$1:$C$22,3,FALSE),"")</f>
        <v/>
      </c>
      <c r="G20" t="s">
        <v>125</v>
      </c>
    </row>
    <row r="21" spans="1:7" x14ac:dyDescent="0.3">
      <c r="A21" s="5">
        <v>11141220</v>
      </c>
      <c r="B21" t="s">
        <v>1209</v>
      </c>
      <c r="C21" t="s">
        <v>2510</v>
      </c>
      <c r="D21" t="s">
        <v>2510</v>
      </c>
      <c r="E21" t="str">
        <f>IFERROR(VLOOKUP(B21,Signal_detection!$A$1:$C$22,2,FALSE),"")</f>
        <v/>
      </c>
      <c r="F21" t="str">
        <f>IFERROR(VLOOKUP(B21,Signal_detection!$A$1:$C$22,3,FALSE),"")</f>
        <v/>
      </c>
      <c r="G21" t="s">
        <v>125</v>
      </c>
    </row>
    <row r="22" spans="1:7" x14ac:dyDescent="0.3">
      <c r="A22" s="5">
        <v>11176570</v>
      </c>
      <c r="B22" t="s">
        <v>221</v>
      </c>
      <c r="C22" t="s">
        <v>2510</v>
      </c>
      <c r="D22" t="s">
        <v>2510</v>
      </c>
      <c r="E22" t="str">
        <f>IFERROR(VLOOKUP(B22,Signal_detection!$A$1:$C$22,2,FALSE),"")</f>
        <v/>
      </c>
      <c r="F22" t="str">
        <f>IFERROR(VLOOKUP(B22,Signal_detection!$A$1:$C$22,3,FALSE),"")</f>
        <v/>
      </c>
      <c r="G22" t="s">
        <v>0</v>
      </c>
    </row>
    <row r="23" spans="1:7" x14ac:dyDescent="0.3">
      <c r="A23" s="5">
        <v>11198503</v>
      </c>
      <c r="B23" t="s">
        <v>1084</v>
      </c>
      <c r="C23" t="s">
        <v>2510</v>
      </c>
      <c r="D23" t="s">
        <v>2510</v>
      </c>
      <c r="E23" t="str">
        <f>IFERROR(VLOOKUP(B23,Signal_detection!$A$1:$C$22,2,FALSE),"")</f>
        <v/>
      </c>
      <c r="F23" t="str">
        <f>IFERROR(VLOOKUP(B23,Signal_detection!$A$1:$C$22,3,FALSE),"")</f>
        <v/>
      </c>
      <c r="G23" t="s">
        <v>0</v>
      </c>
    </row>
    <row r="24" spans="1:7" x14ac:dyDescent="0.3">
      <c r="A24" s="5">
        <v>11202456</v>
      </c>
      <c r="B24" t="s">
        <v>505</v>
      </c>
      <c r="C24" t="s">
        <v>2510</v>
      </c>
      <c r="D24" t="s">
        <v>2510</v>
      </c>
      <c r="E24" t="str">
        <f>IFERROR(VLOOKUP(B24,Signal_detection!$A$1:$C$22,2,FALSE),"")</f>
        <v/>
      </c>
      <c r="F24" t="str">
        <f>IFERROR(VLOOKUP(B24,Signal_detection!$A$1:$C$22,3,FALSE),"")</f>
        <v/>
      </c>
      <c r="G24" t="s">
        <v>0</v>
      </c>
    </row>
    <row r="25" spans="1:7" x14ac:dyDescent="0.3">
      <c r="A25" s="5">
        <v>11242177</v>
      </c>
      <c r="B25" t="s">
        <v>225</v>
      </c>
      <c r="C25" t="s">
        <v>225</v>
      </c>
      <c r="D25" t="s">
        <v>2500</v>
      </c>
      <c r="E25" t="str">
        <f>IFERROR(VLOOKUP(B25,Signal_detection!$A$1:$C$22,2,FALSE),"")</f>
        <v>Probable</v>
      </c>
      <c r="F25" t="str">
        <f>IFERROR(VLOOKUP(B25,Signal_detection!$A$1:$C$22,3,FALSE),"")</f>
        <v>Hematologic signal</v>
      </c>
      <c r="G25" t="s">
        <v>0</v>
      </c>
    </row>
    <row r="26" spans="1:7" x14ac:dyDescent="0.3">
      <c r="A26" s="5">
        <v>11242178</v>
      </c>
      <c r="B26" t="s">
        <v>107</v>
      </c>
      <c r="C26" t="s">
        <v>2510</v>
      </c>
      <c r="D26" t="s">
        <v>2510</v>
      </c>
      <c r="E26" t="str">
        <f>IFERROR(VLOOKUP(B26,Signal_detection!$A$1:$C$22,2,FALSE),"")</f>
        <v/>
      </c>
      <c r="F26" t="str">
        <f>IFERROR(VLOOKUP(B26,Signal_detection!$A$1:$C$22,3,FALSE),"")</f>
        <v/>
      </c>
      <c r="G26" t="s">
        <v>0</v>
      </c>
    </row>
    <row r="27" spans="1:7" x14ac:dyDescent="0.3">
      <c r="A27" s="5">
        <v>11322501</v>
      </c>
      <c r="B27" t="s">
        <v>332</v>
      </c>
      <c r="C27" t="s">
        <v>332</v>
      </c>
      <c r="D27" t="s">
        <v>2507</v>
      </c>
      <c r="E27" t="str">
        <f>IFERROR(VLOOKUP(B27,Signal_detection!$A$1:$C$22,2,FALSE),"")</f>
        <v>Possible</v>
      </c>
      <c r="F27" t="str">
        <f>IFERROR(VLOOKUP(B27,Signal_detection!$A$1:$C$22,3,FALSE),"")</f>
        <v>GI ADR</v>
      </c>
      <c r="G27" t="s">
        <v>0</v>
      </c>
    </row>
    <row r="28" spans="1:7" x14ac:dyDescent="0.3">
      <c r="A28" s="5">
        <v>11342116</v>
      </c>
      <c r="B28" t="s">
        <v>991</v>
      </c>
      <c r="C28" t="s">
        <v>2510</v>
      </c>
      <c r="D28" t="s">
        <v>2510</v>
      </c>
      <c r="E28" t="str">
        <f>IFERROR(VLOOKUP(B28,Signal_detection!$A$1:$C$22,2,FALSE),"")</f>
        <v/>
      </c>
      <c r="F28" t="str">
        <f>IFERROR(VLOOKUP(B28,Signal_detection!$A$1:$C$22,3,FALSE),"")</f>
        <v/>
      </c>
      <c r="G28" t="s">
        <v>0</v>
      </c>
    </row>
    <row r="29" spans="1:7" x14ac:dyDescent="0.3">
      <c r="A29" s="5">
        <v>11404045</v>
      </c>
      <c r="B29" t="s">
        <v>397</v>
      </c>
      <c r="C29" t="s">
        <v>2510</v>
      </c>
      <c r="D29" t="s">
        <v>2510</v>
      </c>
      <c r="E29" t="str">
        <f>IFERROR(VLOOKUP(B29,Signal_detection!$A$1:$C$22,2,FALSE),"")</f>
        <v/>
      </c>
      <c r="F29" t="str">
        <f>IFERROR(VLOOKUP(B29,Signal_detection!$A$1:$C$22,3,FALSE),"")</f>
        <v/>
      </c>
      <c r="G29" t="s">
        <v>0</v>
      </c>
    </row>
    <row r="30" spans="1:7" x14ac:dyDescent="0.3">
      <c r="A30" s="5">
        <v>11489618</v>
      </c>
      <c r="B30" t="s">
        <v>1151</v>
      </c>
      <c r="C30" t="s">
        <v>2510</v>
      </c>
      <c r="D30" t="s">
        <v>2510</v>
      </c>
      <c r="E30" t="str">
        <f>IFERROR(VLOOKUP(B30,Signal_detection!$A$1:$C$22,2,FALSE),"")</f>
        <v/>
      </c>
      <c r="F30" t="str">
        <f>IFERROR(VLOOKUP(B30,Signal_detection!$A$1:$C$22,3,FALSE),"")</f>
        <v/>
      </c>
      <c r="G30" t="s">
        <v>0</v>
      </c>
    </row>
    <row r="31" spans="1:7" x14ac:dyDescent="0.3">
      <c r="A31" s="5">
        <v>11591887</v>
      </c>
      <c r="B31" t="s">
        <v>517</v>
      </c>
      <c r="C31" t="s">
        <v>2510</v>
      </c>
      <c r="D31" t="s">
        <v>2510</v>
      </c>
      <c r="E31" t="str">
        <f>IFERROR(VLOOKUP(B31,Signal_detection!$A$1:$C$22,2,FALSE),"")</f>
        <v/>
      </c>
      <c r="F31" t="str">
        <f>IFERROR(VLOOKUP(B31,Signal_detection!$A$1:$C$22,3,FALSE),"")</f>
        <v/>
      </c>
      <c r="G31" t="s">
        <v>0</v>
      </c>
    </row>
    <row r="32" spans="1:7" x14ac:dyDescent="0.3">
      <c r="A32" s="5">
        <v>11610486</v>
      </c>
      <c r="B32" t="s">
        <v>1542</v>
      </c>
      <c r="C32" t="s">
        <v>2510</v>
      </c>
      <c r="D32" t="s">
        <v>2510</v>
      </c>
      <c r="E32" t="str">
        <f>IFERROR(VLOOKUP(B32,Signal_detection!$A$1:$C$22,2,FALSE),"")</f>
        <v/>
      </c>
      <c r="F32" t="str">
        <f>IFERROR(VLOOKUP(B32,Signal_detection!$A$1:$C$22,3,FALSE),"")</f>
        <v/>
      </c>
      <c r="G32" t="s">
        <v>0</v>
      </c>
    </row>
    <row r="33" spans="1:7" x14ac:dyDescent="0.3">
      <c r="A33" s="5">
        <v>11624304</v>
      </c>
      <c r="B33" t="s">
        <v>896</v>
      </c>
      <c r="C33" t="s">
        <v>896</v>
      </c>
      <c r="D33" t="s">
        <v>2499</v>
      </c>
      <c r="E33" t="str">
        <f>IFERROR(VLOOKUP(B33,Signal_detection!$A$1:$C$22,2,FALSE),"")</f>
        <v>Possible</v>
      </c>
      <c r="F33" t="str">
        <f>IFERROR(VLOOKUP(B33,Signal_detection!$A$1:$C$22,3,FALSE),"")</f>
        <v>Skin ADR</v>
      </c>
      <c r="G33" t="s">
        <v>125</v>
      </c>
    </row>
    <row r="34" spans="1:7" x14ac:dyDescent="0.3">
      <c r="A34" s="5">
        <v>11633442</v>
      </c>
      <c r="B34" t="s">
        <v>396</v>
      </c>
      <c r="C34" t="s">
        <v>2510</v>
      </c>
      <c r="D34" t="s">
        <v>2510</v>
      </c>
      <c r="E34" t="str">
        <f>IFERROR(VLOOKUP(B34,Signal_detection!$A$1:$C$22,2,FALSE),"")</f>
        <v/>
      </c>
      <c r="F34" t="str">
        <f>IFERROR(VLOOKUP(B34,Signal_detection!$A$1:$C$22,3,FALSE),"")</f>
        <v/>
      </c>
      <c r="G34" t="s">
        <v>0</v>
      </c>
    </row>
    <row r="35" spans="1:7" x14ac:dyDescent="0.3">
      <c r="A35" s="5">
        <v>11706030</v>
      </c>
      <c r="B35" t="s">
        <v>109</v>
      </c>
      <c r="C35" t="s">
        <v>2510</v>
      </c>
      <c r="D35" t="s">
        <v>2510</v>
      </c>
      <c r="E35" t="str">
        <f>IFERROR(VLOOKUP(B35,Signal_detection!$A$1:$C$22,2,FALSE),"")</f>
        <v/>
      </c>
      <c r="F35" t="str">
        <f>IFERROR(VLOOKUP(B35,Signal_detection!$A$1:$C$22,3,FALSE),"")</f>
        <v/>
      </c>
      <c r="G35" t="s">
        <v>0</v>
      </c>
    </row>
    <row r="36" spans="1:7" x14ac:dyDescent="0.3">
      <c r="A36" s="5">
        <v>11713362</v>
      </c>
      <c r="B36" t="s">
        <v>152</v>
      </c>
      <c r="C36" t="s">
        <v>2510</v>
      </c>
      <c r="D36" t="s">
        <v>2510</v>
      </c>
      <c r="E36" t="str">
        <f>IFERROR(VLOOKUP(B36,Signal_detection!$A$1:$C$22,2,FALSE),"")</f>
        <v/>
      </c>
      <c r="F36" t="str">
        <f>IFERROR(VLOOKUP(B36,Signal_detection!$A$1:$C$22,3,FALSE),"")</f>
        <v/>
      </c>
      <c r="G36" t="s">
        <v>0</v>
      </c>
    </row>
    <row r="37" spans="1:7" x14ac:dyDescent="0.3">
      <c r="A37" s="5">
        <v>11749584</v>
      </c>
      <c r="B37" t="s">
        <v>567</v>
      </c>
      <c r="C37" t="s">
        <v>2510</v>
      </c>
      <c r="D37" t="s">
        <v>2510</v>
      </c>
      <c r="E37" t="str">
        <f>IFERROR(VLOOKUP(B37,Signal_detection!$A$1:$C$22,2,FALSE),"")</f>
        <v/>
      </c>
      <c r="F37" t="str">
        <f>IFERROR(VLOOKUP(B37,Signal_detection!$A$1:$C$22,3,FALSE),"")</f>
        <v/>
      </c>
      <c r="G37" t="s">
        <v>0</v>
      </c>
    </row>
    <row r="38" spans="1:7" x14ac:dyDescent="0.3">
      <c r="A38" s="5">
        <v>11817639</v>
      </c>
      <c r="B38" t="s">
        <v>33</v>
      </c>
      <c r="C38" t="s">
        <v>2510</v>
      </c>
      <c r="D38" t="s">
        <v>2510</v>
      </c>
      <c r="E38" t="str">
        <f>IFERROR(VLOOKUP(B38,Signal_detection!$A$1:$C$22,2,FALSE),"")</f>
        <v/>
      </c>
      <c r="F38" t="str">
        <f>IFERROR(VLOOKUP(B38,Signal_detection!$A$1:$C$22,3,FALSE),"")</f>
        <v/>
      </c>
      <c r="G38" t="s">
        <v>125</v>
      </c>
    </row>
    <row r="39" spans="1:7" x14ac:dyDescent="0.3">
      <c r="A39" s="5">
        <v>11844191</v>
      </c>
      <c r="B39" t="s">
        <v>1610</v>
      </c>
      <c r="C39" t="s">
        <v>2510</v>
      </c>
      <c r="D39" t="s">
        <v>2510</v>
      </c>
      <c r="E39" t="str">
        <f>IFERROR(VLOOKUP(B39,Signal_detection!$A$1:$C$22,2,FALSE),"")</f>
        <v/>
      </c>
      <c r="F39" t="str">
        <f>IFERROR(VLOOKUP(B39,Signal_detection!$A$1:$C$22,3,FALSE),"")</f>
        <v/>
      </c>
      <c r="G39" t="s">
        <v>0</v>
      </c>
    </row>
    <row r="40" spans="1:7" x14ac:dyDescent="0.3">
      <c r="A40" s="5">
        <v>11844688</v>
      </c>
      <c r="B40" t="s">
        <v>741</v>
      </c>
      <c r="C40" t="s">
        <v>741</v>
      </c>
      <c r="D40" t="s">
        <v>2505</v>
      </c>
      <c r="E40" t="str">
        <f>IFERROR(VLOOKUP(B40,Signal_detection!$A$1:$C$22,2,FALSE),"")</f>
        <v/>
      </c>
      <c r="F40" t="str">
        <f>IFERROR(VLOOKUP(B40,Signal_detection!$A$1:$C$22,3,FALSE),"")</f>
        <v/>
      </c>
      <c r="G40" t="s">
        <v>0</v>
      </c>
    </row>
    <row r="41" spans="1:7" x14ac:dyDescent="0.3">
      <c r="A41" s="5">
        <v>11971850</v>
      </c>
      <c r="B41" t="s">
        <v>1613</v>
      </c>
      <c r="C41" t="s">
        <v>2510</v>
      </c>
      <c r="D41" t="s">
        <v>2510</v>
      </c>
      <c r="E41" t="str">
        <f>IFERROR(VLOOKUP(B41,Signal_detection!$A$1:$C$22,2,FALSE),"")</f>
        <v/>
      </c>
      <c r="F41" t="str">
        <f>IFERROR(VLOOKUP(B41,Signal_detection!$A$1:$C$22,3,FALSE),"")</f>
        <v/>
      </c>
      <c r="G41" t="s">
        <v>0</v>
      </c>
    </row>
    <row r="42" spans="1:7" x14ac:dyDescent="0.3">
      <c r="A42" s="5">
        <v>11982644</v>
      </c>
      <c r="B42" t="s">
        <v>1419</v>
      </c>
      <c r="C42" t="s">
        <v>2510</v>
      </c>
      <c r="D42" t="s">
        <v>2510</v>
      </c>
      <c r="E42" t="str">
        <f>IFERROR(VLOOKUP(B42,Signal_detection!$A$1:$C$22,2,FALSE),"")</f>
        <v/>
      </c>
      <c r="F42" t="str">
        <f>IFERROR(VLOOKUP(B42,Signal_detection!$A$1:$C$22,3,FALSE),"")</f>
        <v/>
      </c>
      <c r="G42" t="s">
        <v>0</v>
      </c>
    </row>
    <row r="43" spans="1:7" x14ac:dyDescent="0.3">
      <c r="A43" s="5">
        <v>11987598</v>
      </c>
      <c r="B43" t="s">
        <v>216</v>
      </c>
      <c r="C43" t="s">
        <v>216</v>
      </c>
      <c r="D43" t="s">
        <v>2495</v>
      </c>
      <c r="E43" t="str">
        <f>IFERROR(VLOOKUP(B43,Signal_detection!$A$1:$C$22,2,FALSE),"")</f>
        <v>Probable</v>
      </c>
      <c r="F43" t="str">
        <f>IFERROR(VLOOKUP(B43,Signal_detection!$A$1:$C$22,3,FALSE),"")</f>
        <v>Severe hypersensitivity</v>
      </c>
      <c r="G43" t="s">
        <v>0</v>
      </c>
    </row>
    <row r="44" spans="1:7" x14ac:dyDescent="0.3">
      <c r="A44" s="5">
        <v>11987895</v>
      </c>
      <c r="B44" t="s">
        <v>285</v>
      </c>
      <c r="C44" t="s">
        <v>2510</v>
      </c>
      <c r="D44" t="s">
        <v>2510</v>
      </c>
      <c r="E44" t="str">
        <f>IFERROR(VLOOKUP(B44,Signal_detection!$A$1:$C$22,2,FALSE),"")</f>
        <v/>
      </c>
      <c r="F44" t="str">
        <f>IFERROR(VLOOKUP(B44,Signal_detection!$A$1:$C$22,3,FALSE),"")</f>
        <v/>
      </c>
      <c r="G44" t="s">
        <v>0</v>
      </c>
    </row>
    <row r="45" spans="1:7" x14ac:dyDescent="0.3">
      <c r="A45" s="5">
        <v>12088971</v>
      </c>
      <c r="B45" t="s">
        <v>1468</v>
      </c>
      <c r="C45" t="s">
        <v>2510</v>
      </c>
      <c r="D45" t="s">
        <v>2510</v>
      </c>
      <c r="E45" t="str">
        <f>IFERROR(VLOOKUP(B45,Signal_detection!$A$1:$C$22,2,FALSE),"")</f>
        <v/>
      </c>
      <c r="F45" t="str">
        <f>IFERROR(VLOOKUP(B45,Signal_detection!$A$1:$C$22,3,FALSE),"")</f>
        <v/>
      </c>
      <c r="G45" t="s">
        <v>0</v>
      </c>
    </row>
    <row r="46" spans="1:7" x14ac:dyDescent="0.3">
      <c r="A46" s="5">
        <v>12092675</v>
      </c>
      <c r="B46" t="s">
        <v>1288</v>
      </c>
      <c r="C46" t="s">
        <v>2510</v>
      </c>
      <c r="D46" t="s">
        <v>2510</v>
      </c>
      <c r="E46" t="str">
        <f>IFERROR(VLOOKUP(B46,Signal_detection!$A$1:$C$22,2,FALSE),"")</f>
        <v/>
      </c>
      <c r="F46" t="str">
        <f>IFERROR(VLOOKUP(B46,Signal_detection!$A$1:$C$22,3,FALSE),"")</f>
        <v/>
      </c>
      <c r="G46" t="s">
        <v>0</v>
      </c>
    </row>
    <row r="47" spans="1:7" x14ac:dyDescent="0.3">
      <c r="A47" s="5">
        <v>12098603</v>
      </c>
      <c r="B47" t="s">
        <v>126</v>
      </c>
      <c r="C47" t="s">
        <v>126</v>
      </c>
      <c r="D47" t="s">
        <v>2497</v>
      </c>
      <c r="E47" t="str">
        <f>IFERROR(VLOOKUP(B47,Signal_detection!$A$1:$C$22,2,FALSE),"")</f>
        <v>Unlikely</v>
      </c>
      <c r="F47" t="str">
        <f>IFERROR(VLOOKUP(B47,Signal_detection!$A$1:$C$22,3,FALSE),"")</f>
        <v>Non-ADR</v>
      </c>
      <c r="G47" t="s">
        <v>0</v>
      </c>
    </row>
    <row r="48" spans="1:7" x14ac:dyDescent="0.3">
      <c r="A48" s="5">
        <v>12114532</v>
      </c>
      <c r="B48" t="s">
        <v>1005</v>
      </c>
      <c r="C48" t="s">
        <v>2510</v>
      </c>
      <c r="D48" t="s">
        <v>2510</v>
      </c>
      <c r="E48" t="str">
        <f>IFERROR(VLOOKUP(B48,Signal_detection!$A$1:$C$22,2,FALSE),"")</f>
        <v/>
      </c>
      <c r="F48" t="str">
        <f>IFERROR(VLOOKUP(B48,Signal_detection!$A$1:$C$22,3,FALSE),"")</f>
        <v/>
      </c>
      <c r="G48" t="s">
        <v>0</v>
      </c>
    </row>
    <row r="49" spans="1:7" x14ac:dyDescent="0.3">
      <c r="A49" s="5">
        <v>12168501</v>
      </c>
      <c r="B49" t="s">
        <v>397</v>
      </c>
      <c r="C49" t="s">
        <v>2510</v>
      </c>
      <c r="D49" t="s">
        <v>2510</v>
      </c>
      <c r="E49" t="str">
        <f>IFERROR(VLOOKUP(B49,Signal_detection!$A$1:$C$22,2,FALSE),"")</f>
        <v/>
      </c>
      <c r="F49" t="str">
        <f>IFERROR(VLOOKUP(B49,Signal_detection!$A$1:$C$22,3,FALSE),"")</f>
        <v/>
      </c>
      <c r="G49" t="s">
        <v>0</v>
      </c>
    </row>
    <row r="50" spans="1:7" x14ac:dyDescent="0.3">
      <c r="A50" s="5">
        <v>12233210</v>
      </c>
      <c r="B50" t="s">
        <v>1165</v>
      </c>
      <c r="C50" t="s">
        <v>2510</v>
      </c>
      <c r="D50" t="s">
        <v>2510</v>
      </c>
      <c r="E50" t="str">
        <f>IFERROR(VLOOKUP(B50,Signal_detection!$A$1:$C$22,2,FALSE),"")</f>
        <v/>
      </c>
      <c r="F50" t="str">
        <f>IFERROR(VLOOKUP(B50,Signal_detection!$A$1:$C$22,3,FALSE),"")</f>
        <v/>
      </c>
      <c r="G50" t="s">
        <v>0</v>
      </c>
    </row>
    <row r="51" spans="1:7" x14ac:dyDescent="0.3">
      <c r="A51" s="5">
        <v>12394229</v>
      </c>
      <c r="B51" t="s">
        <v>833</v>
      </c>
      <c r="C51" t="s">
        <v>2510</v>
      </c>
      <c r="D51" t="s">
        <v>2510</v>
      </c>
      <c r="E51" t="str">
        <f>IFERROR(VLOOKUP(B51,Signal_detection!$A$1:$C$22,2,FALSE),"")</f>
        <v/>
      </c>
      <c r="F51" t="str">
        <f>IFERROR(VLOOKUP(B51,Signal_detection!$A$1:$C$22,3,FALSE),"")</f>
        <v/>
      </c>
      <c r="G51" t="s">
        <v>0</v>
      </c>
    </row>
    <row r="52" spans="1:7" x14ac:dyDescent="0.3">
      <c r="A52" s="5">
        <v>12454848</v>
      </c>
      <c r="B52" t="s">
        <v>179</v>
      </c>
      <c r="C52" t="s">
        <v>2510</v>
      </c>
      <c r="D52" t="s">
        <v>2510</v>
      </c>
      <c r="E52" t="str">
        <f>IFERROR(VLOOKUP(B52,Signal_detection!$A$1:$C$22,2,FALSE),"")</f>
        <v/>
      </c>
      <c r="F52" t="str">
        <f>IFERROR(VLOOKUP(B52,Signal_detection!$A$1:$C$22,3,FALSE),"")</f>
        <v/>
      </c>
      <c r="G52" t="s">
        <v>0</v>
      </c>
    </row>
    <row r="53" spans="1:7" x14ac:dyDescent="0.3">
      <c r="A53" s="5">
        <v>12461980</v>
      </c>
      <c r="B53" t="s">
        <v>755</v>
      </c>
      <c r="C53" t="s">
        <v>2510</v>
      </c>
      <c r="D53" t="s">
        <v>2510</v>
      </c>
      <c r="E53" t="str">
        <f>IFERROR(VLOOKUP(B53,Signal_detection!$A$1:$C$22,2,FALSE),"")</f>
        <v/>
      </c>
      <c r="F53" t="str">
        <f>IFERROR(VLOOKUP(B53,Signal_detection!$A$1:$C$22,3,FALSE),"")</f>
        <v/>
      </c>
      <c r="G53" t="s">
        <v>125</v>
      </c>
    </row>
    <row r="54" spans="1:7" x14ac:dyDescent="0.3">
      <c r="A54" s="5">
        <v>12468340</v>
      </c>
      <c r="B54" t="s">
        <v>875</v>
      </c>
      <c r="C54" t="s">
        <v>2510</v>
      </c>
      <c r="D54" t="s">
        <v>2510</v>
      </c>
      <c r="E54" t="str">
        <f>IFERROR(VLOOKUP(B54,Signal_detection!$A$1:$C$22,2,FALSE),"")</f>
        <v/>
      </c>
      <c r="F54" t="str">
        <f>IFERROR(VLOOKUP(B54,Signal_detection!$A$1:$C$22,3,FALSE),"")</f>
        <v/>
      </c>
      <c r="G54" t="s">
        <v>0</v>
      </c>
    </row>
    <row r="55" spans="1:7" x14ac:dyDescent="0.3">
      <c r="A55" s="5">
        <v>12493060</v>
      </c>
      <c r="B55" t="s">
        <v>1226</v>
      </c>
      <c r="C55" t="s">
        <v>2510</v>
      </c>
      <c r="D55" t="s">
        <v>2510</v>
      </c>
      <c r="E55" t="str">
        <f>IFERROR(VLOOKUP(B55,Signal_detection!$A$1:$C$22,2,FALSE),"")</f>
        <v/>
      </c>
      <c r="F55" t="str">
        <f>IFERROR(VLOOKUP(B55,Signal_detection!$A$1:$C$22,3,FALSE),"")</f>
        <v/>
      </c>
      <c r="G55" t="s">
        <v>0</v>
      </c>
    </row>
    <row r="56" spans="1:7" x14ac:dyDescent="0.3">
      <c r="A56" s="5">
        <v>12496635</v>
      </c>
      <c r="B56" t="s">
        <v>650</v>
      </c>
      <c r="C56" t="s">
        <v>2510</v>
      </c>
      <c r="D56" t="s">
        <v>2510</v>
      </c>
      <c r="E56" t="str">
        <f>IFERROR(VLOOKUP(B56,Signal_detection!$A$1:$C$22,2,FALSE),"")</f>
        <v/>
      </c>
      <c r="F56" t="str">
        <f>IFERROR(VLOOKUP(B56,Signal_detection!$A$1:$C$22,3,FALSE),"")</f>
        <v/>
      </c>
      <c r="G56" t="s">
        <v>0</v>
      </c>
    </row>
    <row r="57" spans="1:7" x14ac:dyDescent="0.3">
      <c r="A57" s="5">
        <v>12501748</v>
      </c>
      <c r="B57" t="s">
        <v>1391</v>
      </c>
      <c r="C57" t="s">
        <v>2510</v>
      </c>
      <c r="D57" t="s">
        <v>2510</v>
      </c>
      <c r="E57" t="str">
        <f>IFERROR(VLOOKUP(B57,Signal_detection!$A$1:$C$22,2,FALSE),"")</f>
        <v/>
      </c>
      <c r="F57" t="str">
        <f>IFERROR(VLOOKUP(B57,Signal_detection!$A$1:$C$22,3,FALSE),"")</f>
        <v/>
      </c>
      <c r="G57" t="s">
        <v>0</v>
      </c>
    </row>
    <row r="58" spans="1:7" x14ac:dyDescent="0.3">
      <c r="A58" s="5">
        <v>12541347</v>
      </c>
      <c r="B58" t="s">
        <v>378</v>
      </c>
      <c r="C58" t="s">
        <v>378</v>
      </c>
      <c r="D58" t="s">
        <v>2503</v>
      </c>
      <c r="E58" t="str">
        <f>IFERROR(VLOOKUP(B58,Signal_detection!$A$1:$C$22,2,FALSE),"")</f>
        <v>Probable</v>
      </c>
      <c r="F58" t="str">
        <f>IFERROR(VLOOKUP(B58,Signal_detection!$A$1:$C$22,3,FALSE),"")</f>
        <v>Neurological signal</v>
      </c>
      <c r="G58" t="s">
        <v>0</v>
      </c>
    </row>
    <row r="59" spans="1:7" x14ac:dyDescent="0.3">
      <c r="A59" s="5">
        <v>12607639</v>
      </c>
      <c r="B59" t="s">
        <v>275</v>
      </c>
      <c r="C59" t="s">
        <v>2510</v>
      </c>
      <c r="D59" t="s">
        <v>2510</v>
      </c>
      <c r="E59" t="str">
        <f>IFERROR(VLOOKUP(B59,Signal_detection!$A$1:$C$22,2,FALSE),"")</f>
        <v/>
      </c>
      <c r="F59" t="str">
        <f>IFERROR(VLOOKUP(B59,Signal_detection!$A$1:$C$22,3,FALSE),"")</f>
        <v/>
      </c>
      <c r="G59" t="s">
        <v>0</v>
      </c>
    </row>
    <row r="60" spans="1:7" x14ac:dyDescent="0.3">
      <c r="A60" s="5">
        <v>12631786</v>
      </c>
      <c r="B60" t="s">
        <v>1315</v>
      </c>
      <c r="C60" t="s">
        <v>2510</v>
      </c>
      <c r="D60" t="s">
        <v>2510</v>
      </c>
      <c r="E60" t="str">
        <f>IFERROR(VLOOKUP(B60,Signal_detection!$A$1:$C$22,2,FALSE),"")</f>
        <v/>
      </c>
      <c r="F60" t="str">
        <f>IFERROR(VLOOKUP(B60,Signal_detection!$A$1:$C$22,3,FALSE),"")</f>
        <v/>
      </c>
      <c r="G60" t="s">
        <v>0</v>
      </c>
    </row>
    <row r="61" spans="1:7" x14ac:dyDescent="0.3">
      <c r="A61" s="5">
        <v>12653514</v>
      </c>
      <c r="B61" t="s">
        <v>354</v>
      </c>
      <c r="C61" t="s">
        <v>2510</v>
      </c>
      <c r="D61" t="s">
        <v>2510</v>
      </c>
      <c r="E61" t="str">
        <f>IFERROR(VLOOKUP(B61,Signal_detection!$A$1:$C$22,2,FALSE),"")</f>
        <v/>
      </c>
      <c r="F61" t="str">
        <f>IFERROR(VLOOKUP(B61,Signal_detection!$A$1:$C$22,3,FALSE),"")</f>
        <v/>
      </c>
      <c r="G61" t="s">
        <v>0</v>
      </c>
    </row>
    <row r="62" spans="1:7" x14ac:dyDescent="0.3">
      <c r="A62" s="5">
        <v>12675092</v>
      </c>
      <c r="B62" t="s">
        <v>608</v>
      </c>
      <c r="C62" t="s">
        <v>608</v>
      </c>
      <c r="D62" t="s">
        <v>2504</v>
      </c>
      <c r="E62" t="str">
        <f>IFERROR(VLOOKUP(B62,Signal_detection!$A$1:$C$22,2,FALSE),"")</f>
        <v>Probable</v>
      </c>
      <c r="F62" t="str">
        <f>IFERROR(VLOOKUP(B62,Signal_detection!$A$1:$C$22,3,FALSE),"")</f>
        <v>Renal safety signal</v>
      </c>
      <c r="G62" t="s">
        <v>0</v>
      </c>
    </row>
    <row r="63" spans="1:7" x14ac:dyDescent="0.3">
      <c r="A63" s="5">
        <v>12711230</v>
      </c>
      <c r="B63" t="s">
        <v>742</v>
      </c>
      <c r="C63" t="s">
        <v>2510</v>
      </c>
      <c r="D63" t="s">
        <v>2510</v>
      </c>
      <c r="E63" t="str">
        <f>IFERROR(VLOOKUP(B63,Signal_detection!$A$1:$C$22,2,FALSE),"")</f>
        <v/>
      </c>
      <c r="F63" t="str">
        <f>IFERROR(VLOOKUP(B63,Signal_detection!$A$1:$C$22,3,FALSE),"")</f>
        <v/>
      </c>
      <c r="G63" t="s">
        <v>0</v>
      </c>
    </row>
    <row r="64" spans="1:7" x14ac:dyDescent="0.3">
      <c r="A64" s="5">
        <v>12732919</v>
      </c>
      <c r="B64" t="s">
        <v>745</v>
      </c>
      <c r="C64" t="s">
        <v>2510</v>
      </c>
      <c r="D64" t="s">
        <v>2510</v>
      </c>
      <c r="E64" t="str">
        <f>IFERROR(VLOOKUP(B64,Signal_detection!$A$1:$C$22,2,FALSE),"")</f>
        <v/>
      </c>
      <c r="F64" t="str">
        <f>IFERROR(VLOOKUP(B64,Signal_detection!$A$1:$C$22,3,FALSE),"")</f>
        <v/>
      </c>
      <c r="G64" t="s">
        <v>0</v>
      </c>
    </row>
    <row r="65" spans="1:7" x14ac:dyDescent="0.3">
      <c r="A65" s="5">
        <v>12756396</v>
      </c>
      <c r="B65" t="s">
        <v>249</v>
      </c>
      <c r="C65" t="s">
        <v>2510</v>
      </c>
      <c r="D65" t="s">
        <v>2510</v>
      </c>
      <c r="E65" t="str">
        <f>IFERROR(VLOOKUP(B65,Signal_detection!$A$1:$C$22,2,FALSE),"")</f>
        <v/>
      </c>
      <c r="F65" t="str">
        <f>IFERROR(VLOOKUP(B65,Signal_detection!$A$1:$C$22,3,FALSE),"")</f>
        <v/>
      </c>
      <c r="G65" t="s">
        <v>0</v>
      </c>
    </row>
    <row r="66" spans="1:7" x14ac:dyDescent="0.3">
      <c r="A66" s="5">
        <v>12773286</v>
      </c>
      <c r="B66" t="s">
        <v>76</v>
      </c>
      <c r="C66" t="s">
        <v>2510</v>
      </c>
      <c r="D66" t="s">
        <v>2510</v>
      </c>
      <c r="E66" t="str">
        <f>IFERROR(VLOOKUP(B66,Signal_detection!$A$1:$C$22,2,FALSE),"")</f>
        <v/>
      </c>
      <c r="F66" t="str">
        <f>IFERROR(VLOOKUP(B66,Signal_detection!$A$1:$C$22,3,FALSE),"")</f>
        <v/>
      </c>
      <c r="G66" t="s">
        <v>0</v>
      </c>
    </row>
    <row r="67" spans="1:7" x14ac:dyDescent="0.3">
      <c r="A67" s="5">
        <v>12775353</v>
      </c>
      <c r="B67" t="s">
        <v>215</v>
      </c>
      <c r="C67" t="s">
        <v>2510</v>
      </c>
      <c r="D67" t="s">
        <v>2510</v>
      </c>
      <c r="E67" t="str">
        <f>IFERROR(VLOOKUP(B67,Signal_detection!$A$1:$C$22,2,FALSE),"")</f>
        <v/>
      </c>
      <c r="F67" t="str">
        <f>IFERROR(VLOOKUP(B67,Signal_detection!$A$1:$C$22,3,FALSE),"")</f>
        <v/>
      </c>
      <c r="G67" t="s">
        <v>0</v>
      </c>
    </row>
    <row r="68" spans="1:7" x14ac:dyDescent="0.3">
      <c r="A68" s="5">
        <v>12785185</v>
      </c>
      <c r="B68" t="s">
        <v>579</v>
      </c>
      <c r="C68" t="s">
        <v>2510</v>
      </c>
      <c r="D68" t="s">
        <v>2510</v>
      </c>
      <c r="E68" t="str">
        <f>IFERROR(VLOOKUP(B68,Signal_detection!$A$1:$C$22,2,FALSE),"")</f>
        <v/>
      </c>
      <c r="F68" t="str">
        <f>IFERROR(VLOOKUP(B68,Signal_detection!$A$1:$C$22,3,FALSE),"")</f>
        <v/>
      </c>
      <c r="G68" t="s">
        <v>0</v>
      </c>
    </row>
    <row r="69" spans="1:7" x14ac:dyDescent="0.3">
      <c r="A69" s="5">
        <v>12794381</v>
      </c>
      <c r="B69" t="s">
        <v>102</v>
      </c>
      <c r="C69" t="s">
        <v>102</v>
      </c>
      <c r="D69" t="s">
        <v>2498</v>
      </c>
      <c r="E69" t="str">
        <f>IFERROR(VLOOKUP(B69,Signal_detection!$A$1:$C$22,2,FALSE),"")</f>
        <v/>
      </c>
      <c r="F69" t="str">
        <f>IFERROR(VLOOKUP(B69,Signal_detection!$A$1:$C$22,3,FALSE),"")</f>
        <v/>
      </c>
      <c r="G69" t="s">
        <v>125</v>
      </c>
    </row>
    <row r="70" spans="1:7" x14ac:dyDescent="0.3">
      <c r="A70" s="5">
        <v>12794519</v>
      </c>
      <c r="B70" t="s">
        <v>1083</v>
      </c>
      <c r="C70" t="s">
        <v>2510</v>
      </c>
      <c r="D70" t="s">
        <v>2510</v>
      </c>
      <c r="E70" t="str">
        <f>IFERROR(VLOOKUP(B70,Signal_detection!$A$1:$C$22,2,FALSE),"")</f>
        <v/>
      </c>
      <c r="F70" t="str">
        <f>IFERROR(VLOOKUP(B70,Signal_detection!$A$1:$C$22,3,FALSE),"")</f>
        <v/>
      </c>
      <c r="G70" t="s">
        <v>125</v>
      </c>
    </row>
    <row r="71" spans="1:7" x14ac:dyDescent="0.3">
      <c r="A71" s="5">
        <v>12800446</v>
      </c>
      <c r="B71" t="s">
        <v>1328</v>
      </c>
      <c r="C71" t="s">
        <v>2510</v>
      </c>
      <c r="D71" t="s">
        <v>2510</v>
      </c>
      <c r="E71" t="str">
        <f>IFERROR(VLOOKUP(B71,Signal_detection!$A$1:$C$22,2,FALSE),"")</f>
        <v/>
      </c>
      <c r="F71" t="str">
        <f>IFERROR(VLOOKUP(B71,Signal_detection!$A$1:$C$22,3,FALSE),"")</f>
        <v/>
      </c>
      <c r="G71" t="s">
        <v>0</v>
      </c>
    </row>
    <row r="72" spans="1:7" x14ac:dyDescent="0.3">
      <c r="A72" s="5">
        <v>12825513</v>
      </c>
      <c r="B72" t="s">
        <v>1097</v>
      </c>
      <c r="C72" t="s">
        <v>2510</v>
      </c>
      <c r="D72" t="s">
        <v>2510</v>
      </c>
      <c r="E72" t="str">
        <f>IFERROR(VLOOKUP(B72,Signal_detection!$A$1:$C$22,2,FALSE),"")</f>
        <v/>
      </c>
      <c r="F72" t="str">
        <f>IFERROR(VLOOKUP(B72,Signal_detection!$A$1:$C$22,3,FALSE),"")</f>
        <v/>
      </c>
      <c r="G72" t="s">
        <v>0</v>
      </c>
    </row>
    <row r="73" spans="1:7" x14ac:dyDescent="0.3">
      <c r="A73" s="5">
        <v>12856938</v>
      </c>
      <c r="B73" t="s">
        <v>126</v>
      </c>
      <c r="C73" t="s">
        <v>126</v>
      </c>
      <c r="D73" t="s">
        <v>2497</v>
      </c>
      <c r="E73" t="str">
        <f>IFERROR(VLOOKUP(B73,Signal_detection!$A$1:$C$22,2,FALSE),"")</f>
        <v>Unlikely</v>
      </c>
      <c r="F73" t="str">
        <f>IFERROR(VLOOKUP(B73,Signal_detection!$A$1:$C$22,3,FALSE),"")</f>
        <v>Non-ADR</v>
      </c>
      <c r="G73" t="s">
        <v>125</v>
      </c>
    </row>
    <row r="74" spans="1:7" x14ac:dyDescent="0.3">
      <c r="A74" s="5">
        <v>12905536</v>
      </c>
      <c r="B74" t="s">
        <v>1178</v>
      </c>
      <c r="C74" t="s">
        <v>2510</v>
      </c>
      <c r="D74" t="s">
        <v>2510</v>
      </c>
      <c r="E74" t="str">
        <f>IFERROR(VLOOKUP(B74,Signal_detection!$A$1:$C$22,2,FALSE),"")</f>
        <v/>
      </c>
      <c r="F74" t="str">
        <f>IFERROR(VLOOKUP(B74,Signal_detection!$A$1:$C$22,3,FALSE),"")</f>
        <v/>
      </c>
      <c r="G74" t="s">
        <v>0</v>
      </c>
    </row>
    <row r="75" spans="1:7" x14ac:dyDescent="0.3">
      <c r="A75" s="5">
        <v>12947869</v>
      </c>
      <c r="B75" t="s">
        <v>980</v>
      </c>
      <c r="C75" t="s">
        <v>2510</v>
      </c>
      <c r="D75" t="s">
        <v>2510</v>
      </c>
      <c r="E75" t="str">
        <f>IFERROR(VLOOKUP(B75,Signal_detection!$A$1:$C$22,2,FALSE),"")</f>
        <v/>
      </c>
      <c r="F75" t="str">
        <f>IFERROR(VLOOKUP(B75,Signal_detection!$A$1:$C$22,3,FALSE),"")</f>
        <v/>
      </c>
      <c r="G75" t="s">
        <v>0</v>
      </c>
    </row>
    <row r="76" spans="1:7" x14ac:dyDescent="0.3">
      <c r="A76" s="5">
        <v>12970249</v>
      </c>
      <c r="B76" t="s">
        <v>138</v>
      </c>
      <c r="C76" t="s">
        <v>2510</v>
      </c>
      <c r="D76" t="s">
        <v>2510</v>
      </c>
      <c r="E76" t="str">
        <f>IFERROR(VLOOKUP(B76,Signal_detection!$A$1:$C$22,2,FALSE),"")</f>
        <v/>
      </c>
      <c r="F76" t="str">
        <f>IFERROR(VLOOKUP(B76,Signal_detection!$A$1:$C$22,3,FALSE),"")</f>
        <v/>
      </c>
      <c r="G76" t="s">
        <v>0</v>
      </c>
    </row>
    <row r="77" spans="1:7" x14ac:dyDescent="0.3">
      <c r="A77" s="5">
        <v>12977814</v>
      </c>
      <c r="B77" t="s">
        <v>896</v>
      </c>
      <c r="C77" t="s">
        <v>896</v>
      </c>
      <c r="D77" t="s">
        <v>2499</v>
      </c>
      <c r="E77" t="str">
        <f>IFERROR(VLOOKUP(B77,Signal_detection!$A$1:$C$22,2,FALSE),"")</f>
        <v>Possible</v>
      </c>
      <c r="F77" t="str">
        <f>IFERROR(VLOOKUP(B77,Signal_detection!$A$1:$C$22,3,FALSE),"")</f>
        <v>Skin ADR</v>
      </c>
      <c r="G77" t="s">
        <v>0</v>
      </c>
    </row>
    <row r="78" spans="1:7" x14ac:dyDescent="0.3">
      <c r="A78" s="5">
        <v>13003676</v>
      </c>
      <c r="B78" t="s">
        <v>1267</v>
      </c>
      <c r="C78" t="s">
        <v>2510</v>
      </c>
      <c r="D78" t="s">
        <v>2510</v>
      </c>
      <c r="E78" t="str">
        <f>IFERROR(VLOOKUP(B78,Signal_detection!$A$1:$C$22,2,FALSE),"")</f>
        <v/>
      </c>
      <c r="F78" t="str">
        <f>IFERROR(VLOOKUP(B78,Signal_detection!$A$1:$C$22,3,FALSE),"")</f>
        <v/>
      </c>
      <c r="G78" t="s">
        <v>0</v>
      </c>
    </row>
    <row r="79" spans="1:7" x14ac:dyDescent="0.3">
      <c r="A79" s="5">
        <v>13042481</v>
      </c>
      <c r="B79" t="s">
        <v>551</v>
      </c>
      <c r="C79" t="s">
        <v>2510</v>
      </c>
      <c r="D79" t="s">
        <v>2510</v>
      </c>
      <c r="E79" t="str">
        <f>IFERROR(VLOOKUP(B79,Signal_detection!$A$1:$C$22,2,FALSE),"")</f>
        <v/>
      </c>
      <c r="F79" t="str">
        <f>IFERROR(VLOOKUP(B79,Signal_detection!$A$1:$C$22,3,FALSE),"")</f>
        <v/>
      </c>
      <c r="G79" t="s">
        <v>0</v>
      </c>
    </row>
    <row r="80" spans="1:7" x14ac:dyDescent="0.3">
      <c r="A80" s="5">
        <v>13052897</v>
      </c>
      <c r="B80" t="s">
        <v>165</v>
      </c>
      <c r="C80" t="s">
        <v>165</v>
      </c>
      <c r="D80" t="s">
        <v>2496</v>
      </c>
      <c r="E80" t="str">
        <f>IFERROR(VLOOKUP(B80,Signal_detection!$A$1:$C$22,2,FALSE),"")</f>
        <v/>
      </c>
      <c r="F80" t="str">
        <f>IFERROR(VLOOKUP(B80,Signal_detection!$A$1:$C$22,3,FALSE),"")</f>
        <v/>
      </c>
      <c r="G80" t="s">
        <v>0</v>
      </c>
    </row>
    <row r="81" spans="1:7" x14ac:dyDescent="0.3">
      <c r="A81" s="5">
        <v>13116045</v>
      </c>
      <c r="B81" t="s">
        <v>666</v>
      </c>
      <c r="C81" t="s">
        <v>2510</v>
      </c>
      <c r="D81" t="s">
        <v>2510</v>
      </c>
      <c r="E81" t="str">
        <f>IFERROR(VLOOKUP(B81,Signal_detection!$A$1:$C$22,2,FALSE),"")</f>
        <v/>
      </c>
      <c r="F81" t="str">
        <f>IFERROR(VLOOKUP(B81,Signal_detection!$A$1:$C$22,3,FALSE),"")</f>
        <v/>
      </c>
      <c r="G81" t="s">
        <v>125</v>
      </c>
    </row>
    <row r="82" spans="1:7" x14ac:dyDescent="0.3">
      <c r="A82" s="5">
        <v>13120063</v>
      </c>
      <c r="B82" t="s">
        <v>255</v>
      </c>
      <c r="C82" t="s">
        <v>2510</v>
      </c>
      <c r="D82" t="s">
        <v>2510</v>
      </c>
      <c r="E82" t="str">
        <f>IFERROR(VLOOKUP(B82,Signal_detection!$A$1:$C$22,2,FALSE),"")</f>
        <v>Probable</v>
      </c>
      <c r="F82" t="str">
        <f>IFERROR(VLOOKUP(B82,Signal_detection!$A$1:$C$22,3,FALSE),"")</f>
        <v>Infection signal</v>
      </c>
      <c r="G82" t="s">
        <v>0</v>
      </c>
    </row>
    <row r="83" spans="1:7" x14ac:dyDescent="0.3">
      <c r="A83" s="5">
        <v>13149197</v>
      </c>
      <c r="B83" t="s">
        <v>255</v>
      </c>
      <c r="C83" t="s">
        <v>2510</v>
      </c>
      <c r="D83" t="s">
        <v>2510</v>
      </c>
      <c r="E83" t="str">
        <f>IFERROR(VLOOKUP(B83,Signal_detection!$A$1:$C$22,2,FALSE),"")</f>
        <v>Probable</v>
      </c>
      <c r="F83" t="str">
        <f>IFERROR(VLOOKUP(B83,Signal_detection!$A$1:$C$22,3,FALSE),"")</f>
        <v>Infection signal</v>
      </c>
      <c r="G83" t="s">
        <v>0</v>
      </c>
    </row>
    <row r="84" spans="1:7" x14ac:dyDescent="0.3">
      <c r="A84" s="5">
        <v>13225778</v>
      </c>
      <c r="B84" t="s">
        <v>838</v>
      </c>
      <c r="C84" t="s">
        <v>838</v>
      </c>
      <c r="D84" t="s">
        <v>2495</v>
      </c>
      <c r="E84" t="str">
        <f>IFERROR(VLOOKUP(B84,Signal_detection!$A$1:$C$22,2,FALSE),"")</f>
        <v>Probable</v>
      </c>
      <c r="F84" t="str">
        <f>IFERROR(VLOOKUP(B84,Signal_detection!$A$1:$C$22,3,FALSE),"")</f>
        <v>Serious allergy signal</v>
      </c>
      <c r="G84" t="s">
        <v>0</v>
      </c>
    </row>
    <row r="85" spans="1:7" x14ac:dyDescent="0.3">
      <c r="A85" s="5">
        <v>13229365</v>
      </c>
      <c r="B85" t="s">
        <v>838</v>
      </c>
      <c r="C85" t="s">
        <v>838</v>
      </c>
      <c r="D85" t="s">
        <v>2495</v>
      </c>
      <c r="E85" t="str">
        <f>IFERROR(VLOOKUP(B85,Signal_detection!$A$1:$C$22,2,FALSE),"")</f>
        <v>Probable</v>
      </c>
      <c r="F85" t="str">
        <f>IFERROR(VLOOKUP(B85,Signal_detection!$A$1:$C$22,3,FALSE),"")</f>
        <v>Serious allergy signal</v>
      </c>
      <c r="G85" t="s">
        <v>0</v>
      </c>
    </row>
    <row r="86" spans="1:7" x14ac:dyDescent="0.3">
      <c r="A86" s="5">
        <v>13266498</v>
      </c>
      <c r="B86" t="s">
        <v>417</v>
      </c>
      <c r="C86" t="s">
        <v>2510</v>
      </c>
      <c r="D86" t="s">
        <v>2510</v>
      </c>
      <c r="E86" t="str">
        <f>IFERROR(VLOOKUP(B86,Signal_detection!$A$1:$C$22,2,FALSE),"")</f>
        <v/>
      </c>
      <c r="F86" t="str">
        <f>IFERROR(VLOOKUP(B86,Signal_detection!$A$1:$C$22,3,FALSE),"")</f>
        <v/>
      </c>
      <c r="G86" t="s">
        <v>0</v>
      </c>
    </row>
    <row r="87" spans="1:7" x14ac:dyDescent="0.3">
      <c r="A87" s="5">
        <v>13301281</v>
      </c>
      <c r="B87" t="s">
        <v>717</v>
      </c>
      <c r="C87" t="s">
        <v>717</v>
      </c>
      <c r="D87" t="s">
        <v>2505</v>
      </c>
      <c r="E87" t="str">
        <f>IFERROR(VLOOKUP(B87,Signal_detection!$A$1:$C$22,2,FALSE),"")</f>
        <v/>
      </c>
      <c r="F87" t="str">
        <f>IFERROR(VLOOKUP(B87,Signal_detection!$A$1:$C$22,3,FALSE),"")</f>
        <v/>
      </c>
      <c r="G87" t="s">
        <v>125</v>
      </c>
    </row>
    <row r="88" spans="1:7" x14ac:dyDescent="0.3">
      <c r="A88" s="5">
        <v>13365526</v>
      </c>
      <c r="B88" t="s">
        <v>1565</v>
      </c>
      <c r="C88" t="s">
        <v>2510</v>
      </c>
      <c r="D88" t="s">
        <v>2510</v>
      </c>
      <c r="E88" t="str">
        <f>IFERROR(VLOOKUP(B88,Signal_detection!$A$1:$C$22,2,FALSE),"")</f>
        <v/>
      </c>
      <c r="F88" t="str">
        <f>IFERROR(VLOOKUP(B88,Signal_detection!$A$1:$C$22,3,FALSE),"")</f>
        <v/>
      </c>
      <c r="G88" t="s">
        <v>0</v>
      </c>
    </row>
    <row r="89" spans="1:7" x14ac:dyDescent="0.3">
      <c r="A89" s="5">
        <v>13376730</v>
      </c>
      <c r="B89" t="s">
        <v>838</v>
      </c>
      <c r="C89" t="s">
        <v>838</v>
      </c>
      <c r="D89" t="s">
        <v>2495</v>
      </c>
      <c r="E89" t="str">
        <f>IFERROR(VLOOKUP(B89,Signal_detection!$A$1:$C$22,2,FALSE),"")</f>
        <v>Probable</v>
      </c>
      <c r="F89" t="str">
        <f>IFERROR(VLOOKUP(B89,Signal_detection!$A$1:$C$22,3,FALSE),"")</f>
        <v>Serious allergy signal</v>
      </c>
      <c r="G89" t="s">
        <v>0</v>
      </c>
    </row>
    <row r="90" spans="1:7" x14ac:dyDescent="0.3">
      <c r="A90" s="5">
        <v>13384174</v>
      </c>
      <c r="B90" t="s">
        <v>274</v>
      </c>
      <c r="C90" t="s">
        <v>274</v>
      </c>
      <c r="D90" t="s">
        <v>2494</v>
      </c>
      <c r="E90" t="str">
        <f>IFERROR(VLOOKUP(B90,Signal_detection!$A$1:$C$22,2,FALSE),"")</f>
        <v/>
      </c>
      <c r="F90" t="str">
        <f>IFERROR(VLOOKUP(B90,Signal_detection!$A$1:$C$22,3,FALSE),"")</f>
        <v/>
      </c>
      <c r="G90" t="s">
        <v>125</v>
      </c>
    </row>
    <row r="91" spans="1:7" x14ac:dyDescent="0.3">
      <c r="A91" s="5">
        <v>13398168</v>
      </c>
      <c r="B91" t="s">
        <v>1378</v>
      </c>
      <c r="C91" t="s">
        <v>2510</v>
      </c>
      <c r="D91" t="s">
        <v>2510</v>
      </c>
      <c r="E91" t="str">
        <f>IFERROR(VLOOKUP(B91,Signal_detection!$A$1:$C$22,2,FALSE),"")</f>
        <v/>
      </c>
      <c r="F91" t="str">
        <f>IFERROR(VLOOKUP(B91,Signal_detection!$A$1:$C$22,3,FALSE),"")</f>
        <v/>
      </c>
      <c r="G91" t="s">
        <v>0</v>
      </c>
    </row>
    <row r="92" spans="1:7" x14ac:dyDescent="0.3">
      <c r="A92" s="5">
        <v>13408924</v>
      </c>
      <c r="B92" t="s">
        <v>139</v>
      </c>
      <c r="C92" t="s">
        <v>2510</v>
      </c>
      <c r="D92" t="s">
        <v>2510</v>
      </c>
      <c r="E92" t="str">
        <f>IFERROR(VLOOKUP(B92,Signal_detection!$A$1:$C$22,2,FALSE),"")</f>
        <v/>
      </c>
      <c r="F92" t="str">
        <f>IFERROR(VLOOKUP(B92,Signal_detection!$A$1:$C$22,3,FALSE),"")</f>
        <v/>
      </c>
      <c r="G92" t="s">
        <v>125</v>
      </c>
    </row>
    <row r="93" spans="1:7" x14ac:dyDescent="0.3">
      <c r="A93" s="5">
        <v>13410539</v>
      </c>
      <c r="B93" t="s">
        <v>102</v>
      </c>
      <c r="C93" t="s">
        <v>102</v>
      </c>
      <c r="D93" t="s">
        <v>2498</v>
      </c>
      <c r="E93" t="str">
        <f>IFERROR(VLOOKUP(B93,Signal_detection!$A$1:$C$22,2,FALSE),"")</f>
        <v/>
      </c>
      <c r="F93" t="str">
        <f>IFERROR(VLOOKUP(B93,Signal_detection!$A$1:$C$22,3,FALSE),"")</f>
        <v/>
      </c>
      <c r="G93" t="s">
        <v>125</v>
      </c>
    </row>
    <row r="94" spans="1:7" x14ac:dyDescent="0.3">
      <c r="A94" s="5">
        <v>13410648</v>
      </c>
      <c r="B94" t="s">
        <v>102</v>
      </c>
      <c r="C94" t="s">
        <v>102</v>
      </c>
      <c r="D94" t="s">
        <v>2498</v>
      </c>
      <c r="E94" t="str">
        <f>IFERROR(VLOOKUP(B94,Signal_detection!$A$1:$C$22,2,FALSE),"")</f>
        <v/>
      </c>
      <c r="F94" t="str">
        <f>IFERROR(VLOOKUP(B94,Signal_detection!$A$1:$C$22,3,FALSE),"")</f>
        <v/>
      </c>
      <c r="G94" t="s">
        <v>125</v>
      </c>
    </row>
    <row r="95" spans="1:7" x14ac:dyDescent="0.3">
      <c r="A95" s="5">
        <v>13411175</v>
      </c>
      <c r="B95" t="s">
        <v>541</v>
      </c>
      <c r="C95" t="s">
        <v>2510</v>
      </c>
      <c r="D95" t="s">
        <v>2510</v>
      </c>
      <c r="E95" t="str">
        <f>IFERROR(VLOOKUP(B95,Signal_detection!$A$1:$C$22,2,FALSE),"")</f>
        <v/>
      </c>
      <c r="F95" t="str">
        <f>IFERROR(VLOOKUP(B95,Signal_detection!$A$1:$C$22,3,FALSE),"")</f>
        <v/>
      </c>
      <c r="G95" t="s">
        <v>125</v>
      </c>
    </row>
    <row r="96" spans="1:7" x14ac:dyDescent="0.3">
      <c r="A96" s="5">
        <v>13411628</v>
      </c>
      <c r="B96" t="s">
        <v>336</v>
      </c>
      <c r="C96" t="s">
        <v>2510</v>
      </c>
      <c r="D96" t="s">
        <v>2510</v>
      </c>
      <c r="E96" t="str">
        <f>IFERROR(VLOOKUP(B96,Signal_detection!$A$1:$C$22,2,FALSE),"")</f>
        <v/>
      </c>
      <c r="F96" t="str">
        <f>IFERROR(VLOOKUP(B96,Signal_detection!$A$1:$C$22,3,FALSE),"")</f>
        <v/>
      </c>
      <c r="G96" t="s">
        <v>125</v>
      </c>
    </row>
    <row r="97" spans="1:7" x14ac:dyDescent="0.3">
      <c r="A97" s="5">
        <v>13411835</v>
      </c>
      <c r="B97" t="s">
        <v>102</v>
      </c>
      <c r="C97" t="s">
        <v>102</v>
      </c>
      <c r="D97" t="s">
        <v>2498</v>
      </c>
      <c r="E97" t="str">
        <f>IFERROR(VLOOKUP(B97,Signal_detection!$A$1:$C$22,2,FALSE),"")</f>
        <v/>
      </c>
      <c r="F97" t="str">
        <f>IFERROR(VLOOKUP(B97,Signal_detection!$A$1:$C$22,3,FALSE),"")</f>
        <v/>
      </c>
      <c r="G97" t="s">
        <v>0</v>
      </c>
    </row>
    <row r="98" spans="1:7" x14ac:dyDescent="0.3">
      <c r="A98" s="5">
        <v>13412825</v>
      </c>
      <c r="B98" t="s">
        <v>266</v>
      </c>
      <c r="C98" t="s">
        <v>2510</v>
      </c>
      <c r="D98" t="s">
        <v>2510</v>
      </c>
      <c r="E98" t="str">
        <f>IFERROR(VLOOKUP(B98,Signal_detection!$A$1:$C$22,2,FALSE),"")</f>
        <v/>
      </c>
      <c r="F98" t="str">
        <f>IFERROR(VLOOKUP(B98,Signal_detection!$A$1:$C$22,3,FALSE),"")</f>
        <v/>
      </c>
      <c r="G98" t="s">
        <v>125</v>
      </c>
    </row>
    <row r="99" spans="1:7" x14ac:dyDescent="0.3">
      <c r="A99" s="5">
        <v>13419017</v>
      </c>
      <c r="B99" t="s">
        <v>102</v>
      </c>
      <c r="C99" t="s">
        <v>102</v>
      </c>
      <c r="D99" t="s">
        <v>2498</v>
      </c>
      <c r="E99" t="str">
        <f>IFERROR(VLOOKUP(B99,Signal_detection!$A$1:$C$22,2,FALSE),"")</f>
        <v/>
      </c>
      <c r="F99" t="str">
        <f>IFERROR(VLOOKUP(B99,Signal_detection!$A$1:$C$22,3,FALSE),"")</f>
        <v/>
      </c>
      <c r="G99" t="s">
        <v>125</v>
      </c>
    </row>
    <row r="100" spans="1:7" x14ac:dyDescent="0.3">
      <c r="A100" s="5">
        <v>13420397</v>
      </c>
      <c r="B100" t="s">
        <v>809</v>
      </c>
      <c r="C100" t="s">
        <v>2510</v>
      </c>
      <c r="D100" t="s">
        <v>2510</v>
      </c>
      <c r="E100" t="str">
        <f>IFERROR(VLOOKUP(B100,Signal_detection!$A$1:$C$22,2,FALSE),"")</f>
        <v/>
      </c>
      <c r="F100" t="str">
        <f>IFERROR(VLOOKUP(B100,Signal_detection!$A$1:$C$22,3,FALSE),"")</f>
        <v/>
      </c>
      <c r="G100" t="s">
        <v>0</v>
      </c>
    </row>
    <row r="101" spans="1:7" x14ac:dyDescent="0.3">
      <c r="A101" s="5">
        <v>13425558</v>
      </c>
      <c r="B101" t="s">
        <v>1324</v>
      </c>
      <c r="C101" t="s">
        <v>2510</v>
      </c>
      <c r="D101" t="s">
        <v>2510</v>
      </c>
      <c r="E101" t="str">
        <f>IFERROR(VLOOKUP(B101,Signal_detection!$A$1:$C$22,2,FALSE),"")</f>
        <v/>
      </c>
      <c r="F101" t="str">
        <f>IFERROR(VLOOKUP(B101,Signal_detection!$A$1:$C$22,3,FALSE),"")</f>
        <v/>
      </c>
      <c r="G101" t="s">
        <v>0</v>
      </c>
    </row>
    <row r="102" spans="1:7" x14ac:dyDescent="0.3">
      <c r="A102" s="5">
        <v>13426863</v>
      </c>
      <c r="B102" t="s">
        <v>1663</v>
      </c>
      <c r="C102" t="s">
        <v>2510</v>
      </c>
      <c r="D102" t="s">
        <v>2510</v>
      </c>
      <c r="E102" t="str">
        <f>IFERROR(VLOOKUP(B102,Signal_detection!$A$1:$C$22,2,FALSE),"")</f>
        <v/>
      </c>
      <c r="F102" t="str">
        <f>IFERROR(VLOOKUP(B102,Signal_detection!$A$1:$C$22,3,FALSE),"")</f>
        <v/>
      </c>
      <c r="G102" t="s">
        <v>0</v>
      </c>
    </row>
    <row r="103" spans="1:7" x14ac:dyDescent="0.3">
      <c r="A103" s="5">
        <v>13505217</v>
      </c>
      <c r="B103" t="s">
        <v>288</v>
      </c>
      <c r="C103" t="s">
        <v>2510</v>
      </c>
      <c r="D103" t="s">
        <v>2510</v>
      </c>
      <c r="E103" t="str">
        <f>IFERROR(VLOOKUP(B103,Signal_detection!$A$1:$C$22,2,FALSE),"")</f>
        <v/>
      </c>
      <c r="F103" t="str">
        <f>IFERROR(VLOOKUP(B103,Signal_detection!$A$1:$C$22,3,FALSE),"")</f>
        <v/>
      </c>
      <c r="G103" t="s">
        <v>0</v>
      </c>
    </row>
    <row r="104" spans="1:7" x14ac:dyDescent="0.3">
      <c r="A104" s="5">
        <v>13525762</v>
      </c>
      <c r="B104" t="s">
        <v>757</v>
      </c>
      <c r="C104" t="s">
        <v>2510</v>
      </c>
      <c r="D104" t="s">
        <v>2510</v>
      </c>
      <c r="E104" t="str">
        <f>IFERROR(VLOOKUP(B104,Signal_detection!$A$1:$C$22,2,FALSE),"")</f>
        <v/>
      </c>
      <c r="F104" t="str">
        <f>IFERROR(VLOOKUP(B104,Signal_detection!$A$1:$C$22,3,FALSE),"")</f>
        <v/>
      </c>
      <c r="G104" t="s">
        <v>0</v>
      </c>
    </row>
    <row r="105" spans="1:7" x14ac:dyDescent="0.3">
      <c r="A105" s="5">
        <v>13550385</v>
      </c>
      <c r="B105" t="s">
        <v>441</v>
      </c>
      <c r="C105" t="s">
        <v>2510</v>
      </c>
      <c r="D105" t="s">
        <v>2510</v>
      </c>
      <c r="E105" t="str">
        <f>IFERROR(VLOOKUP(B105,Signal_detection!$A$1:$C$22,2,FALSE),"")</f>
        <v/>
      </c>
      <c r="F105" t="str">
        <f>IFERROR(VLOOKUP(B105,Signal_detection!$A$1:$C$22,3,FALSE),"")</f>
        <v/>
      </c>
      <c r="G105" t="s">
        <v>0</v>
      </c>
    </row>
    <row r="106" spans="1:7" x14ac:dyDescent="0.3">
      <c r="A106" s="5">
        <v>13553428</v>
      </c>
      <c r="B106" t="s">
        <v>1372</v>
      </c>
      <c r="C106" t="s">
        <v>2510</v>
      </c>
      <c r="D106" t="s">
        <v>2510</v>
      </c>
      <c r="E106" t="str">
        <f>IFERROR(VLOOKUP(B106,Signal_detection!$A$1:$C$22,2,FALSE),"")</f>
        <v/>
      </c>
      <c r="F106" t="str">
        <f>IFERROR(VLOOKUP(B106,Signal_detection!$A$1:$C$22,3,FALSE),"")</f>
        <v/>
      </c>
      <c r="G106" t="s">
        <v>0</v>
      </c>
    </row>
    <row r="107" spans="1:7" x14ac:dyDescent="0.3">
      <c r="A107" s="5">
        <v>13553430</v>
      </c>
      <c r="B107" t="s">
        <v>1320</v>
      </c>
      <c r="C107" t="s">
        <v>2510</v>
      </c>
      <c r="D107" t="s">
        <v>2510</v>
      </c>
      <c r="E107" t="str">
        <f>IFERROR(VLOOKUP(B107,Signal_detection!$A$1:$C$22,2,FALSE),"")</f>
        <v/>
      </c>
      <c r="F107" t="str">
        <f>IFERROR(VLOOKUP(B107,Signal_detection!$A$1:$C$22,3,FALSE),"")</f>
        <v/>
      </c>
      <c r="G107" t="s">
        <v>0</v>
      </c>
    </row>
    <row r="108" spans="1:7" x14ac:dyDescent="0.3">
      <c r="A108" s="5">
        <v>13553431</v>
      </c>
      <c r="B108" t="s">
        <v>270</v>
      </c>
      <c r="C108" t="s">
        <v>2510</v>
      </c>
      <c r="D108" t="s">
        <v>2510</v>
      </c>
      <c r="E108" t="str">
        <f>IFERROR(VLOOKUP(B108,Signal_detection!$A$1:$C$22,2,FALSE),"")</f>
        <v/>
      </c>
      <c r="F108" t="str">
        <f>IFERROR(VLOOKUP(B108,Signal_detection!$A$1:$C$22,3,FALSE),"")</f>
        <v/>
      </c>
      <c r="G108" t="s">
        <v>0</v>
      </c>
    </row>
    <row r="109" spans="1:7" x14ac:dyDescent="0.3">
      <c r="A109" s="5">
        <v>13553433</v>
      </c>
      <c r="B109" t="s">
        <v>731</v>
      </c>
      <c r="C109" t="s">
        <v>2510</v>
      </c>
      <c r="D109" t="s">
        <v>2510</v>
      </c>
      <c r="E109" t="str">
        <f>IFERROR(VLOOKUP(B109,Signal_detection!$A$1:$C$22,2,FALSE),"")</f>
        <v/>
      </c>
      <c r="F109" t="str">
        <f>IFERROR(VLOOKUP(B109,Signal_detection!$A$1:$C$22,3,FALSE),"")</f>
        <v/>
      </c>
      <c r="G109" t="s">
        <v>0</v>
      </c>
    </row>
    <row r="110" spans="1:7" x14ac:dyDescent="0.3">
      <c r="A110" s="5">
        <v>13553434</v>
      </c>
      <c r="B110" t="s">
        <v>107</v>
      </c>
      <c r="C110" t="s">
        <v>2510</v>
      </c>
      <c r="D110" t="s">
        <v>2510</v>
      </c>
      <c r="E110" t="str">
        <f>IFERROR(VLOOKUP(B110,Signal_detection!$A$1:$C$22,2,FALSE),"")</f>
        <v/>
      </c>
      <c r="F110" t="str">
        <f>IFERROR(VLOOKUP(B110,Signal_detection!$A$1:$C$22,3,FALSE),"")</f>
        <v/>
      </c>
      <c r="G110" t="s">
        <v>0</v>
      </c>
    </row>
    <row r="111" spans="1:7" x14ac:dyDescent="0.3">
      <c r="A111" s="5">
        <v>13553435</v>
      </c>
      <c r="B111" t="s">
        <v>464</v>
      </c>
      <c r="C111" t="s">
        <v>2510</v>
      </c>
      <c r="D111" t="s">
        <v>2510</v>
      </c>
      <c r="E111" t="str">
        <f>IFERROR(VLOOKUP(B111,Signal_detection!$A$1:$C$22,2,FALSE),"")</f>
        <v/>
      </c>
      <c r="F111" t="str">
        <f>IFERROR(VLOOKUP(B111,Signal_detection!$A$1:$C$22,3,FALSE),"")</f>
        <v/>
      </c>
      <c r="G111" t="s">
        <v>0</v>
      </c>
    </row>
    <row r="112" spans="1:7" x14ac:dyDescent="0.3">
      <c r="A112" s="5">
        <v>13553555</v>
      </c>
      <c r="B112" t="s">
        <v>346</v>
      </c>
      <c r="C112" t="s">
        <v>2510</v>
      </c>
      <c r="D112" t="s">
        <v>2510</v>
      </c>
      <c r="E112" t="str">
        <f>IFERROR(VLOOKUP(B112,Signal_detection!$A$1:$C$22,2,FALSE),"")</f>
        <v/>
      </c>
      <c r="F112" t="str">
        <f>IFERROR(VLOOKUP(B112,Signal_detection!$A$1:$C$22,3,FALSE),"")</f>
        <v/>
      </c>
      <c r="G112" t="s">
        <v>0</v>
      </c>
    </row>
    <row r="113" spans="1:7" x14ac:dyDescent="0.3">
      <c r="A113" s="5">
        <v>13573412</v>
      </c>
      <c r="B113" t="s">
        <v>206</v>
      </c>
      <c r="C113" t="s">
        <v>206</v>
      </c>
      <c r="D113" t="s">
        <v>2496</v>
      </c>
      <c r="E113" t="str">
        <f>IFERROR(VLOOKUP(B113,Signal_detection!$A$1:$C$22,2,FALSE),"")</f>
        <v>Probable</v>
      </c>
      <c r="F113" t="str">
        <f>IFERROR(VLOOKUP(B113,Signal_detection!$A$1:$C$22,3,FALSE),"")</f>
        <v>Infection signal</v>
      </c>
      <c r="G113" t="s">
        <v>0</v>
      </c>
    </row>
    <row r="114" spans="1:7" x14ac:dyDescent="0.3">
      <c r="A114" s="5">
        <v>13574724</v>
      </c>
      <c r="B114" t="s">
        <v>425</v>
      </c>
      <c r="C114" t="s">
        <v>2510</v>
      </c>
      <c r="D114" t="s">
        <v>2510</v>
      </c>
      <c r="E114" t="str">
        <f>IFERROR(VLOOKUP(B114,Signal_detection!$A$1:$C$22,2,FALSE),"")</f>
        <v/>
      </c>
      <c r="F114" t="str">
        <f>IFERROR(VLOOKUP(B114,Signal_detection!$A$1:$C$22,3,FALSE),"")</f>
        <v/>
      </c>
      <c r="G114" t="s">
        <v>0</v>
      </c>
    </row>
    <row r="115" spans="1:7" x14ac:dyDescent="0.3">
      <c r="A115" s="5">
        <v>13580400</v>
      </c>
      <c r="B115" t="s">
        <v>882</v>
      </c>
      <c r="C115" t="s">
        <v>2510</v>
      </c>
      <c r="D115" t="s">
        <v>2510</v>
      </c>
      <c r="E115" t="str">
        <f>IFERROR(VLOOKUP(B115,Signal_detection!$A$1:$C$22,2,FALSE),"")</f>
        <v/>
      </c>
      <c r="F115" t="str">
        <f>IFERROR(VLOOKUP(B115,Signal_detection!$A$1:$C$22,3,FALSE),"")</f>
        <v/>
      </c>
      <c r="G115" t="s">
        <v>0</v>
      </c>
    </row>
    <row r="116" spans="1:7" x14ac:dyDescent="0.3">
      <c r="A116" s="5">
        <v>13592838</v>
      </c>
      <c r="B116" t="s">
        <v>425</v>
      </c>
      <c r="C116" t="s">
        <v>2510</v>
      </c>
      <c r="D116" t="s">
        <v>2510</v>
      </c>
      <c r="E116" t="str">
        <f>IFERROR(VLOOKUP(B116,Signal_detection!$A$1:$C$22,2,FALSE),"")</f>
        <v/>
      </c>
      <c r="F116" t="str">
        <f>IFERROR(VLOOKUP(B116,Signal_detection!$A$1:$C$22,3,FALSE),"")</f>
        <v/>
      </c>
      <c r="G116" t="s">
        <v>0</v>
      </c>
    </row>
    <row r="117" spans="1:7" x14ac:dyDescent="0.3">
      <c r="A117" s="5">
        <v>13611336</v>
      </c>
      <c r="B117" t="s">
        <v>166</v>
      </c>
      <c r="C117" t="s">
        <v>2510</v>
      </c>
      <c r="D117" t="s">
        <v>2510</v>
      </c>
      <c r="E117" t="str">
        <f>IFERROR(VLOOKUP(B117,Signal_detection!$A$1:$C$22,2,FALSE),"")</f>
        <v/>
      </c>
      <c r="F117" t="str">
        <f>IFERROR(VLOOKUP(B117,Signal_detection!$A$1:$C$22,3,FALSE),"")</f>
        <v/>
      </c>
      <c r="G117" t="s">
        <v>0</v>
      </c>
    </row>
    <row r="118" spans="1:7" x14ac:dyDescent="0.3">
      <c r="A118" s="5">
        <v>13613554</v>
      </c>
      <c r="B118" t="s">
        <v>551</v>
      </c>
      <c r="C118" t="s">
        <v>2510</v>
      </c>
      <c r="D118" t="s">
        <v>2510</v>
      </c>
      <c r="E118" t="str">
        <f>IFERROR(VLOOKUP(B118,Signal_detection!$A$1:$C$22,2,FALSE),"")</f>
        <v/>
      </c>
      <c r="F118" t="str">
        <f>IFERROR(VLOOKUP(B118,Signal_detection!$A$1:$C$22,3,FALSE),"")</f>
        <v/>
      </c>
      <c r="G118" t="s">
        <v>0</v>
      </c>
    </row>
    <row r="119" spans="1:7" x14ac:dyDescent="0.3">
      <c r="A119" s="5">
        <v>13654425</v>
      </c>
      <c r="B119" t="s">
        <v>1500</v>
      </c>
      <c r="C119" t="s">
        <v>2510</v>
      </c>
      <c r="D119" t="s">
        <v>2510</v>
      </c>
      <c r="E119" t="str">
        <f>IFERROR(VLOOKUP(B119,Signal_detection!$A$1:$C$22,2,FALSE),"")</f>
        <v/>
      </c>
      <c r="F119" t="str">
        <f>IFERROR(VLOOKUP(B119,Signal_detection!$A$1:$C$22,3,FALSE),"")</f>
        <v/>
      </c>
      <c r="G119" t="s">
        <v>0</v>
      </c>
    </row>
    <row r="120" spans="1:7" x14ac:dyDescent="0.3">
      <c r="A120" s="5">
        <v>13664275</v>
      </c>
      <c r="B120" t="s">
        <v>1298</v>
      </c>
      <c r="C120" t="s">
        <v>2510</v>
      </c>
      <c r="D120" t="s">
        <v>2510</v>
      </c>
      <c r="E120" t="str">
        <f>IFERROR(VLOOKUP(B120,Signal_detection!$A$1:$C$22,2,FALSE),"")</f>
        <v/>
      </c>
      <c r="F120" t="str">
        <f>IFERROR(VLOOKUP(B120,Signal_detection!$A$1:$C$22,3,FALSE),"")</f>
        <v/>
      </c>
      <c r="G120" t="s">
        <v>0</v>
      </c>
    </row>
    <row r="121" spans="1:7" x14ac:dyDescent="0.3">
      <c r="A121" s="5">
        <v>13678229</v>
      </c>
      <c r="B121" t="s">
        <v>206</v>
      </c>
      <c r="C121" t="s">
        <v>206</v>
      </c>
      <c r="D121" t="s">
        <v>2496</v>
      </c>
      <c r="E121" t="str">
        <f>IFERROR(VLOOKUP(B121,Signal_detection!$A$1:$C$22,2,FALSE),"")</f>
        <v>Probable</v>
      </c>
      <c r="F121" t="str">
        <f>IFERROR(VLOOKUP(B121,Signal_detection!$A$1:$C$22,3,FALSE),"")</f>
        <v>Infection signal</v>
      </c>
      <c r="G121" t="s">
        <v>0</v>
      </c>
    </row>
    <row r="122" spans="1:7" x14ac:dyDescent="0.3">
      <c r="A122" s="5">
        <v>13699864</v>
      </c>
      <c r="B122" t="s">
        <v>62</v>
      </c>
      <c r="C122" t="s">
        <v>62</v>
      </c>
      <c r="D122" t="s">
        <v>2508</v>
      </c>
      <c r="E122" t="str">
        <f>IFERROR(VLOOKUP(B122,Signal_detection!$A$1:$C$22,2,FALSE),"")</f>
        <v>Possible</v>
      </c>
      <c r="F122" t="str">
        <f>IFERROR(VLOOKUP(B122,Signal_detection!$A$1:$C$22,3,FALSE),"")</f>
        <v>Respiratory ADR</v>
      </c>
      <c r="G122" t="s">
        <v>0</v>
      </c>
    </row>
    <row r="123" spans="1:7" x14ac:dyDescent="0.3">
      <c r="A123" s="5">
        <v>13717852</v>
      </c>
      <c r="B123" t="s">
        <v>179</v>
      </c>
      <c r="C123" t="s">
        <v>2510</v>
      </c>
      <c r="D123" t="s">
        <v>2510</v>
      </c>
      <c r="E123" t="str">
        <f>IFERROR(VLOOKUP(B123,Signal_detection!$A$1:$C$22,2,FALSE),"")</f>
        <v/>
      </c>
      <c r="F123" t="str">
        <f>IFERROR(VLOOKUP(B123,Signal_detection!$A$1:$C$22,3,FALSE),"")</f>
        <v/>
      </c>
      <c r="G123" t="s">
        <v>0</v>
      </c>
    </row>
    <row r="124" spans="1:7" x14ac:dyDescent="0.3">
      <c r="A124" s="5">
        <v>13729008</v>
      </c>
      <c r="B124" t="s">
        <v>192</v>
      </c>
      <c r="C124" t="s">
        <v>192</v>
      </c>
      <c r="D124" t="s">
        <v>2495</v>
      </c>
      <c r="E124" t="str">
        <f>IFERROR(VLOOKUP(B124,Signal_detection!$A$1:$C$22,2,FALSE),"")</f>
        <v>Probable</v>
      </c>
      <c r="F124" t="str">
        <f>IFERROR(VLOOKUP(B124,Signal_detection!$A$1:$C$22,3,FALSE),"")</f>
        <v>Hypersensitivity signal</v>
      </c>
      <c r="G124" t="s">
        <v>125</v>
      </c>
    </row>
    <row r="125" spans="1:7" x14ac:dyDescent="0.3">
      <c r="A125" s="5">
        <v>13732922</v>
      </c>
      <c r="B125" t="s">
        <v>833</v>
      </c>
      <c r="C125" t="s">
        <v>2510</v>
      </c>
      <c r="D125" t="s">
        <v>2510</v>
      </c>
      <c r="E125" t="str">
        <f>IFERROR(VLOOKUP(B125,Signal_detection!$A$1:$C$22,2,FALSE),"")</f>
        <v/>
      </c>
      <c r="F125" t="str">
        <f>IFERROR(VLOOKUP(B125,Signal_detection!$A$1:$C$22,3,FALSE),"")</f>
        <v/>
      </c>
      <c r="G125" t="s">
        <v>0</v>
      </c>
    </row>
    <row r="126" spans="1:7" x14ac:dyDescent="0.3">
      <c r="A126" s="5">
        <v>13763496</v>
      </c>
      <c r="B126" t="s">
        <v>1296</v>
      </c>
      <c r="C126" t="s">
        <v>2510</v>
      </c>
      <c r="D126" t="s">
        <v>2510</v>
      </c>
      <c r="E126" t="str">
        <f>IFERROR(VLOOKUP(B126,Signal_detection!$A$1:$C$22,2,FALSE),"")</f>
        <v/>
      </c>
      <c r="F126" t="str">
        <f>IFERROR(VLOOKUP(B126,Signal_detection!$A$1:$C$22,3,FALSE),"")</f>
        <v/>
      </c>
      <c r="G126" t="s">
        <v>0</v>
      </c>
    </row>
    <row r="127" spans="1:7" x14ac:dyDescent="0.3">
      <c r="A127" s="5">
        <v>13767883</v>
      </c>
      <c r="B127" t="s">
        <v>767</v>
      </c>
      <c r="C127" t="s">
        <v>2510</v>
      </c>
      <c r="D127" t="s">
        <v>2510</v>
      </c>
      <c r="E127" t="str">
        <f>IFERROR(VLOOKUP(B127,Signal_detection!$A$1:$C$22,2,FALSE),"")</f>
        <v/>
      </c>
      <c r="F127" t="str">
        <f>IFERROR(VLOOKUP(B127,Signal_detection!$A$1:$C$22,3,FALSE),"")</f>
        <v/>
      </c>
      <c r="G127" t="s">
        <v>125</v>
      </c>
    </row>
    <row r="128" spans="1:7" x14ac:dyDescent="0.3">
      <c r="A128" s="5">
        <v>13780844</v>
      </c>
      <c r="B128" t="s">
        <v>734</v>
      </c>
      <c r="C128" t="s">
        <v>2510</v>
      </c>
      <c r="D128" t="s">
        <v>2510</v>
      </c>
      <c r="E128" t="str">
        <f>IFERROR(VLOOKUP(B128,Signal_detection!$A$1:$C$22,2,FALSE),"")</f>
        <v/>
      </c>
      <c r="F128" t="str">
        <f>IFERROR(VLOOKUP(B128,Signal_detection!$A$1:$C$22,3,FALSE),"")</f>
        <v/>
      </c>
      <c r="G128" t="s">
        <v>0</v>
      </c>
    </row>
    <row r="129" spans="1:7" x14ac:dyDescent="0.3">
      <c r="A129" s="5">
        <v>13785319</v>
      </c>
      <c r="B129" t="s">
        <v>767</v>
      </c>
      <c r="C129" t="s">
        <v>2510</v>
      </c>
      <c r="D129" t="s">
        <v>2510</v>
      </c>
      <c r="E129" t="str">
        <f>IFERROR(VLOOKUP(B129,Signal_detection!$A$1:$C$22,2,FALSE),"")</f>
        <v/>
      </c>
      <c r="F129" t="str">
        <f>IFERROR(VLOOKUP(B129,Signal_detection!$A$1:$C$22,3,FALSE),"")</f>
        <v/>
      </c>
      <c r="G129" t="s">
        <v>125</v>
      </c>
    </row>
    <row r="130" spans="1:7" x14ac:dyDescent="0.3">
      <c r="A130" s="5">
        <v>13817226</v>
      </c>
      <c r="B130" t="s">
        <v>1104</v>
      </c>
      <c r="C130" t="s">
        <v>1104</v>
      </c>
      <c r="D130" t="s">
        <v>2497</v>
      </c>
      <c r="E130" t="str">
        <f>IFERROR(VLOOKUP(B130,Signal_detection!$A$1:$C$22,2,FALSE),"")</f>
        <v>Unlikely</v>
      </c>
      <c r="F130" t="str">
        <f>IFERROR(VLOOKUP(B130,Signal_detection!$A$1:$C$22,3,FALSE),"")</f>
        <v>Non-case</v>
      </c>
      <c r="G130" t="s">
        <v>125</v>
      </c>
    </row>
    <row r="131" spans="1:7" x14ac:dyDescent="0.3">
      <c r="A131" s="5">
        <v>13823181</v>
      </c>
      <c r="B131" t="s">
        <v>1319</v>
      </c>
      <c r="C131" t="s">
        <v>2510</v>
      </c>
      <c r="D131" t="s">
        <v>2510</v>
      </c>
      <c r="E131" t="str">
        <f>IFERROR(VLOOKUP(B131,Signal_detection!$A$1:$C$22,2,FALSE),"")</f>
        <v/>
      </c>
      <c r="F131" t="str">
        <f>IFERROR(VLOOKUP(B131,Signal_detection!$A$1:$C$22,3,FALSE),"")</f>
        <v/>
      </c>
      <c r="G131" t="s">
        <v>0</v>
      </c>
    </row>
    <row r="132" spans="1:7" x14ac:dyDescent="0.3">
      <c r="A132" s="5">
        <v>13842892</v>
      </c>
      <c r="B132" t="s">
        <v>404</v>
      </c>
      <c r="C132" t="s">
        <v>404</v>
      </c>
      <c r="D132" t="s">
        <v>2495</v>
      </c>
      <c r="E132" t="str">
        <f>IFERROR(VLOOKUP(B132,Signal_detection!$A$1:$C$22,2,FALSE),"")</f>
        <v>Probable</v>
      </c>
      <c r="F132" t="str">
        <f>IFERROR(VLOOKUP(B132,Signal_detection!$A$1:$C$22,3,FALSE),"")</f>
        <v>Immune signal</v>
      </c>
      <c r="G132" t="s">
        <v>0</v>
      </c>
    </row>
    <row r="133" spans="1:7" x14ac:dyDescent="0.3">
      <c r="A133" s="5">
        <v>13857644</v>
      </c>
      <c r="B133" t="s">
        <v>76</v>
      </c>
      <c r="C133" t="s">
        <v>2510</v>
      </c>
      <c r="D133" t="s">
        <v>2510</v>
      </c>
      <c r="E133" t="str">
        <f>IFERROR(VLOOKUP(B133,Signal_detection!$A$1:$C$22,2,FALSE),"")</f>
        <v/>
      </c>
      <c r="F133" t="str">
        <f>IFERROR(VLOOKUP(B133,Signal_detection!$A$1:$C$22,3,FALSE),"")</f>
        <v/>
      </c>
      <c r="G133" t="s">
        <v>0</v>
      </c>
    </row>
    <row r="134" spans="1:7" x14ac:dyDescent="0.3">
      <c r="A134" s="5">
        <v>13862740</v>
      </c>
      <c r="B134" t="s">
        <v>838</v>
      </c>
      <c r="C134" t="s">
        <v>838</v>
      </c>
      <c r="D134" t="s">
        <v>2495</v>
      </c>
      <c r="E134" t="str">
        <f>IFERROR(VLOOKUP(B134,Signal_detection!$A$1:$C$22,2,FALSE),"")</f>
        <v>Probable</v>
      </c>
      <c r="F134" t="str">
        <f>IFERROR(VLOOKUP(B134,Signal_detection!$A$1:$C$22,3,FALSE),"")</f>
        <v>Serious allergy signal</v>
      </c>
      <c r="G134" t="s">
        <v>0</v>
      </c>
    </row>
    <row r="135" spans="1:7" x14ac:dyDescent="0.3">
      <c r="A135" s="5">
        <v>13864928</v>
      </c>
      <c r="B135" t="s">
        <v>1577</v>
      </c>
      <c r="C135" t="s">
        <v>2510</v>
      </c>
      <c r="D135" t="s">
        <v>2510</v>
      </c>
      <c r="E135" t="str">
        <f>IFERROR(VLOOKUP(B135,Signal_detection!$A$1:$C$22,2,FALSE),"")</f>
        <v/>
      </c>
      <c r="F135" t="str">
        <f>IFERROR(VLOOKUP(B135,Signal_detection!$A$1:$C$22,3,FALSE),"")</f>
        <v/>
      </c>
      <c r="G135" t="s">
        <v>0</v>
      </c>
    </row>
    <row r="136" spans="1:7" x14ac:dyDescent="0.3">
      <c r="A136" s="5">
        <v>13875851</v>
      </c>
      <c r="B136" t="s">
        <v>417</v>
      </c>
      <c r="C136" t="s">
        <v>2510</v>
      </c>
      <c r="D136" t="s">
        <v>2510</v>
      </c>
      <c r="E136" t="str">
        <f>IFERROR(VLOOKUP(B136,Signal_detection!$A$1:$C$22,2,FALSE),"")</f>
        <v/>
      </c>
      <c r="F136" t="str">
        <f>IFERROR(VLOOKUP(B136,Signal_detection!$A$1:$C$22,3,FALSE),"")</f>
        <v/>
      </c>
      <c r="G136" t="s">
        <v>125</v>
      </c>
    </row>
    <row r="137" spans="1:7" x14ac:dyDescent="0.3">
      <c r="A137" s="5">
        <v>13895633</v>
      </c>
      <c r="B137" t="s">
        <v>756</v>
      </c>
      <c r="C137" t="s">
        <v>756</v>
      </c>
      <c r="D137" t="s">
        <v>2506</v>
      </c>
      <c r="E137" t="str">
        <f>IFERROR(VLOOKUP(B137,Signal_detection!$A$1:$C$22,2,FALSE),"")</f>
        <v/>
      </c>
      <c r="F137" t="str">
        <f>IFERROR(VLOOKUP(B137,Signal_detection!$A$1:$C$22,3,FALSE),"")</f>
        <v/>
      </c>
      <c r="G137" t="s">
        <v>0</v>
      </c>
    </row>
    <row r="138" spans="1:7" x14ac:dyDescent="0.3">
      <c r="A138" s="5">
        <v>13906436</v>
      </c>
      <c r="B138" t="s">
        <v>381</v>
      </c>
      <c r="C138" t="s">
        <v>2510</v>
      </c>
      <c r="D138" t="s">
        <v>2510</v>
      </c>
      <c r="E138" t="str">
        <f>IFERROR(VLOOKUP(B138,Signal_detection!$A$1:$C$22,2,FALSE),"")</f>
        <v/>
      </c>
      <c r="F138" t="str">
        <f>IFERROR(VLOOKUP(B138,Signal_detection!$A$1:$C$22,3,FALSE),"")</f>
        <v/>
      </c>
      <c r="G138" t="s">
        <v>0</v>
      </c>
    </row>
    <row r="139" spans="1:7" x14ac:dyDescent="0.3">
      <c r="A139" s="5">
        <v>13917421</v>
      </c>
      <c r="B139" t="s">
        <v>646</v>
      </c>
      <c r="C139" t="s">
        <v>2510</v>
      </c>
      <c r="D139" t="s">
        <v>2510</v>
      </c>
      <c r="E139" t="str">
        <f>IFERROR(VLOOKUP(B139,Signal_detection!$A$1:$C$22,2,FALSE),"")</f>
        <v/>
      </c>
      <c r="F139" t="str">
        <f>IFERROR(VLOOKUP(B139,Signal_detection!$A$1:$C$22,3,FALSE),"")</f>
        <v/>
      </c>
      <c r="G139" t="s">
        <v>0</v>
      </c>
    </row>
    <row r="140" spans="1:7" x14ac:dyDescent="0.3">
      <c r="A140" s="5">
        <v>13952090</v>
      </c>
      <c r="B140" t="s">
        <v>206</v>
      </c>
      <c r="C140" t="s">
        <v>206</v>
      </c>
      <c r="D140" t="s">
        <v>2496</v>
      </c>
      <c r="E140" t="str">
        <f>IFERROR(VLOOKUP(B140,Signal_detection!$A$1:$C$22,2,FALSE),"")</f>
        <v>Probable</v>
      </c>
      <c r="F140" t="str">
        <f>IFERROR(VLOOKUP(B140,Signal_detection!$A$1:$C$22,3,FALSE),"")</f>
        <v>Infection signal</v>
      </c>
      <c r="G140" t="s">
        <v>0</v>
      </c>
    </row>
    <row r="141" spans="1:7" x14ac:dyDescent="0.3">
      <c r="A141" s="5">
        <v>14032473</v>
      </c>
      <c r="B141" t="s">
        <v>192</v>
      </c>
      <c r="C141" t="s">
        <v>192</v>
      </c>
      <c r="D141" t="s">
        <v>2495</v>
      </c>
      <c r="E141" t="str">
        <f>IFERROR(VLOOKUP(B141,Signal_detection!$A$1:$C$22,2,FALSE),"")</f>
        <v>Probable</v>
      </c>
      <c r="F141" t="str">
        <f>IFERROR(VLOOKUP(B141,Signal_detection!$A$1:$C$22,3,FALSE),"")</f>
        <v>Hypersensitivity signal</v>
      </c>
      <c r="G141" t="s">
        <v>125</v>
      </c>
    </row>
    <row r="142" spans="1:7" x14ac:dyDescent="0.3">
      <c r="A142" s="5">
        <v>14068548</v>
      </c>
      <c r="B142" t="s">
        <v>1701</v>
      </c>
      <c r="C142" t="s">
        <v>2510</v>
      </c>
      <c r="D142" t="s">
        <v>2510</v>
      </c>
      <c r="E142" t="str">
        <f>IFERROR(VLOOKUP(B142,Signal_detection!$A$1:$C$22,2,FALSE),"")</f>
        <v/>
      </c>
      <c r="F142" t="str">
        <f>IFERROR(VLOOKUP(B142,Signal_detection!$A$1:$C$22,3,FALSE),"")</f>
        <v/>
      </c>
      <c r="G142" t="s">
        <v>0</v>
      </c>
    </row>
    <row r="143" spans="1:7" x14ac:dyDescent="0.3">
      <c r="A143" s="5">
        <v>14072474</v>
      </c>
      <c r="B143" t="s">
        <v>708</v>
      </c>
      <c r="C143" t="s">
        <v>708</v>
      </c>
      <c r="D143" t="s">
        <v>2501</v>
      </c>
      <c r="E143" t="str">
        <f>IFERROR(VLOOKUP(B143,Signal_detection!$A$1:$C$22,2,FALSE),"")</f>
        <v/>
      </c>
      <c r="F143" t="str">
        <f>IFERROR(VLOOKUP(B143,Signal_detection!$A$1:$C$22,3,FALSE),"")</f>
        <v/>
      </c>
      <c r="G143" t="s">
        <v>0</v>
      </c>
    </row>
    <row r="144" spans="1:7" x14ac:dyDescent="0.3">
      <c r="A144" s="5">
        <v>14116875</v>
      </c>
      <c r="B144" t="s">
        <v>557</v>
      </c>
      <c r="C144" t="s">
        <v>2510</v>
      </c>
      <c r="D144" t="s">
        <v>2510</v>
      </c>
      <c r="E144" t="str">
        <f>IFERROR(VLOOKUP(B144,Signal_detection!$A$1:$C$22,2,FALSE),"")</f>
        <v/>
      </c>
      <c r="F144" t="str">
        <f>IFERROR(VLOOKUP(B144,Signal_detection!$A$1:$C$22,3,FALSE),"")</f>
        <v/>
      </c>
      <c r="G144" t="s">
        <v>0</v>
      </c>
    </row>
    <row r="145" spans="1:7" x14ac:dyDescent="0.3">
      <c r="A145" s="5">
        <v>14119445</v>
      </c>
      <c r="B145" t="s">
        <v>126</v>
      </c>
      <c r="C145" t="s">
        <v>126</v>
      </c>
      <c r="D145" t="s">
        <v>2497</v>
      </c>
      <c r="E145" t="str">
        <f>IFERROR(VLOOKUP(B145,Signal_detection!$A$1:$C$22,2,FALSE),"")</f>
        <v>Unlikely</v>
      </c>
      <c r="F145" t="str">
        <f>IFERROR(VLOOKUP(B145,Signal_detection!$A$1:$C$22,3,FALSE),"")</f>
        <v>Non-ADR</v>
      </c>
      <c r="G145" t="s">
        <v>125</v>
      </c>
    </row>
    <row r="146" spans="1:7" x14ac:dyDescent="0.3">
      <c r="A146" s="5">
        <v>14148493</v>
      </c>
      <c r="B146" t="s">
        <v>126</v>
      </c>
      <c r="C146" t="s">
        <v>126</v>
      </c>
      <c r="D146" t="s">
        <v>2497</v>
      </c>
      <c r="E146" t="str">
        <f>IFERROR(VLOOKUP(B146,Signal_detection!$A$1:$C$22,2,FALSE),"")</f>
        <v>Unlikely</v>
      </c>
      <c r="F146" t="str">
        <f>IFERROR(VLOOKUP(B146,Signal_detection!$A$1:$C$22,3,FALSE),"")</f>
        <v>Non-ADR</v>
      </c>
      <c r="G146" t="s">
        <v>0</v>
      </c>
    </row>
    <row r="147" spans="1:7" x14ac:dyDescent="0.3">
      <c r="A147" s="5">
        <v>14155156</v>
      </c>
      <c r="B147" t="s">
        <v>1389</v>
      </c>
      <c r="C147" t="s">
        <v>2510</v>
      </c>
      <c r="D147" t="s">
        <v>2510</v>
      </c>
      <c r="E147" t="str">
        <f>IFERROR(VLOOKUP(B147,Signal_detection!$A$1:$C$22,2,FALSE),"")</f>
        <v/>
      </c>
      <c r="F147" t="str">
        <f>IFERROR(VLOOKUP(B147,Signal_detection!$A$1:$C$22,3,FALSE),"")</f>
        <v/>
      </c>
      <c r="G147" t="s">
        <v>0</v>
      </c>
    </row>
    <row r="148" spans="1:7" x14ac:dyDescent="0.3">
      <c r="A148" s="5">
        <v>14167258</v>
      </c>
      <c r="B148" t="s">
        <v>459</v>
      </c>
      <c r="C148" t="s">
        <v>459</v>
      </c>
      <c r="D148" t="s">
        <v>2503</v>
      </c>
      <c r="E148" t="str">
        <f>IFERROR(VLOOKUP(B148,Signal_detection!$A$1:$C$22,2,FALSE),"")</f>
        <v>Probable</v>
      </c>
      <c r="F148" t="str">
        <f>IFERROR(VLOOKUP(B148,Signal_detection!$A$1:$C$22,3,FALSE),"")</f>
        <v>Neurological signal</v>
      </c>
      <c r="G148" t="s">
        <v>0</v>
      </c>
    </row>
    <row r="149" spans="1:7" x14ac:dyDescent="0.3">
      <c r="A149" s="5">
        <v>14167898</v>
      </c>
      <c r="B149" t="s">
        <v>415</v>
      </c>
      <c r="C149" t="s">
        <v>2510</v>
      </c>
      <c r="D149" t="s">
        <v>2510</v>
      </c>
      <c r="E149" t="str">
        <f>IFERROR(VLOOKUP(B149,Signal_detection!$A$1:$C$22,2,FALSE),"")</f>
        <v/>
      </c>
      <c r="F149" t="str">
        <f>IFERROR(VLOOKUP(B149,Signal_detection!$A$1:$C$22,3,FALSE),"")</f>
        <v/>
      </c>
      <c r="G149" t="s">
        <v>0</v>
      </c>
    </row>
    <row r="150" spans="1:7" x14ac:dyDescent="0.3">
      <c r="A150" s="5">
        <v>14168860</v>
      </c>
      <c r="B150" t="s">
        <v>126</v>
      </c>
      <c r="C150" t="s">
        <v>126</v>
      </c>
      <c r="D150" t="s">
        <v>2497</v>
      </c>
      <c r="E150" t="str">
        <f>IFERROR(VLOOKUP(B150,Signal_detection!$A$1:$C$22,2,FALSE),"")</f>
        <v>Unlikely</v>
      </c>
      <c r="F150" t="str">
        <f>IFERROR(VLOOKUP(B150,Signal_detection!$A$1:$C$22,3,FALSE),"")</f>
        <v>Non-ADR</v>
      </c>
      <c r="G150" t="s">
        <v>125</v>
      </c>
    </row>
    <row r="151" spans="1:7" x14ac:dyDescent="0.3">
      <c r="A151" s="5">
        <v>14171534</v>
      </c>
      <c r="B151" t="s">
        <v>608</v>
      </c>
      <c r="C151" t="s">
        <v>608</v>
      </c>
      <c r="D151" t="s">
        <v>2504</v>
      </c>
      <c r="E151" t="str">
        <f>IFERROR(VLOOKUP(B151,Signal_detection!$A$1:$C$22,2,FALSE),"")</f>
        <v>Probable</v>
      </c>
      <c r="F151" t="str">
        <f>IFERROR(VLOOKUP(B151,Signal_detection!$A$1:$C$22,3,FALSE),"")</f>
        <v>Renal safety signal</v>
      </c>
      <c r="G151" t="s">
        <v>0</v>
      </c>
    </row>
    <row r="152" spans="1:7" x14ac:dyDescent="0.3">
      <c r="A152" s="5">
        <v>14199698</v>
      </c>
      <c r="B152" t="s">
        <v>274</v>
      </c>
      <c r="C152" t="s">
        <v>274</v>
      </c>
      <c r="D152" t="s">
        <v>2494</v>
      </c>
      <c r="E152" t="str">
        <f>IFERROR(VLOOKUP(B152,Signal_detection!$A$1:$C$22,2,FALSE),"")</f>
        <v/>
      </c>
      <c r="F152" t="str">
        <f>IFERROR(VLOOKUP(B152,Signal_detection!$A$1:$C$22,3,FALSE),"")</f>
        <v/>
      </c>
      <c r="G152" t="s">
        <v>0</v>
      </c>
    </row>
    <row r="153" spans="1:7" x14ac:dyDescent="0.3">
      <c r="A153" s="5">
        <v>14205874</v>
      </c>
      <c r="B153" t="s">
        <v>69</v>
      </c>
      <c r="C153" t="s">
        <v>2510</v>
      </c>
      <c r="D153" t="s">
        <v>2510</v>
      </c>
      <c r="E153" t="str">
        <f>IFERROR(VLOOKUP(B153,Signal_detection!$A$1:$C$22,2,FALSE),"")</f>
        <v/>
      </c>
      <c r="F153" t="str">
        <f>IFERROR(VLOOKUP(B153,Signal_detection!$A$1:$C$22,3,FALSE),"")</f>
        <v/>
      </c>
      <c r="G153" t="s">
        <v>0</v>
      </c>
    </row>
    <row r="154" spans="1:7" x14ac:dyDescent="0.3">
      <c r="A154" s="5">
        <v>14211055</v>
      </c>
      <c r="B154" t="s">
        <v>1712</v>
      </c>
      <c r="C154" t="s">
        <v>2510</v>
      </c>
      <c r="D154" t="s">
        <v>2510</v>
      </c>
      <c r="E154" t="str">
        <f>IFERROR(VLOOKUP(B154,Signal_detection!$A$1:$C$22,2,FALSE),"")</f>
        <v/>
      </c>
      <c r="F154" t="str">
        <f>IFERROR(VLOOKUP(B154,Signal_detection!$A$1:$C$22,3,FALSE),"")</f>
        <v/>
      </c>
      <c r="G154" t="s">
        <v>0</v>
      </c>
    </row>
    <row r="155" spans="1:7" x14ac:dyDescent="0.3">
      <c r="A155" s="5">
        <v>14211532</v>
      </c>
      <c r="B155" t="s">
        <v>1226</v>
      </c>
      <c r="C155" t="s">
        <v>2510</v>
      </c>
      <c r="D155" t="s">
        <v>2510</v>
      </c>
      <c r="E155" t="str">
        <f>IFERROR(VLOOKUP(B155,Signal_detection!$A$1:$C$22,2,FALSE),"")</f>
        <v/>
      </c>
      <c r="F155" t="str">
        <f>IFERROR(VLOOKUP(B155,Signal_detection!$A$1:$C$22,3,FALSE),"")</f>
        <v/>
      </c>
      <c r="G155" t="s">
        <v>0</v>
      </c>
    </row>
    <row r="156" spans="1:7" x14ac:dyDescent="0.3">
      <c r="A156" s="5">
        <v>14218952</v>
      </c>
      <c r="B156" t="s">
        <v>102</v>
      </c>
      <c r="C156" t="s">
        <v>102</v>
      </c>
      <c r="D156" t="s">
        <v>2498</v>
      </c>
      <c r="E156" t="str">
        <f>IFERROR(VLOOKUP(B156,Signal_detection!$A$1:$C$22,2,FALSE),"")</f>
        <v/>
      </c>
      <c r="F156" t="str">
        <f>IFERROR(VLOOKUP(B156,Signal_detection!$A$1:$C$22,3,FALSE),"")</f>
        <v/>
      </c>
      <c r="G156" t="s">
        <v>125</v>
      </c>
    </row>
    <row r="157" spans="1:7" x14ac:dyDescent="0.3">
      <c r="A157" s="5">
        <v>14220075</v>
      </c>
      <c r="B157" t="s">
        <v>741</v>
      </c>
      <c r="C157" t="s">
        <v>741</v>
      </c>
      <c r="D157" t="s">
        <v>2505</v>
      </c>
      <c r="E157" t="str">
        <f>IFERROR(VLOOKUP(B157,Signal_detection!$A$1:$C$22,2,FALSE),"")</f>
        <v/>
      </c>
      <c r="F157" t="str">
        <f>IFERROR(VLOOKUP(B157,Signal_detection!$A$1:$C$22,3,FALSE),"")</f>
        <v/>
      </c>
      <c r="G157" t="s">
        <v>125</v>
      </c>
    </row>
    <row r="158" spans="1:7" x14ac:dyDescent="0.3">
      <c r="A158" s="5">
        <v>14222351</v>
      </c>
      <c r="B158" t="s">
        <v>353</v>
      </c>
      <c r="C158" t="s">
        <v>2510</v>
      </c>
      <c r="D158" t="s">
        <v>2510</v>
      </c>
      <c r="E158" t="str">
        <f>IFERROR(VLOOKUP(B158,Signal_detection!$A$1:$C$22,2,FALSE),"")</f>
        <v/>
      </c>
      <c r="F158" t="str">
        <f>IFERROR(VLOOKUP(B158,Signal_detection!$A$1:$C$22,3,FALSE),"")</f>
        <v/>
      </c>
      <c r="G158" t="s">
        <v>0</v>
      </c>
    </row>
    <row r="159" spans="1:7" x14ac:dyDescent="0.3">
      <c r="A159" s="5">
        <v>14228099</v>
      </c>
      <c r="B159" t="s">
        <v>712</v>
      </c>
      <c r="C159" t="s">
        <v>2510</v>
      </c>
      <c r="D159" t="s">
        <v>2510</v>
      </c>
      <c r="E159" t="str">
        <f>IFERROR(VLOOKUP(B159,Signal_detection!$A$1:$C$22,2,FALSE),"")</f>
        <v/>
      </c>
      <c r="F159" t="str">
        <f>IFERROR(VLOOKUP(B159,Signal_detection!$A$1:$C$22,3,FALSE),"")</f>
        <v/>
      </c>
      <c r="G159" t="s">
        <v>0</v>
      </c>
    </row>
    <row r="160" spans="1:7" x14ac:dyDescent="0.3">
      <c r="A160" s="5">
        <v>14254745</v>
      </c>
      <c r="B160" t="s">
        <v>561</v>
      </c>
      <c r="C160" t="s">
        <v>2510</v>
      </c>
      <c r="D160" t="s">
        <v>2510</v>
      </c>
      <c r="E160" t="str">
        <f>IFERROR(VLOOKUP(B160,Signal_detection!$A$1:$C$22,2,FALSE),"")</f>
        <v/>
      </c>
      <c r="F160" t="str">
        <f>IFERROR(VLOOKUP(B160,Signal_detection!$A$1:$C$22,3,FALSE),"")</f>
        <v/>
      </c>
      <c r="G160" t="s">
        <v>0</v>
      </c>
    </row>
    <row r="161" spans="1:7" x14ac:dyDescent="0.3">
      <c r="A161" s="5">
        <v>14255309</v>
      </c>
      <c r="B161" t="s">
        <v>123</v>
      </c>
      <c r="C161" t="s">
        <v>2510</v>
      </c>
      <c r="D161" t="s">
        <v>2510</v>
      </c>
      <c r="E161" t="str">
        <f>IFERROR(VLOOKUP(B161,Signal_detection!$A$1:$C$22,2,FALSE),"")</f>
        <v/>
      </c>
      <c r="F161" t="str">
        <f>IFERROR(VLOOKUP(B161,Signal_detection!$A$1:$C$22,3,FALSE),"")</f>
        <v/>
      </c>
      <c r="G161" t="s">
        <v>125</v>
      </c>
    </row>
    <row r="162" spans="1:7" x14ac:dyDescent="0.3">
      <c r="A162" s="5">
        <v>14262274</v>
      </c>
      <c r="B162" t="s">
        <v>719</v>
      </c>
      <c r="C162" t="s">
        <v>2510</v>
      </c>
      <c r="D162" t="s">
        <v>2510</v>
      </c>
      <c r="E162" t="str">
        <f>IFERROR(VLOOKUP(B162,Signal_detection!$A$1:$C$22,2,FALSE),"")</f>
        <v/>
      </c>
      <c r="F162" t="str">
        <f>IFERROR(VLOOKUP(B162,Signal_detection!$A$1:$C$22,3,FALSE),"")</f>
        <v/>
      </c>
      <c r="G162" t="s">
        <v>0</v>
      </c>
    </row>
    <row r="163" spans="1:7" x14ac:dyDescent="0.3">
      <c r="A163" s="5">
        <v>14262633</v>
      </c>
      <c r="B163" t="s">
        <v>719</v>
      </c>
      <c r="C163" t="s">
        <v>2510</v>
      </c>
      <c r="D163" t="s">
        <v>2510</v>
      </c>
      <c r="E163" t="str">
        <f>IFERROR(VLOOKUP(B163,Signal_detection!$A$1:$C$22,2,FALSE),"")</f>
        <v/>
      </c>
      <c r="F163" t="str">
        <f>IFERROR(VLOOKUP(B163,Signal_detection!$A$1:$C$22,3,FALSE),"")</f>
        <v/>
      </c>
      <c r="G163" t="s">
        <v>0</v>
      </c>
    </row>
    <row r="164" spans="1:7" x14ac:dyDescent="0.3">
      <c r="A164" s="5">
        <v>14276970</v>
      </c>
      <c r="B164" t="s">
        <v>579</v>
      </c>
      <c r="C164" t="s">
        <v>2510</v>
      </c>
      <c r="D164" t="s">
        <v>2510</v>
      </c>
      <c r="E164" t="str">
        <f>IFERROR(VLOOKUP(B164,Signal_detection!$A$1:$C$22,2,FALSE),"")</f>
        <v/>
      </c>
      <c r="F164" t="str">
        <f>IFERROR(VLOOKUP(B164,Signal_detection!$A$1:$C$22,3,FALSE),"")</f>
        <v/>
      </c>
      <c r="G164" t="s">
        <v>0</v>
      </c>
    </row>
    <row r="165" spans="1:7" x14ac:dyDescent="0.3">
      <c r="A165" s="5">
        <v>14283502</v>
      </c>
      <c r="B165" t="s">
        <v>1237</v>
      </c>
      <c r="C165" t="s">
        <v>2510</v>
      </c>
      <c r="D165" t="s">
        <v>2510</v>
      </c>
      <c r="E165" t="str">
        <f>IFERROR(VLOOKUP(B165,Signal_detection!$A$1:$C$22,2,FALSE),"")</f>
        <v/>
      </c>
      <c r="F165" t="str">
        <f>IFERROR(VLOOKUP(B165,Signal_detection!$A$1:$C$22,3,FALSE),"")</f>
        <v/>
      </c>
      <c r="G165" t="s">
        <v>0</v>
      </c>
    </row>
    <row r="166" spans="1:7" x14ac:dyDescent="0.3">
      <c r="A166" s="5">
        <v>14284964</v>
      </c>
      <c r="B166" t="s">
        <v>1723</v>
      </c>
      <c r="C166" t="s">
        <v>2510</v>
      </c>
      <c r="D166" t="s">
        <v>2510</v>
      </c>
      <c r="E166" t="str">
        <f>IFERROR(VLOOKUP(B166,Signal_detection!$A$1:$C$22,2,FALSE),"")</f>
        <v/>
      </c>
      <c r="F166" t="str">
        <f>IFERROR(VLOOKUP(B166,Signal_detection!$A$1:$C$22,3,FALSE),"")</f>
        <v/>
      </c>
      <c r="G166" t="s">
        <v>0</v>
      </c>
    </row>
    <row r="167" spans="1:7" x14ac:dyDescent="0.3">
      <c r="A167" s="5">
        <v>14285532</v>
      </c>
      <c r="B167" t="s">
        <v>126</v>
      </c>
      <c r="C167" t="s">
        <v>126</v>
      </c>
      <c r="D167" t="s">
        <v>2497</v>
      </c>
      <c r="E167" t="str">
        <f>IFERROR(VLOOKUP(B167,Signal_detection!$A$1:$C$22,2,FALSE),"")</f>
        <v>Unlikely</v>
      </c>
      <c r="F167" t="str">
        <f>IFERROR(VLOOKUP(B167,Signal_detection!$A$1:$C$22,3,FALSE),"")</f>
        <v>Non-ADR</v>
      </c>
      <c r="G167" t="s">
        <v>125</v>
      </c>
    </row>
    <row r="168" spans="1:7" x14ac:dyDescent="0.3">
      <c r="A168" s="5">
        <v>14287007</v>
      </c>
      <c r="B168" t="s">
        <v>795</v>
      </c>
      <c r="C168" t="s">
        <v>2510</v>
      </c>
      <c r="D168" t="s">
        <v>2510</v>
      </c>
      <c r="E168" t="str">
        <f>IFERROR(VLOOKUP(B168,Signal_detection!$A$1:$C$22,2,FALSE),"")</f>
        <v/>
      </c>
      <c r="F168" t="str">
        <f>IFERROR(VLOOKUP(B168,Signal_detection!$A$1:$C$22,3,FALSE),"")</f>
        <v/>
      </c>
      <c r="G168" t="s">
        <v>0</v>
      </c>
    </row>
    <row r="169" spans="1:7" x14ac:dyDescent="0.3">
      <c r="A169" s="5">
        <v>14290669</v>
      </c>
      <c r="B169" t="s">
        <v>242</v>
      </c>
      <c r="C169" t="s">
        <v>2510</v>
      </c>
      <c r="D169" t="s">
        <v>2510</v>
      </c>
      <c r="E169" t="str">
        <f>IFERROR(VLOOKUP(B169,Signal_detection!$A$1:$C$22,2,FALSE),"")</f>
        <v/>
      </c>
      <c r="F169" t="str">
        <f>IFERROR(VLOOKUP(B169,Signal_detection!$A$1:$C$22,3,FALSE),"")</f>
        <v/>
      </c>
      <c r="G169" t="s">
        <v>0</v>
      </c>
    </row>
    <row r="170" spans="1:7" x14ac:dyDescent="0.3">
      <c r="A170" s="5">
        <v>14297233</v>
      </c>
      <c r="B170" t="s">
        <v>744</v>
      </c>
      <c r="C170" t="s">
        <v>2510</v>
      </c>
      <c r="D170" t="s">
        <v>2510</v>
      </c>
      <c r="E170" t="str">
        <f>IFERROR(VLOOKUP(B170,Signal_detection!$A$1:$C$22,2,FALSE),"")</f>
        <v/>
      </c>
      <c r="F170" t="str">
        <f>IFERROR(VLOOKUP(B170,Signal_detection!$A$1:$C$22,3,FALSE),"")</f>
        <v/>
      </c>
      <c r="G170" t="s">
        <v>0</v>
      </c>
    </row>
    <row r="171" spans="1:7" x14ac:dyDescent="0.3">
      <c r="A171" s="5">
        <v>14312156</v>
      </c>
      <c r="B171" t="s">
        <v>192</v>
      </c>
      <c r="C171" t="s">
        <v>192</v>
      </c>
      <c r="D171" t="s">
        <v>2495</v>
      </c>
      <c r="E171" t="str">
        <f>IFERROR(VLOOKUP(B171,Signal_detection!$A$1:$C$22,2,FALSE),"")</f>
        <v>Probable</v>
      </c>
      <c r="F171" t="str">
        <f>IFERROR(VLOOKUP(B171,Signal_detection!$A$1:$C$22,3,FALSE),"")</f>
        <v>Hypersensitivity signal</v>
      </c>
      <c r="G171" t="s">
        <v>125</v>
      </c>
    </row>
    <row r="172" spans="1:7" x14ac:dyDescent="0.3">
      <c r="A172" s="5">
        <v>14325462</v>
      </c>
      <c r="B172" t="s">
        <v>378</v>
      </c>
      <c r="C172" t="s">
        <v>378</v>
      </c>
      <c r="D172" t="s">
        <v>2503</v>
      </c>
      <c r="E172" t="str">
        <f>IFERROR(VLOOKUP(B172,Signal_detection!$A$1:$C$22,2,FALSE),"")</f>
        <v>Probable</v>
      </c>
      <c r="F172" t="str">
        <f>IFERROR(VLOOKUP(B172,Signal_detection!$A$1:$C$22,3,FALSE),"")</f>
        <v>Neurological signal</v>
      </c>
      <c r="G172" t="s">
        <v>0</v>
      </c>
    </row>
    <row r="173" spans="1:7" x14ac:dyDescent="0.3">
      <c r="A173" s="5">
        <v>14334078</v>
      </c>
      <c r="B173" t="s">
        <v>1553</v>
      </c>
      <c r="C173" t="s">
        <v>2510</v>
      </c>
      <c r="D173" t="s">
        <v>2510</v>
      </c>
      <c r="E173" t="str">
        <f>IFERROR(VLOOKUP(B173,Signal_detection!$A$1:$C$22,2,FALSE),"")</f>
        <v/>
      </c>
      <c r="F173" t="str">
        <f>IFERROR(VLOOKUP(B173,Signal_detection!$A$1:$C$22,3,FALSE),"")</f>
        <v/>
      </c>
      <c r="G173" t="s">
        <v>0</v>
      </c>
    </row>
    <row r="174" spans="1:7" x14ac:dyDescent="0.3">
      <c r="A174" s="5">
        <v>14337832</v>
      </c>
      <c r="B174" t="s">
        <v>173</v>
      </c>
      <c r="C174" t="s">
        <v>2510</v>
      </c>
      <c r="D174" t="s">
        <v>2510</v>
      </c>
      <c r="E174" t="str">
        <f>IFERROR(VLOOKUP(B174,Signal_detection!$A$1:$C$22,2,FALSE),"")</f>
        <v/>
      </c>
      <c r="F174" t="str">
        <f>IFERROR(VLOOKUP(B174,Signal_detection!$A$1:$C$22,3,FALSE),"")</f>
        <v/>
      </c>
      <c r="G174" t="s">
        <v>0</v>
      </c>
    </row>
    <row r="175" spans="1:7" x14ac:dyDescent="0.3">
      <c r="A175" s="5">
        <v>14338206</v>
      </c>
      <c r="B175" t="s">
        <v>285</v>
      </c>
      <c r="C175" t="s">
        <v>2510</v>
      </c>
      <c r="D175" t="s">
        <v>2510</v>
      </c>
      <c r="E175" t="str">
        <f>IFERROR(VLOOKUP(B175,Signal_detection!$A$1:$C$22,2,FALSE),"")</f>
        <v/>
      </c>
      <c r="F175" t="str">
        <f>IFERROR(VLOOKUP(B175,Signal_detection!$A$1:$C$22,3,FALSE),"")</f>
        <v/>
      </c>
      <c r="G175" t="s">
        <v>125</v>
      </c>
    </row>
    <row r="176" spans="1:7" x14ac:dyDescent="0.3">
      <c r="A176" s="5">
        <v>14338789</v>
      </c>
      <c r="B176" t="s">
        <v>1492</v>
      </c>
      <c r="C176" t="s">
        <v>2510</v>
      </c>
      <c r="D176" t="s">
        <v>2510</v>
      </c>
      <c r="E176" t="str">
        <f>IFERROR(VLOOKUP(B176,Signal_detection!$A$1:$C$22,2,FALSE),"")</f>
        <v/>
      </c>
      <c r="F176" t="str">
        <f>IFERROR(VLOOKUP(B176,Signal_detection!$A$1:$C$22,3,FALSE),"")</f>
        <v/>
      </c>
      <c r="G176" t="s">
        <v>0</v>
      </c>
    </row>
    <row r="177" spans="1:7" x14ac:dyDescent="0.3">
      <c r="A177" s="5">
        <v>14348474</v>
      </c>
      <c r="B177" t="s">
        <v>516</v>
      </c>
      <c r="C177" t="s">
        <v>2510</v>
      </c>
      <c r="D177" t="s">
        <v>2510</v>
      </c>
      <c r="E177" t="str">
        <f>IFERROR(VLOOKUP(B177,Signal_detection!$A$1:$C$22,2,FALSE),"")</f>
        <v/>
      </c>
      <c r="F177" t="str">
        <f>IFERROR(VLOOKUP(B177,Signal_detection!$A$1:$C$22,3,FALSE),"")</f>
        <v/>
      </c>
      <c r="G177" t="s">
        <v>125</v>
      </c>
    </row>
    <row r="178" spans="1:7" x14ac:dyDescent="0.3">
      <c r="A178" s="5">
        <v>14350571</v>
      </c>
      <c r="B178" t="s">
        <v>421</v>
      </c>
      <c r="C178" t="s">
        <v>2510</v>
      </c>
      <c r="D178" t="s">
        <v>2510</v>
      </c>
      <c r="E178" t="str">
        <f>IFERROR(VLOOKUP(B178,Signal_detection!$A$1:$C$22,2,FALSE),"")</f>
        <v/>
      </c>
      <c r="F178" t="str">
        <f>IFERROR(VLOOKUP(B178,Signal_detection!$A$1:$C$22,3,FALSE),"")</f>
        <v/>
      </c>
      <c r="G178" t="s">
        <v>125</v>
      </c>
    </row>
    <row r="179" spans="1:7" x14ac:dyDescent="0.3">
      <c r="A179" s="5">
        <v>14353540</v>
      </c>
      <c r="B179" t="s">
        <v>551</v>
      </c>
      <c r="C179" t="s">
        <v>2510</v>
      </c>
      <c r="D179" t="s">
        <v>2510</v>
      </c>
      <c r="E179" t="str">
        <f>IFERROR(VLOOKUP(B179,Signal_detection!$A$1:$C$22,2,FALSE),"")</f>
        <v/>
      </c>
      <c r="F179" t="str">
        <f>IFERROR(VLOOKUP(B179,Signal_detection!$A$1:$C$22,3,FALSE),"")</f>
        <v/>
      </c>
      <c r="G179" t="s">
        <v>0</v>
      </c>
    </row>
    <row r="180" spans="1:7" x14ac:dyDescent="0.3">
      <c r="A180" s="5">
        <v>14355954</v>
      </c>
      <c r="B180" t="s">
        <v>745</v>
      </c>
      <c r="C180" t="s">
        <v>2510</v>
      </c>
      <c r="D180" t="s">
        <v>2510</v>
      </c>
      <c r="E180" t="str">
        <f>IFERROR(VLOOKUP(B180,Signal_detection!$A$1:$C$22,2,FALSE),"")</f>
        <v/>
      </c>
      <c r="F180" t="str">
        <f>IFERROR(VLOOKUP(B180,Signal_detection!$A$1:$C$22,3,FALSE),"")</f>
        <v/>
      </c>
      <c r="G180" t="s">
        <v>0</v>
      </c>
    </row>
    <row r="181" spans="1:7" x14ac:dyDescent="0.3">
      <c r="A181" s="5">
        <v>14363498</v>
      </c>
      <c r="B181" t="s">
        <v>1740</v>
      </c>
      <c r="C181" t="s">
        <v>1740</v>
      </c>
      <c r="D181" t="s">
        <v>2494</v>
      </c>
      <c r="E181" t="str">
        <f>IFERROR(VLOOKUP(B181,Signal_detection!$A$1:$C$22,2,FALSE),"")</f>
        <v/>
      </c>
      <c r="F181" t="str">
        <f>IFERROR(VLOOKUP(B181,Signal_detection!$A$1:$C$22,3,FALSE),"")</f>
        <v/>
      </c>
      <c r="G181" t="s">
        <v>0</v>
      </c>
    </row>
    <row r="182" spans="1:7" x14ac:dyDescent="0.3">
      <c r="A182" s="5">
        <v>14363507</v>
      </c>
      <c r="B182" t="s">
        <v>1740</v>
      </c>
      <c r="C182" t="s">
        <v>1740</v>
      </c>
      <c r="D182" t="s">
        <v>2494</v>
      </c>
      <c r="E182" t="str">
        <f>IFERROR(VLOOKUP(B182,Signal_detection!$A$1:$C$22,2,FALSE),"")</f>
        <v/>
      </c>
      <c r="F182" t="str">
        <f>IFERROR(VLOOKUP(B182,Signal_detection!$A$1:$C$22,3,FALSE),"")</f>
        <v/>
      </c>
      <c r="G182" t="s">
        <v>0</v>
      </c>
    </row>
    <row r="183" spans="1:7" x14ac:dyDescent="0.3">
      <c r="A183" s="5">
        <v>14363510</v>
      </c>
      <c r="B183" t="s">
        <v>1740</v>
      </c>
      <c r="C183" t="s">
        <v>1740</v>
      </c>
      <c r="D183" t="s">
        <v>2494</v>
      </c>
      <c r="E183" t="str">
        <f>IFERROR(VLOOKUP(B183,Signal_detection!$A$1:$C$22,2,FALSE),"")</f>
        <v/>
      </c>
      <c r="F183" t="str">
        <f>IFERROR(VLOOKUP(B183,Signal_detection!$A$1:$C$22,3,FALSE),"")</f>
        <v/>
      </c>
      <c r="G183" t="s">
        <v>0</v>
      </c>
    </row>
    <row r="184" spans="1:7" x14ac:dyDescent="0.3">
      <c r="A184" s="5">
        <v>14363511</v>
      </c>
      <c r="B184" t="s">
        <v>1740</v>
      </c>
      <c r="C184" t="s">
        <v>1740</v>
      </c>
      <c r="D184" t="s">
        <v>2494</v>
      </c>
      <c r="E184" t="str">
        <f>IFERROR(VLOOKUP(B184,Signal_detection!$A$1:$C$22,2,FALSE),"")</f>
        <v/>
      </c>
      <c r="F184" t="str">
        <f>IFERROR(VLOOKUP(B184,Signal_detection!$A$1:$C$22,3,FALSE),"")</f>
        <v/>
      </c>
      <c r="G184" t="s">
        <v>0</v>
      </c>
    </row>
    <row r="185" spans="1:7" x14ac:dyDescent="0.3">
      <c r="A185" s="5">
        <v>14363513</v>
      </c>
      <c r="B185" t="s">
        <v>1740</v>
      </c>
      <c r="C185" t="s">
        <v>1740</v>
      </c>
      <c r="D185" t="s">
        <v>2494</v>
      </c>
      <c r="E185" t="str">
        <f>IFERROR(VLOOKUP(B185,Signal_detection!$A$1:$C$22,2,FALSE),"")</f>
        <v/>
      </c>
      <c r="F185" t="str">
        <f>IFERROR(VLOOKUP(B185,Signal_detection!$A$1:$C$22,3,FALSE),"")</f>
        <v/>
      </c>
      <c r="G185" t="s">
        <v>0</v>
      </c>
    </row>
    <row r="186" spans="1:7" x14ac:dyDescent="0.3">
      <c r="A186" s="5">
        <v>14363521</v>
      </c>
      <c r="B186" t="s">
        <v>1740</v>
      </c>
      <c r="C186" t="s">
        <v>1740</v>
      </c>
      <c r="D186" t="s">
        <v>2494</v>
      </c>
      <c r="E186" t="str">
        <f>IFERROR(VLOOKUP(B186,Signal_detection!$A$1:$C$22,2,FALSE),"")</f>
        <v/>
      </c>
      <c r="F186" t="str">
        <f>IFERROR(VLOOKUP(B186,Signal_detection!$A$1:$C$22,3,FALSE),"")</f>
        <v/>
      </c>
      <c r="G186" t="s">
        <v>0</v>
      </c>
    </row>
    <row r="187" spans="1:7" x14ac:dyDescent="0.3">
      <c r="A187" s="5">
        <v>14363522</v>
      </c>
      <c r="B187" t="s">
        <v>1740</v>
      </c>
      <c r="C187" t="s">
        <v>1740</v>
      </c>
      <c r="D187" t="s">
        <v>2494</v>
      </c>
      <c r="E187" t="str">
        <f>IFERROR(VLOOKUP(B187,Signal_detection!$A$1:$C$22,2,FALSE),"")</f>
        <v/>
      </c>
      <c r="F187" t="str">
        <f>IFERROR(VLOOKUP(B187,Signal_detection!$A$1:$C$22,3,FALSE),"")</f>
        <v/>
      </c>
      <c r="G187" t="s">
        <v>0</v>
      </c>
    </row>
    <row r="188" spans="1:7" x14ac:dyDescent="0.3">
      <c r="A188" s="5">
        <v>14363528</v>
      </c>
      <c r="B188" t="s">
        <v>1740</v>
      </c>
      <c r="C188" t="s">
        <v>1740</v>
      </c>
      <c r="D188" t="s">
        <v>2494</v>
      </c>
      <c r="E188" t="str">
        <f>IFERROR(VLOOKUP(B188,Signal_detection!$A$1:$C$22,2,FALSE),"")</f>
        <v/>
      </c>
      <c r="F188" t="str">
        <f>IFERROR(VLOOKUP(B188,Signal_detection!$A$1:$C$22,3,FALSE),"")</f>
        <v/>
      </c>
      <c r="G188" t="s">
        <v>0</v>
      </c>
    </row>
    <row r="189" spans="1:7" x14ac:dyDescent="0.3">
      <c r="A189" s="5">
        <v>14363530</v>
      </c>
      <c r="B189" t="s">
        <v>1740</v>
      </c>
      <c r="C189" t="s">
        <v>1740</v>
      </c>
      <c r="D189" t="s">
        <v>2494</v>
      </c>
      <c r="E189" t="str">
        <f>IFERROR(VLOOKUP(B189,Signal_detection!$A$1:$C$22,2,FALSE),"")</f>
        <v/>
      </c>
      <c r="F189" t="str">
        <f>IFERROR(VLOOKUP(B189,Signal_detection!$A$1:$C$22,3,FALSE),"")</f>
        <v/>
      </c>
      <c r="G189" t="s">
        <v>0</v>
      </c>
    </row>
    <row r="190" spans="1:7" x14ac:dyDescent="0.3">
      <c r="A190" s="5">
        <v>14363533</v>
      </c>
      <c r="B190" t="s">
        <v>1740</v>
      </c>
      <c r="C190" t="s">
        <v>1740</v>
      </c>
      <c r="D190" t="s">
        <v>2494</v>
      </c>
      <c r="E190" t="str">
        <f>IFERROR(VLOOKUP(B190,Signal_detection!$A$1:$C$22,2,FALSE),"")</f>
        <v/>
      </c>
      <c r="F190" t="str">
        <f>IFERROR(VLOOKUP(B190,Signal_detection!$A$1:$C$22,3,FALSE),"")</f>
        <v/>
      </c>
      <c r="G190" t="s">
        <v>0</v>
      </c>
    </row>
    <row r="191" spans="1:7" x14ac:dyDescent="0.3">
      <c r="A191" s="5">
        <v>14363534</v>
      </c>
      <c r="B191" t="s">
        <v>1740</v>
      </c>
      <c r="C191" t="s">
        <v>1740</v>
      </c>
      <c r="D191" t="s">
        <v>2494</v>
      </c>
      <c r="E191" t="str">
        <f>IFERROR(VLOOKUP(B191,Signal_detection!$A$1:$C$22,2,FALSE),"")</f>
        <v/>
      </c>
      <c r="F191" t="str">
        <f>IFERROR(VLOOKUP(B191,Signal_detection!$A$1:$C$22,3,FALSE),"")</f>
        <v/>
      </c>
      <c r="G191" t="s">
        <v>0</v>
      </c>
    </row>
    <row r="192" spans="1:7" x14ac:dyDescent="0.3">
      <c r="A192" s="5">
        <v>14363537</v>
      </c>
      <c r="B192" t="s">
        <v>1740</v>
      </c>
      <c r="C192" t="s">
        <v>1740</v>
      </c>
      <c r="D192" t="s">
        <v>2494</v>
      </c>
      <c r="E192" t="str">
        <f>IFERROR(VLOOKUP(B192,Signal_detection!$A$1:$C$22,2,FALSE),"")</f>
        <v/>
      </c>
      <c r="F192" t="str">
        <f>IFERROR(VLOOKUP(B192,Signal_detection!$A$1:$C$22,3,FALSE),"")</f>
        <v/>
      </c>
      <c r="G192" t="s">
        <v>0</v>
      </c>
    </row>
    <row r="193" spans="1:7" x14ac:dyDescent="0.3">
      <c r="A193" s="5">
        <v>14363578</v>
      </c>
      <c r="B193" t="s">
        <v>1740</v>
      </c>
      <c r="C193" t="s">
        <v>1740</v>
      </c>
      <c r="D193" t="s">
        <v>2494</v>
      </c>
      <c r="E193" t="str">
        <f>IFERROR(VLOOKUP(B193,Signal_detection!$A$1:$C$22,2,FALSE),"")</f>
        <v/>
      </c>
      <c r="F193" t="str">
        <f>IFERROR(VLOOKUP(B193,Signal_detection!$A$1:$C$22,3,FALSE),"")</f>
        <v/>
      </c>
      <c r="G193" t="s">
        <v>0</v>
      </c>
    </row>
    <row r="194" spans="1:7" x14ac:dyDescent="0.3">
      <c r="A194" s="5">
        <v>14363579</v>
      </c>
      <c r="B194" t="s">
        <v>1740</v>
      </c>
      <c r="C194" t="s">
        <v>1740</v>
      </c>
      <c r="D194" t="s">
        <v>2494</v>
      </c>
      <c r="E194" t="str">
        <f>IFERROR(VLOOKUP(B194,Signal_detection!$A$1:$C$22,2,FALSE),"")</f>
        <v/>
      </c>
      <c r="F194" t="str">
        <f>IFERROR(VLOOKUP(B194,Signal_detection!$A$1:$C$22,3,FALSE),"")</f>
        <v/>
      </c>
      <c r="G194" t="s">
        <v>0</v>
      </c>
    </row>
    <row r="195" spans="1:7" x14ac:dyDescent="0.3">
      <c r="A195" s="5">
        <v>14363580</v>
      </c>
      <c r="B195" t="s">
        <v>1740</v>
      </c>
      <c r="C195" t="s">
        <v>1740</v>
      </c>
      <c r="D195" t="s">
        <v>2494</v>
      </c>
      <c r="E195" t="str">
        <f>IFERROR(VLOOKUP(B195,Signal_detection!$A$1:$C$22,2,FALSE),"")</f>
        <v/>
      </c>
      <c r="F195" t="str">
        <f>IFERROR(VLOOKUP(B195,Signal_detection!$A$1:$C$22,3,FALSE),"")</f>
        <v/>
      </c>
      <c r="G195" t="s">
        <v>0</v>
      </c>
    </row>
    <row r="196" spans="1:7" x14ac:dyDescent="0.3">
      <c r="A196" s="5">
        <v>14366891</v>
      </c>
      <c r="B196" t="s">
        <v>1740</v>
      </c>
      <c r="C196" t="s">
        <v>1740</v>
      </c>
      <c r="D196" t="s">
        <v>2494</v>
      </c>
      <c r="E196" t="str">
        <f>IFERROR(VLOOKUP(B196,Signal_detection!$A$1:$C$22,2,FALSE),"")</f>
        <v/>
      </c>
      <c r="F196" t="str">
        <f>IFERROR(VLOOKUP(B196,Signal_detection!$A$1:$C$22,3,FALSE),"")</f>
        <v/>
      </c>
      <c r="G196" t="s">
        <v>0</v>
      </c>
    </row>
    <row r="197" spans="1:7" x14ac:dyDescent="0.3">
      <c r="A197" s="5">
        <v>14366894</v>
      </c>
      <c r="B197" t="s">
        <v>1740</v>
      </c>
      <c r="C197" t="s">
        <v>1740</v>
      </c>
      <c r="D197" t="s">
        <v>2494</v>
      </c>
      <c r="E197" t="str">
        <f>IFERROR(VLOOKUP(B197,Signal_detection!$A$1:$C$22,2,FALSE),"")</f>
        <v/>
      </c>
      <c r="F197" t="str">
        <f>IFERROR(VLOOKUP(B197,Signal_detection!$A$1:$C$22,3,FALSE),"")</f>
        <v/>
      </c>
      <c r="G197" t="s">
        <v>0</v>
      </c>
    </row>
    <row r="198" spans="1:7" x14ac:dyDescent="0.3">
      <c r="A198" s="5">
        <v>14366896</v>
      </c>
      <c r="B198" t="s">
        <v>1740</v>
      </c>
      <c r="C198" t="s">
        <v>1740</v>
      </c>
      <c r="D198" t="s">
        <v>2494</v>
      </c>
      <c r="E198" t="str">
        <f>IFERROR(VLOOKUP(B198,Signal_detection!$A$1:$C$22,2,FALSE),"")</f>
        <v/>
      </c>
      <c r="F198" t="str">
        <f>IFERROR(VLOOKUP(B198,Signal_detection!$A$1:$C$22,3,FALSE),"")</f>
        <v/>
      </c>
      <c r="G198" t="s">
        <v>0</v>
      </c>
    </row>
    <row r="199" spans="1:7" x14ac:dyDescent="0.3">
      <c r="A199" s="5">
        <v>14366897</v>
      </c>
      <c r="B199" t="s">
        <v>1740</v>
      </c>
      <c r="C199" t="s">
        <v>1740</v>
      </c>
      <c r="D199" t="s">
        <v>2494</v>
      </c>
      <c r="E199" t="str">
        <f>IFERROR(VLOOKUP(B199,Signal_detection!$A$1:$C$22,2,FALSE),"")</f>
        <v/>
      </c>
      <c r="F199" t="str">
        <f>IFERROR(VLOOKUP(B199,Signal_detection!$A$1:$C$22,3,FALSE),"")</f>
        <v/>
      </c>
      <c r="G199" t="s">
        <v>0</v>
      </c>
    </row>
    <row r="200" spans="1:7" x14ac:dyDescent="0.3">
      <c r="A200" s="5">
        <v>14366919</v>
      </c>
      <c r="B200" t="s">
        <v>1740</v>
      </c>
      <c r="C200" t="s">
        <v>1740</v>
      </c>
      <c r="D200" t="s">
        <v>2494</v>
      </c>
      <c r="E200" t="str">
        <f>IFERROR(VLOOKUP(B200,Signal_detection!$A$1:$C$22,2,FALSE),"")</f>
        <v/>
      </c>
      <c r="F200" t="str">
        <f>IFERROR(VLOOKUP(B200,Signal_detection!$A$1:$C$22,3,FALSE),"")</f>
        <v/>
      </c>
      <c r="G200" t="s">
        <v>0</v>
      </c>
    </row>
    <row r="201" spans="1:7" x14ac:dyDescent="0.3">
      <c r="A201" s="5">
        <v>14366924</v>
      </c>
      <c r="B201" t="s">
        <v>1740</v>
      </c>
      <c r="C201" t="s">
        <v>1740</v>
      </c>
      <c r="D201" t="s">
        <v>2494</v>
      </c>
      <c r="E201" t="str">
        <f>IFERROR(VLOOKUP(B201,Signal_detection!$A$1:$C$22,2,FALSE),"")</f>
        <v/>
      </c>
      <c r="F201" t="str">
        <f>IFERROR(VLOOKUP(B201,Signal_detection!$A$1:$C$22,3,FALSE),"")</f>
        <v/>
      </c>
      <c r="G201" t="s">
        <v>0</v>
      </c>
    </row>
    <row r="202" spans="1:7" x14ac:dyDescent="0.3">
      <c r="A202" s="5">
        <v>14366925</v>
      </c>
      <c r="B202" t="s">
        <v>1740</v>
      </c>
      <c r="C202" t="s">
        <v>1740</v>
      </c>
      <c r="D202" t="s">
        <v>2494</v>
      </c>
      <c r="E202" t="str">
        <f>IFERROR(VLOOKUP(B202,Signal_detection!$A$1:$C$22,2,FALSE),"")</f>
        <v/>
      </c>
      <c r="F202" t="str">
        <f>IFERROR(VLOOKUP(B202,Signal_detection!$A$1:$C$22,3,FALSE),"")</f>
        <v/>
      </c>
      <c r="G202" t="s">
        <v>0</v>
      </c>
    </row>
    <row r="203" spans="1:7" x14ac:dyDescent="0.3">
      <c r="A203" s="5">
        <v>14366926</v>
      </c>
      <c r="B203" t="s">
        <v>1740</v>
      </c>
      <c r="C203" t="s">
        <v>1740</v>
      </c>
      <c r="D203" t="s">
        <v>2494</v>
      </c>
      <c r="E203" t="str">
        <f>IFERROR(VLOOKUP(B203,Signal_detection!$A$1:$C$22,2,FALSE),"")</f>
        <v/>
      </c>
      <c r="F203" t="str">
        <f>IFERROR(VLOOKUP(B203,Signal_detection!$A$1:$C$22,3,FALSE),"")</f>
        <v/>
      </c>
      <c r="G203" t="s">
        <v>0</v>
      </c>
    </row>
    <row r="204" spans="1:7" x14ac:dyDescent="0.3">
      <c r="A204" s="5">
        <v>14374937</v>
      </c>
      <c r="B204" t="s">
        <v>109</v>
      </c>
      <c r="C204" t="s">
        <v>2510</v>
      </c>
      <c r="D204" t="s">
        <v>2510</v>
      </c>
      <c r="E204" t="str">
        <f>IFERROR(VLOOKUP(B204,Signal_detection!$A$1:$C$22,2,FALSE),"")</f>
        <v/>
      </c>
      <c r="F204" t="str">
        <f>IFERROR(VLOOKUP(B204,Signal_detection!$A$1:$C$22,3,FALSE),"")</f>
        <v/>
      </c>
      <c r="G204" t="s">
        <v>0</v>
      </c>
    </row>
    <row r="205" spans="1:7" x14ac:dyDescent="0.3">
      <c r="A205" s="5">
        <v>14376541</v>
      </c>
      <c r="B205" t="s">
        <v>1370</v>
      </c>
      <c r="C205" t="s">
        <v>2510</v>
      </c>
      <c r="D205" t="s">
        <v>2510</v>
      </c>
      <c r="E205" t="str">
        <f>IFERROR(VLOOKUP(B205,Signal_detection!$A$1:$C$22,2,FALSE),"")</f>
        <v/>
      </c>
      <c r="F205" t="str">
        <f>IFERROR(VLOOKUP(B205,Signal_detection!$A$1:$C$22,3,FALSE),"")</f>
        <v/>
      </c>
      <c r="G205" t="s">
        <v>0</v>
      </c>
    </row>
    <row r="206" spans="1:7" x14ac:dyDescent="0.3">
      <c r="A206" s="5">
        <v>14379322</v>
      </c>
      <c r="B206" t="s">
        <v>517</v>
      </c>
      <c r="C206" t="s">
        <v>2510</v>
      </c>
      <c r="D206" t="s">
        <v>2510</v>
      </c>
      <c r="E206" t="str">
        <f>IFERROR(VLOOKUP(B206,Signal_detection!$A$1:$C$22,2,FALSE),"")</f>
        <v/>
      </c>
      <c r="F206" t="str">
        <f>IFERROR(VLOOKUP(B206,Signal_detection!$A$1:$C$22,3,FALSE),"")</f>
        <v/>
      </c>
      <c r="G206" t="s">
        <v>125</v>
      </c>
    </row>
    <row r="207" spans="1:7" x14ac:dyDescent="0.3">
      <c r="A207" s="5">
        <v>14384500</v>
      </c>
      <c r="B207" t="s">
        <v>474</v>
      </c>
      <c r="C207" t="s">
        <v>2510</v>
      </c>
      <c r="D207" t="s">
        <v>2510</v>
      </c>
      <c r="E207" t="str">
        <f>IFERROR(VLOOKUP(B207,Signal_detection!$A$1:$C$22,2,FALSE),"")</f>
        <v/>
      </c>
      <c r="F207" t="str">
        <f>IFERROR(VLOOKUP(B207,Signal_detection!$A$1:$C$22,3,FALSE),"")</f>
        <v/>
      </c>
      <c r="G207" t="s">
        <v>125</v>
      </c>
    </row>
    <row r="208" spans="1:7" x14ac:dyDescent="0.3">
      <c r="A208" s="5">
        <v>14391054</v>
      </c>
      <c r="B208" t="s">
        <v>272</v>
      </c>
      <c r="C208" t="s">
        <v>2510</v>
      </c>
      <c r="D208" t="s">
        <v>2510</v>
      </c>
      <c r="E208" t="str">
        <f>IFERROR(VLOOKUP(B208,Signal_detection!$A$1:$C$22,2,FALSE),"")</f>
        <v/>
      </c>
      <c r="F208" t="str">
        <f>IFERROR(VLOOKUP(B208,Signal_detection!$A$1:$C$22,3,FALSE),"")</f>
        <v/>
      </c>
      <c r="G208" t="s">
        <v>125</v>
      </c>
    </row>
    <row r="209" spans="1:7" x14ac:dyDescent="0.3">
      <c r="A209" s="5">
        <v>14396783</v>
      </c>
      <c r="B209" t="s">
        <v>806</v>
      </c>
      <c r="C209" t="s">
        <v>2510</v>
      </c>
      <c r="D209" t="s">
        <v>2510</v>
      </c>
      <c r="E209" t="str">
        <f>IFERROR(VLOOKUP(B209,Signal_detection!$A$1:$C$22,2,FALSE),"")</f>
        <v/>
      </c>
      <c r="F209" t="str">
        <f>IFERROR(VLOOKUP(B209,Signal_detection!$A$1:$C$22,3,FALSE),"")</f>
        <v/>
      </c>
      <c r="G209" t="s">
        <v>0</v>
      </c>
    </row>
    <row r="210" spans="1:7" x14ac:dyDescent="0.3">
      <c r="A210" s="5">
        <v>14405485</v>
      </c>
      <c r="B210" t="s">
        <v>791</v>
      </c>
      <c r="C210" t="s">
        <v>2510</v>
      </c>
      <c r="D210" t="s">
        <v>2510</v>
      </c>
      <c r="E210" t="str">
        <f>IFERROR(VLOOKUP(B210,Signal_detection!$A$1:$C$22,2,FALSE),"")</f>
        <v/>
      </c>
      <c r="F210" t="str">
        <f>IFERROR(VLOOKUP(B210,Signal_detection!$A$1:$C$22,3,FALSE),"")</f>
        <v/>
      </c>
      <c r="G210" t="s">
        <v>0</v>
      </c>
    </row>
    <row r="211" spans="1:7" x14ac:dyDescent="0.3">
      <c r="A211" s="5">
        <v>14413359</v>
      </c>
      <c r="B211" t="s">
        <v>1324</v>
      </c>
      <c r="C211" t="s">
        <v>2510</v>
      </c>
      <c r="D211" t="s">
        <v>2510</v>
      </c>
      <c r="E211" t="str">
        <f>IFERROR(VLOOKUP(B211,Signal_detection!$A$1:$C$22,2,FALSE),"")</f>
        <v/>
      </c>
      <c r="F211" t="str">
        <f>IFERROR(VLOOKUP(B211,Signal_detection!$A$1:$C$22,3,FALSE),"")</f>
        <v/>
      </c>
      <c r="G211" t="s">
        <v>0</v>
      </c>
    </row>
    <row r="212" spans="1:7" x14ac:dyDescent="0.3">
      <c r="A212" s="5">
        <v>14417924</v>
      </c>
      <c r="B212" t="s">
        <v>215</v>
      </c>
      <c r="C212" t="s">
        <v>2510</v>
      </c>
      <c r="D212" t="s">
        <v>2510</v>
      </c>
      <c r="E212" t="str">
        <f>IFERROR(VLOOKUP(B212,Signal_detection!$A$1:$C$22,2,FALSE),"")</f>
        <v/>
      </c>
      <c r="F212" t="str">
        <f>IFERROR(VLOOKUP(B212,Signal_detection!$A$1:$C$22,3,FALSE),"")</f>
        <v/>
      </c>
      <c r="G212" t="s">
        <v>0</v>
      </c>
    </row>
    <row r="213" spans="1:7" x14ac:dyDescent="0.3">
      <c r="A213" s="5">
        <v>14420107</v>
      </c>
      <c r="B213" t="s">
        <v>713</v>
      </c>
      <c r="C213" t="s">
        <v>2510</v>
      </c>
      <c r="D213" t="s">
        <v>2510</v>
      </c>
      <c r="E213" t="str">
        <f>IFERROR(VLOOKUP(B213,Signal_detection!$A$1:$C$22,2,FALSE),"")</f>
        <v/>
      </c>
      <c r="F213" t="str">
        <f>IFERROR(VLOOKUP(B213,Signal_detection!$A$1:$C$22,3,FALSE),"")</f>
        <v/>
      </c>
      <c r="G213" t="s">
        <v>0</v>
      </c>
    </row>
    <row r="214" spans="1:7" x14ac:dyDescent="0.3">
      <c r="A214" s="5">
        <v>14431221</v>
      </c>
      <c r="B214" t="s">
        <v>1559</v>
      </c>
      <c r="C214" t="s">
        <v>2510</v>
      </c>
      <c r="D214" t="s">
        <v>2510</v>
      </c>
      <c r="E214" t="str">
        <f>IFERROR(VLOOKUP(B214,Signal_detection!$A$1:$C$22,2,FALSE),"")</f>
        <v/>
      </c>
      <c r="F214" t="str">
        <f>IFERROR(VLOOKUP(B214,Signal_detection!$A$1:$C$22,3,FALSE),"")</f>
        <v/>
      </c>
      <c r="G214" t="s">
        <v>0</v>
      </c>
    </row>
    <row r="215" spans="1:7" x14ac:dyDescent="0.3">
      <c r="A215" s="5">
        <v>14435130</v>
      </c>
      <c r="B215" t="s">
        <v>843</v>
      </c>
      <c r="C215" t="s">
        <v>2510</v>
      </c>
      <c r="D215" t="s">
        <v>2510</v>
      </c>
      <c r="E215" t="str">
        <f>IFERROR(VLOOKUP(B215,Signal_detection!$A$1:$C$22,2,FALSE),"")</f>
        <v/>
      </c>
      <c r="F215" t="str">
        <f>IFERROR(VLOOKUP(B215,Signal_detection!$A$1:$C$22,3,FALSE),"")</f>
        <v/>
      </c>
      <c r="G215" t="s">
        <v>0</v>
      </c>
    </row>
    <row r="216" spans="1:7" x14ac:dyDescent="0.3">
      <c r="A216" s="5">
        <v>14457189</v>
      </c>
      <c r="B216" t="s">
        <v>1753</v>
      </c>
      <c r="C216" t="s">
        <v>2510</v>
      </c>
      <c r="D216" t="s">
        <v>2510</v>
      </c>
      <c r="E216" t="str">
        <f>IFERROR(VLOOKUP(B216,Signal_detection!$A$1:$C$22,2,FALSE),"")</f>
        <v/>
      </c>
      <c r="F216" t="str">
        <f>IFERROR(VLOOKUP(B216,Signal_detection!$A$1:$C$22,3,FALSE),"")</f>
        <v/>
      </c>
      <c r="G216" t="s">
        <v>0</v>
      </c>
    </row>
    <row r="217" spans="1:7" x14ac:dyDescent="0.3">
      <c r="A217" s="5">
        <v>14472415</v>
      </c>
      <c r="B217" t="s">
        <v>192</v>
      </c>
      <c r="C217" t="s">
        <v>192</v>
      </c>
      <c r="D217" t="s">
        <v>2495</v>
      </c>
      <c r="E217" t="str">
        <f>IFERROR(VLOOKUP(B217,Signal_detection!$A$1:$C$22,2,FALSE),"")</f>
        <v>Probable</v>
      </c>
      <c r="F217" t="str">
        <f>IFERROR(VLOOKUP(B217,Signal_detection!$A$1:$C$22,3,FALSE),"")</f>
        <v>Hypersensitivity signal</v>
      </c>
      <c r="G217" t="s">
        <v>125</v>
      </c>
    </row>
    <row r="218" spans="1:7" x14ac:dyDescent="0.3">
      <c r="A218" s="5">
        <v>14473898</v>
      </c>
      <c r="B218" t="s">
        <v>1755</v>
      </c>
      <c r="C218" t="s">
        <v>2510</v>
      </c>
      <c r="D218" t="s">
        <v>2510</v>
      </c>
      <c r="E218" t="str">
        <f>IFERROR(VLOOKUP(B218,Signal_detection!$A$1:$C$22,2,FALSE),"")</f>
        <v/>
      </c>
      <c r="F218" t="str">
        <f>IFERROR(VLOOKUP(B218,Signal_detection!$A$1:$C$22,3,FALSE),"")</f>
        <v/>
      </c>
      <c r="G218" t="s">
        <v>0</v>
      </c>
    </row>
    <row r="219" spans="1:7" x14ac:dyDescent="0.3">
      <c r="A219" s="5">
        <v>14479617</v>
      </c>
      <c r="B219" t="s">
        <v>1314</v>
      </c>
      <c r="C219" t="s">
        <v>2510</v>
      </c>
      <c r="D219" t="s">
        <v>2510</v>
      </c>
      <c r="E219" t="str">
        <f>IFERROR(VLOOKUP(B219,Signal_detection!$A$1:$C$22,2,FALSE),"")</f>
        <v/>
      </c>
      <c r="F219" t="str">
        <f>IFERROR(VLOOKUP(B219,Signal_detection!$A$1:$C$22,3,FALSE),"")</f>
        <v/>
      </c>
      <c r="G219" t="s">
        <v>0</v>
      </c>
    </row>
    <row r="220" spans="1:7" x14ac:dyDescent="0.3">
      <c r="A220" s="5">
        <v>14495818</v>
      </c>
      <c r="B220" t="s">
        <v>192</v>
      </c>
      <c r="C220" t="s">
        <v>192</v>
      </c>
      <c r="D220" t="s">
        <v>2495</v>
      </c>
      <c r="E220" t="str">
        <f>IFERROR(VLOOKUP(B220,Signal_detection!$A$1:$C$22,2,FALSE),"")</f>
        <v>Probable</v>
      </c>
      <c r="F220" t="str">
        <f>IFERROR(VLOOKUP(B220,Signal_detection!$A$1:$C$22,3,FALSE),"")</f>
        <v>Hypersensitivity signal</v>
      </c>
      <c r="G220" t="s">
        <v>125</v>
      </c>
    </row>
    <row r="221" spans="1:7" x14ac:dyDescent="0.3">
      <c r="A221" s="5">
        <v>14496184</v>
      </c>
      <c r="B221" t="s">
        <v>568</v>
      </c>
      <c r="C221" t="s">
        <v>2510</v>
      </c>
      <c r="D221" t="s">
        <v>2510</v>
      </c>
      <c r="E221" t="str">
        <f>IFERROR(VLOOKUP(B221,Signal_detection!$A$1:$C$22,2,FALSE),"")</f>
        <v/>
      </c>
      <c r="F221" t="str">
        <f>IFERROR(VLOOKUP(B221,Signal_detection!$A$1:$C$22,3,FALSE),"")</f>
        <v/>
      </c>
      <c r="G221" t="s">
        <v>0</v>
      </c>
    </row>
    <row r="222" spans="1:7" x14ac:dyDescent="0.3">
      <c r="A222" s="5">
        <v>14500240</v>
      </c>
      <c r="B222" t="s">
        <v>517</v>
      </c>
      <c r="C222" t="s">
        <v>2510</v>
      </c>
      <c r="D222" t="s">
        <v>2510</v>
      </c>
      <c r="E222" t="str">
        <f>IFERROR(VLOOKUP(B222,Signal_detection!$A$1:$C$22,2,FALSE),"")</f>
        <v/>
      </c>
      <c r="F222" t="str">
        <f>IFERROR(VLOOKUP(B222,Signal_detection!$A$1:$C$22,3,FALSE),"")</f>
        <v/>
      </c>
      <c r="G222" t="s">
        <v>0</v>
      </c>
    </row>
    <row r="223" spans="1:7" x14ac:dyDescent="0.3">
      <c r="A223" s="5">
        <v>14502848</v>
      </c>
      <c r="B223" t="s">
        <v>408</v>
      </c>
      <c r="C223" t="s">
        <v>2510</v>
      </c>
      <c r="D223" t="s">
        <v>2510</v>
      </c>
      <c r="E223" t="str">
        <f>IFERROR(VLOOKUP(B223,Signal_detection!$A$1:$C$22,2,FALSE),"")</f>
        <v/>
      </c>
      <c r="F223" t="str">
        <f>IFERROR(VLOOKUP(B223,Signal_detection!$A$1:$C$22,3,FALSE),"")</f>
        <v/>
      </c>
      <c r="G223" t="s">
        <v>125</v>
      </c>
    </row>
    <row r="224" spans="1:7" x14ac:dyDescent="0.3">
      <c r="A224" s="5">
        <v>14507557</v>
      </c>
      <c r="B224" t="s">
        <v>1358</v>
      </c>
      <c r="C224" t="s">
        <v>2510</v>
      </c>
      <c r="D224" t="s">
        <v>2510</v>
      </c>
      <c r="E224" t="str">
        <f>IFERROR(VLOOKUP(B224,Signal_detection!$A$1:$C$22,2,FALSE),"")</f>
        <v/>
      </c>
      <c r="F224" t="str">
        <f>IFERROR(VLOOKUP(B224,Signal_detection!$A$1:$C$22,3,FALSE),"")</f>
        <v/>
      </c>
      <c r="G224" t="s">
        <v>0</v>
      </c>
    </row>
    <row r="225" spans="1:7" x14ac:dyDescent="0.3">
      <c r="A225" s="5">
        <v>14511097</v>
      </c>
      <c r="B225" t="s">
        <v>50</v>
      </c>
      <c r="C225" t="s">
        <v>50</v>
      </c>
      <c r="D225" t="s">
        <v>2497</v>
      </c>
      <c r="E225" t="str">
        <f>IFERROR(VLOOKUP(B225,Signal_detection!$A$1:$C$22,2,FALSE),"")</f>
        <v/>
      </c>
      <c r="F225" t="str">
        <f>IFERROR(VLOOKUP(B225,Signal_detection!$A$1:$C$22,3,FALSE),"")</f>
        <v/>
      </c>
      <c r="G225" t="s">
        <v>0</v>
      </c>
    </row>
    <row r="226" spans="1:7" x14ac:dyDescent="0.3">
      <c r="A226" s="5">
        <v>14517326</v>
      </c>
      <c r="B226" t="s">
        <v>102</v>
      </c>
      <c r="C226" t="s">
        <v>102</v>
      </c>
      <c r="D226" t="s">
        <v>2498</v>
      </c>
      <c r="E226" t="str">
        <f>IFERROR(VLOOKUP(B226,Signal_detection!$A$1:$C$22,2,FALSE),"")</f>
        <v/>
      </c>
      <c r="F226" t="str">
        <f>IFERROR(VLOOKUP(B226,Signal_detection!$A$1:$C$22,3,FALSE),"")</f>
        <v/>
      </c>
      <c r="G226" t="s">
        <v>0</v>
      </c>
    </row>
    <row r="227" spans="1:7" x14ac:dyDescent="0.3">
      <c r="A227" s="5">
        <v>14518688</v>
      </c>
      <c r="B227" t="s">
        <v>404</v>
      </c>
      <c r="C227" t="s">
        <v>404</v>
      </c>
      <c r="D227" t="s">
        <v>2495</v>
      </c>
      <c r="E227" t="str">
        <f>IFERROR(VLOOKUP(B227,Signal_detection!$A$1:$C$22,2,FALSE),"")</f>
        <v>Probable</v>
      </c>
      <c r="F227" t="str">
        <f>IFERROR(VLOOKUP(B227,Signal_detection!$A$1:$C$22,3,FALSE),"")</f>
        <v>Immune signal</v>
      </c>
      <c r="G227" t="s">
        <v>0</v>
      </c>
    </row>
    <row r="228" spans="1:7" x14ac:dyDescent="0.3">
      <c r="A228" s="5">
        <v>14526263</v>
      </c>
      <c r="B228" t="s">
        <v>886</v>
      </c>
      <c r="C228" t="s">
        <v>2510</v>
      </c>
      <c r="D228" t="s">
        <v>2510</v>
      </c>
      <c r="E228" t="str">
        <f>IFERROR(VLOOKUP(B228,Signal_detection!$A$1:$C$22,2,FALSE),"")</f>
        <v/>
      </c>
      <c r="F228" t="str">
        <f>IFERROR(VLOOKUP(B228,Signal_detection!$A$1:$C$22,3,FALSE),"")</f>
        <v/>
      </c>
      <c r="G228" t="s">
        <v>0</v>
      </c>
    </row>
    <row r="229" spans="1:7" x14ac:dyDescent="0.3">
      <c r="A229" s="5">
        <v>14529074</v>
      </c>
      <c r="B229" t="s">
        <v>262</v>
      </c>
      <c r="C229" t="s">
        <v>2510</v>
      </c>
      <c r="D229" t="s">
        <v>2510</v>
      </c>
      <c r="E229" t="str">
        <f>IFERROR(VLOOKUP(B229,Signal_detection!$A$1:$C$22,2,FALSE),"")</f>
        <v/>
      </c>
      <c r="F229" t="str">
        <f>IFERROR(VLOOKUP(B229,Signal_detection!$A$1:$C$22,3,FALSE),"")</f>
        <v/>
      </c>
      <c r="G229" t="s">
        <v>0</v>
      </c>
    </row>
    <row r="230" spans="1:7" x14ac:dyDescent="0.3">
      <c r="A230" s="5">
        <v>14533258</v>
      </c>
      <c r="B230" t="s">
        <v>50</v>
      </c>
      <c r="C230" t="s">
        <v>50</v>
      </c>
      <c r="D230" t="s">
        <v>2497</v>
      </c>
      <c r="E230" t="str">
        <f>IFERROR(VLOOKUP(B230,Signal_detection!$A$1:$C$22,2,FALSE),"")</f>
        <v/>
      </c>
      <c r="F230" t="str">
        <f>IFERROR(VLOOKUP(B230,Signal_detection!$A$1:$C$22,3,FALSE),"")</f>
        <v/>
      </c>
      <c r="G230" t="s">
        <v>0</v>
      </c>
    </row>
    <row r="231" spans="1:7" x14ac:dyDescent="0.3">
      <c r="A231" s="5">
        <v>14538472</v>
      </c>
      <c r="B231" t="s">
        <v>1166</v>
      </c>
      <c r="C231" t="s">
        <v>2510</v>
      </c>
      <c r="D231" t="s">
        <v>2510</v>
      </c>
      <c r="E231" t="str">
        <f>IFERROR(VLOOKUP(B231,Signal_detection!$A$1:$C$22,2,FALSE),"")</f>
        <v/>
      </c>
      <c r="F231" t="str">
        <f>IFERROR(VLOOKUP(B231,Signal_detection!$A$1:$C$22,3,FALSE),"")</f>
        <v/>
      </c>
      <c r="G231" t="s">
        <v>0</v>
      </c>
    </row>
    <row r="232" spans="1:7" x14ac:dyDescent="0.3">
      <c r="A232" s="5">
        <v>14544348</v>
      </c>
      <c r="B232" t="s">
        <v>1766</v>
      </c>
      <c r="C232" t="s">
        <v>2510</v>
      </c>
      <c r="D232" t="s">
        <v>2510</v>
      </c>
      <c r="E232" t="str">
        <f>IFERROR(VLOOKUP(B232,Signal_detection!$A$1:$C$22,2,FALSE),"")</f>
        <v/>
      </c>
      <c r="F232" t="str">
        <f>IFERROR(VLOOKUP(B232,Signal_detection!$A$1:$C$22,3,FALSE),"")</f>
        <v/>
      </c>
      <c r="G232" t="s">
        <v>0</v>
      </c>
    </row>
    <row r="233" spans="1:7" x14ac:dyDescent="0.3">
      <c r="A233" s="5">
        <v>14544629</v>
      </c>
      <c r="B233" t="s">
        <v>179</v>
      </c>
      <c r="C233" t="s">
        <v>2510</v>
      </c>
      <c r="D233" t="s">
        <v>2510</v>
      </c>
      <c r="E233" t="str">
        <f>IFERROR(VLOOKUP(B233,Signal_detection!$A$1:$C$22,2,FALSE),"")</f>
        <v/>
      </c>
      <c r="F233" t="str">
        <f>IFERROR(VLOOKUP(B233,Signal_detection!$A$1:$C$22,3,FALSE),"")</f>
        <v/>
      </c>
      <c r="G233" t="s">
        <v>0</v>
      </c>
    </row>
    <row r="234" spans="1:7" x14ac:dyDescent="0.3">
      <c r="A234" s="5">
        <v>14545795</v>
      </c>
      <c r="B234" t="s">
        <v>1343</v>
      </c>
      <c r="C234" t="s">
        <v>2510</v>
      </c>
      <c r="D234" t="s">
        <v>2510</v>
      </c>
      <c r="E234" t="str">
        <f>IFERROR(VLOOKUP(B234,Signal_detection!$A$1:$C$22,2,FALSE),"")</f>
        <v/>
      </c>
      <c r="F234" t="str">
        <f>IFERROR(VLOOKUP(B234,Signal_detection!$A$1:$C$22,3,FALSE),"")</f>
        <v/>
      </c>
      <c r="G234" t="s">
        <v>0</v>
      </c>
    </row>
    <row r="235" spans="1:7" x14ac:dyDescent="0.3">
      <c r="A235" s="5">
        <v>14546844</v>
      </c>
      <c r="B235" t="s">
        <v>896</v>
      </c>
      <c r="C235" t="s">
        <v>896</v>
      </c>
      <c r="D235" t="s">
        <v>2499</v>
      </c>
      <c r="E235" t="str">
        <f>IFERROR(VLOOKUP(B235,Signal_detection!$A$1:$C$22,2,FALSE),"")</f>
        <v>Possible</v>
      </c>
      <c r="F235" t="str">
        <f>IFERROR(VLOOKUP(B235,Signal_detection!$A$1:$C$22,3,FALSE),"")</f>
        <v>Skin ADR</v>
      </c>
      <c r="G235" t="s">
        <v>0</v>
      </c>
    </row>
    <row r="236" spans="1:7" x14ac:dyDescent="0.3">
      <c r="A236" s="5">
        <v>14565300</v>
      </c>
      <c r="B236" t="s">
        <v>217</v>
      </c>
      <c r="C236" t="s">
        <v>217</v>
      </c>
      <c r="D236" t="s">
        <v>2502</v>
      </c>
      <c r="E236" t="str">
        <f>IFERROR(VLOOKUP(B236,Signal_detection!$A$1:$C$22,2,FALSE),"")</f>
        <v>Unlikely</v>
      </c>
      <c r="F236" t="str">
        <f>IFERROR(VLOOKUP(B236,Signal_detection!$A$1:$C$22,3,FALSE),"")</f>
        <v>Administrative</v>
      </c>
      <c r="G236" t="s">
        <v>125</v>
      </c>
    </row>
    <row r="237" spans="1:7" x14ac:dyDescent="0.3">
      <c r="A237" s="5">
        <v>14579147</v>
      </c>
      <c r="B237" t="s">
        <v>941</v>
      </c>
      <c r="C237" t="s">
        <v>2510</v>
      </c>
      <c r="D237" t="s">
        <v>2510</v>
      </c>
      <c r="E237" t="str">
        <f>IFERROR(VLOOKUP(B237,Signal_detection!$A$1:$C$22,2,FALSE),"")</f>
        <v/>
      </c>
      <c r="F237" t="str">
        <f>IFERROR(VLOOKUP(B237,Signal_detection!$A$1:$C$22,3,FALSE),"")</f>
        <v/>
      </c>
      <c r="G237" t="s">
        <v>0</v>
      </c>
    </row>
    <row r="238" spans="1:7" x14ac:dyDescent="0.3">
      <c r="A238" s="5">
        <v>14582251</v>
      </c>
      <c r="B238" t="s">
        <v>1286</v>
      </c>
      <c r="C238" t="s">
        <v>2510</v>
      </c>
      <c r="D238" t="s">
        <v>2510</v>
      </c>
      <c r="E238" t="str">
        <f>IFERROR(VLOOKUP(B238,Signal_detection!$A$1:$C$22,2,FALSE),"")</f>
        <v/>
      </c>
      <c r="F238" t="str">
        <f>IFERROR(VLOOKUP(B238,Signal_detection!$A$1:$C$22,3,FALSE),"")</f>
        <v/>
      </c>
      <c r="G238" t="s">
        <v>0</v>
      </c>
    </row>
    <row r="239" spans="1:7" x14ac:dyDescent="0.3">
      <c r="A239" s="5">
        <v>14589024</v>
      </c>
      <c r="B239" t="s">
        <v>1220</v>
      </c>
      <c r="C239" t="s">
        <v>2510</v>
      </c>
      <c r="D239" t="s">
        <v>2510</v>
      </c>
      <c r="E239" t="str">
        <f>IFERROR(VLOOKUP(B239,Signal_detection!$A$1:$C$22,2,FALSE),"")</f>
        <v/>
      </c>
      <c r="F239" t="str">
        <f>IFERROR(VLOOKUP(B239,Signal_detection!$A$1:$C$22,3,FALSE),"")</f>
        <v/>
      </c>
      <c r="G239" t="s">
        <v>0</v>
      </c>
    </row>
    <row r="240" spans="1:7" x14ac:dyDescent="0.3">
      <c r="A240" s="5">
        <v>14589642</v>
      </c>
      <c r="B240" t="s">
        <v>735</v>
      </c>
      <c r="C240" t="s">
        <v>2510</v>
      </c>
      <c r="D240" t="s">
        <v>2510</v>
      </c>
      <c r="E240" t="str">
        <f>IFERROR(VLOOKUP(B240,Signal_detection!$A$1:$C$22,2,FALSE),"")</f>
        <v/>
      </c>
      <c r="F240" t="str">
        <f>IFERROR(VLOOKUP(B240,Signal_detection!$A$1:$C$22,3,FALSE),"")</f>
        <v/>
      </c>
      <c r="G240" t="s">
        <v>0</v>
      </c>
    </row>
    <row r="241" spans="1:7" x14ac:dyDescent="0.3">
      <c r="A241" s="5">
        <v>14600222</v>
      </c>
      <c r="B241" t="s">
        <v>608</v>
      </c>
      <c r="C241" t="s">
        <v>608</v>
      </c>
      <c r="D241" t="s">
        <v>2504</v>
      </c>
      <c r="E241" t="str">
        <f>IFERROR(VLOOKUP(B241,Signal_detection!$A$1:$C$22,2,FALSE),"")</f>
        <v>Probable</v>
      </c>
      <c r="F241" t="str">
        <f>IFERROR(VLOOKUP(B241,Signal_detection!$A$1:$C$22,3,FALSE),"")</f>
        <v>Renal safety signal</v>
      </c>
      <c r="G241" t="s">
        <v>0</v>
      </c>
    </row>
    <row r="242" spans="1:7" x14ac:dyDescent="0.3">
      <c r="A242" s="5">
        <v>14601712</v>
      </c>
      <c r="B242" t="s">
        <v>896</v>
      </c>
      <c r="C242" t="s">
        <v>896</v>
      </c>
      <c r="D242" t="s">
        <v>2499</v>
      </c>
      <c r="E242" t="str">
        <f>IFERROR(VLOOKUP(B242,Signal_detection!$A$1:$C$22,2,FALSE),"")</f>
        <v>Possible</v>
      </c>
      <c r="F242" t="str">
        <f>IFERROR(VLOOKUP(B242,Signal_detection!$A$1:$C$22,3,FALSE),"")</f>
        <v>Skin ADR</v>
      </c>
      <c r="G242" t="s">
        <v>125</v>
      </c>
    </row>
    <row r="243" spans="1:7" x14ac:dyDescent="0.3">
      <c r="A243" s="5">
        <v>14615449</v>
      </c>
      <c r="B243" t="s">
        <v>327</v>
      </c>
      <c r="C243" t="s">
        <v>2510</v>
      </c>
      <c r="D243" t="s">
        <v>2510</v>
      </c>
      <c r="E243" t="str">
        <f>IFERROR(VLOOKUP(B243,Signal_detection!$A$1:$C$22,2,FALSE),"")</f>
        <v/>
      </c>
      <c r="F243" t="str">
        <f>IFERROR(VLOOKUP(B243,Signal_detection!$A$1:$C$22,3,FALSE),"")</f>
        <v/>
      </c>
      <c r="G243" t="s">
        <v>0</v>
      </c>
    </row>
    <row r="244" spans="1:7" x14ac:dyDescent="0.3">
      <c r="A244" s="5">
        <v>14624941</v>
      </c>
      <c r="B244" t="s">
        <v>378</v>
      </c>
      <c r="C244" t="s">
        <v>378</v>
      </c>
      <c r="D244" t="s">
        <v>2503</v>
      </c>
      <c r="E244" t="str">
        <f>IFERROR(VLOOKUP(B244,Signal_detection!$A$1:$C$22,2,FALSE),"")</f>
        <v>Probable</v>
      </c>
      <c r="F244" t="str">
        <f>IFERROR(VLOOKUP(B244,Signal_detection!$A$1:$C$22,3,FALSE),"")</f>
        <v>Neurological signal</v>
      </c>
      <c r="G244" t="s">
        <v>0</v>
      </c>
    </row>
    <row r="245" spans="1:7" x14ac:dyDescent="0.3">
      <c r="A245" s="5">
        <v>14657555</v>
      </c>
      <c r="B245" t="s">
        <v>244</v>
      </c>
      <c r="C245" t="s">
        <v>244</v>
      </c>
      <c r="D245" t="s">
        <v>2497</v>
      </c>
      <c r="E245" t="str">
        <f>IFERROR(VLOOKUP(B245,Signal_detection!$A$1:$C$22,2,FALSE),"")</f>
        <v>Possible</v>
      </c>
      <c r="F245" t="str">
        <f>IFERROR(VLOOKUP(B245,Signal_detection!$A$1:$C$22,3,FALSE),"")</f>
        <v>General ADR</v>
      </c>
      <c r="G245" t="s">
        <v>0</v>
      </c>
    </row>
    <row r="246" spans="1:7" x14ac:dyDescent="0.3">
      <c r="A246" s="5">
        <v>14664559</v>
      </c>
      <c r="B246" t="s">
        <v>1316</v>
      </c>
      <c r="C246" t="s">
        <v>2510</v>
      </c>
      <c r="D246" t="s">
        <v>2510</v>
      </c>
      <c r="E246" t="str">
        <f>IFERROR(VLOOKUP(B246,Signal_detection!$A$1:$C$22,2,FALSE),"")</f>
        <v/>
      </c>
      <c r="F246" t="str">
        <f>IFERROR(VLOOKUP(B246,Signal_detection!$A$1:$C$22,3,FALSE),"")</f>
        <v/>
      </c>
      <c r="G246" t="s">
        <v>125</v>
      </c>
    </row>
    <row r="247" spans="1:7" x14ac:dyDescent="0.3">
      <c r="A247" s="5">
        <v>14666292</v>
      </c>
      <c r="B247" t="s">
        <v>404</v>
      </c>
      <c r="C247" t="s">
        <v>404</v>
      </c>
      <c r="D247" t="s">
        <v>2495</v>
      </c>
      <c r="E247" t="str">
        <f>IFERROR(VLOOKUP(B247,Signal_detection!$A$1:$C$22,2,FALSE),"")</f>
        <v>Probable</v>
      </c>
      <c r="F247" t="str">
        <f>IFERROR(VLOOKUP(B247,Signal_detection!$A$1:$C$22,3,FALSE),"")</f>
        <v>Immune signal</v>
      </c>
      <c r="G247" t="s">
        <v>0</v>
      </c>
    </row>
    <row r="248" spans="1:7" x14ac:dyDescent="0.3">
      <c r="A248" s="5">
        <v>14666300</v>
      </c>
      <c r="B248" t="s">
        <v>404</v>
      </c>
      <c r="C248" t="s">
        <v>404</v>
      </c>
      <c r="D248" t="s">
        <v>2495</v>
      </c>
      <c r="E248" t="str">
        <f>IFERROR(VLOOKUP(B248,Signal_detection!$A$1:$C$22,2,FALSE),"")</f>
        <v>Probable</v>
      </c>
      <c r="F248" t="str">
        <f>IFERROR(VLOOKUP(B248,Signal_detection!$A$1:$C$22,3,FALSE),"")</f>
        <v>Immune signal</v>
      </c>
      <c r="G248" t="s">
        <v>0</v>
      </c>
    </row>
    <row r="249" spans="1:7" x14ac:dyDescent="0.3">
      <c r="A249" s="5">
        <v>14666301</v>
      </c>
      <c r="B249" t="s">
        <v>404</v>
      </c>
      <c r="C249" t="s">
        <v>404</v>
      </c>
      <c r="D249" t="s">
        <v>2495</v>
      </c>
      <c r="E249" t="str">
        <f>IFERROR(VLOOKUP(B249,Signal_detection!$A$1:$C$22,2,FALSE),"")</f>
        <v>Probable</v>
      </c>
      <c r="F249" t="str">
        <f>IFERROR(VLOOKUP(B249,Signal_detection!$A$1:$C$22,3,FALSE),"")</f>
        <v>Immune signal</v>
      </c>
      <c r="G249" t="s">
        <v>0</v>
      </c>
    </row>
    <row r="250" spans="1:7" x14ac:dyDescent="0.3">
      <c r="A250" s="5">
        <v>14666303</v>
      </c>
      <c r="B250" t="s">
        <v>404</v>
      </c>
      <c r="C250" t="s">
        <v>404</v>
      </c>
      <c r="D250" t="s">
        <v>2495</v>
      </c>
      <c r="E250" t="str">
        <f>IFERROR(VLOOKUP(B250,Signal_detection!$A$1:$C$22,2,FALSE),"")</f>
        <v>Probable</v>
      </c>
      <c r="F250" t="str">
        <f>IFERROR(VLOOKUP(B250,Signal_detection!$A$1:$C$22,3,FALSE),"")</f>
        <v>Immune signal</v>
      </c>
      <c r="G250" t="s">
        <v>0</v>
      </c>
    </row>
    <row r="251" spans="1:7" x14ac:dyDescent="0.3">
      <c r="A251" s="5">
        <v>14666500</v>
      </c>
      <c r="B251" t="s">
        <v>404</v>
      </c>
      <c r="C251" t="s">
        <v>404</v>
      </c>
      <c r="D251" t="s">
        <v>2495</v>
      </c>
      <c r="E251" t="str">
        <f>IFERROR(VLOOKUP(B251,Signal_detection!$A$1:$C$22,2,FALSE),"")</f>
        <v>Probable</v>
      </c>
      <c r="F251" t="str">
        <f>IFERROR(VLOOKUP(B251,Signal_detection!$A$1:$C$22,3,FALSE),"")</f>
        <v>Immune signal</v>
      </c>
      <c r="G251" t="s">
        <v>0</v>
      </c>
    </row>
    <row r="252" spans="1:7" x14ac:dyDescent="0.3">
      <c r="A252" s="5">
        <v>14666504</v>
      </c>
      <c r="B252" t="s">
        <v>404</v>
      </c>
      <c r="C252" t="s">
        <v>404</v>
      </c>
      <c r="D252" t="s">
        <v>2495</v>
      </c>
      <c r="E252" t="str">
        <f>IFERROR(VLOOKUP(B252,Signal_detection!$A$1:$C$22,2,FALSE),"")</f>
        <v>Probable</v>
      </c>
      <c r="F252" t="str">
        <f>IFERROR(VLOOKUP(B252,Signal_detection!$A$1:$C$22,3,FALSE),"")</f>
        <v>Immune signal</v>
      </c>
      <c r="G252" t="s">
        <v>0</v>
      </c>
    </row>
    <row r="253" spans="1:7" x14ac:dyDescent="0.3">
      <c r="A253" s="5">
        <v>14666515</v>
      </c>
      <c r="B253" t="s">
        <v>404</v>
      </c>
      <c r="C253" t="s">
        <v>404</v>
      </c>
      <c r="D253" t="s">
        <v>2495</v>
      </c>
      <c r="E253" t="str">
        <f>IFERROR(VLOOKUP(B253,Signal_detection!$A$1:$C$22,2,FALSE),"")</f>
        <v>Probable</v>
      </c>
      <c r="F253" t="str">
        <f>IFERROR(VLOOKUP(B253,Signal_detection!$A$1:$C$22,3,FALSE),"")</f>
        <v>Immune signal</v>
      </c>
      <c r="G253" t="s">
        <v>0</v>
      </c>
    </row>
    <row r="254" spans="1:7" x14ac:dyDescent="0.3">
      <c r="A254" s="5">
        <v>14666529</v>
      </c>
      <c r="B254" t="s">
        <v>404</v>
      </c>
      <c r="C254" t="s">
        <v>404</v>
      </c>
      <c r="D254" t="s">
        <v>2495</v>
      </c>
      <c r="E254" t="str">
        <f>IFERROR(VLOOKUP(B254,Signal_detection!$A$1:$C$22,2,FALSE),"")</f>
        <v>Probable</v>
      </c>
      <c r="F254" t="str">
        <f>IFERROR(VLOOKUP(B254,Signal_detection!$A$1:$C$22,3,FALSE),"")</f>
        <v>Immune signal</v>
      </c>
      <c r="G254" t="s">
        <v>0</v>
      </c>
    </row>
    <row r="255" spans="1:7" x14ac:dyDescent="0.3">
      <c r="A255" s="5">
        <v>14666540</v>
      </c>
      <c r="B255" t="s">
        <v>404</v>
      </c>
      <c r="C255" t="s">
        <v>404</v>
      </c>
      <c r="D255" t="s">
        <v>2495</v>
      </c>
      <c r="E255" t="str">
        <f>IFERROR(VLOOKUP(B255,Signal_detection!$A$1:$C$22,2,FALSE),"")</f>
        <v>Probable</v>
      </c>
      <c r="F255" t="str">
        <f>IFERROR(VLOOKUP(B255,Signal_detection!$A$1:$C$22,3,FALSE),"")</f>
        <v>Immune signal</v>
      </c>
      <c r="G255" t="s">
        <v>0</v>
      </c>
    </row>
    <row r="256" spans="1:7" x14ac:dyDescent="0.3">
      <c r="A256" s="5">
        <v>14670410</v>
      </c>
      <c r="B256" t="s">
        <v>1424</v>
      </c>
      <c r="C256" t="s">
        <v>2510</v>
      </c>
      <c r="D256" t="s">
        <v>2510</v>
      </c>
      <c r="E256" t="str">
        <f>IFERROR(VLOOKUP(B256,Signal_detection!$A$1:$C$22,2,FALSE),"")</f>
        <v/>
      </c>
      <c r="F256" t="str">
        <f>IFERROR(VLOOKUP(B256,Signal_detection!$A$1:$C$22,3,FALSE),"")</f>
        <v/>
      </c>
      <c r="G256" t="s">
        <v>0</v>
      </c>
    </row>
    <row r="257" spans="1:7" x14ac:dyDescent="0.3">
      <c r="A257" s="5">
        <v>14670519</v>
      </c>
      <c r="B257" t="s">
        <v>404</v>
      </c>
      <c r="C257" t="s">
        <v>404</v>
      </c>
      <c r="D257" t="s">
        <v>2495</v>
      </c>
      <c r="E257" t="str">
        <f>IFERROR(VLOOKUP(B257,Signal_detection!$A$1:$C$22,2,FALSE),"")</f>
        <v>Probable</v>
      </c>
      <c r="F257" t="str">
        <f>IFERROR(VLOOKUP(B257,Signal_detection!$A$1:$C$22,3,FALSE),"")</f>
        <v>Immune signal</v>
      </c>
      <c r="G257" t="s">
        <v>0</v>
      </c>
    </row>
    <row r="258" spans="1:7" x14ac:dyDescent="0.3">
      <c r="A258" s="5">
        <v>14670735</v>
      </c>
      <c r="B258" t="s">
        <v>624</v>
      </c>
      <c r="C258" t="s">
        <v>2510</v>
      </c>
      <c r="D258" t="s">
        <v>2510</v>
      </c>
      <c r="E258" t="str">
        <f>IFERROR(VLOOKUP(B258,Signal_detection!$A$1:$C$22,2,FALSE),"")</f>
        <v/>
      </c>
      <c r="F258" t="str">
        <f>IFERROR(VLOOKUP(B258,Signal_detection!$A$1:$C$22,3,FALSE),"")</f>
        <v/>
      </c>
      <c r="G258" t="s">
        <v>0</v>
      </c>
    </row>
    <row r="259" spans="1:7" x14ac:dyDescent="0.3">
      <c r="A259" s="5">
        <v>14678328</v>
      </c>
      <c r="B259" t="s">
        <v>1787</v>
      </c>
      <c r="C259" t="s">
        <v>2510</v>
      </c>
      <c r="D259" t="s">
        <v>2510</v>
      </c>
      <c r="E259" t="str">
        <f>IFERROR(VLOOKUP(B259,Signal_detection!$A$1:$C$22,2,FALSE),"")</f>
        <v/>
      </c>
      <c r="F259" t="str">
        <f>IFERROR(VLOOKUP(B259,Signal_detection!$A$1:$C$22,3,FALSE),"")</f>
        <v/>
      </c>
      <c r="G259" t="s">
        <v>0</v>
      </c>
    </row>
    <row r="260" spans="1:7" x14ac:dyDescent="0.3">
      <c r="A260" s="5">
        <v>14678337</v>
      </c>
      <c r="B260" t="s">
        <v>26</v>
      </c>
      <c r="C260" t="s">
        <v>2510</v>
      </c>
      <c r="D260" t="s">
        <v>2510</v>
      </c>
      <c r="E260" t="str">
        <f>IFERROR(VLOOKUP(B260,Signal_detection!$A$1:$C$22,2,FALSE),"")</f>
        <v/>
      </c>
      <c r="F260" t="str">
        <f>IFERROR(VLOOKUP(B260,Signal_detection!$A$1:$C$22,3,FALSE),"")</f>
        <v/>
      </c>
      <c r="G260" t="s">
        <v>0</v>
      </c>
    </row>
    <row r="261" spans="1:7" x14ac:dyDescent="0.3">
      <c r="A261" s="5">
        <v>14689918</v>
      </c>
      <c r="B261" t="s">
        <v>1496</v>
      </c>
      <c r="C261" t="s">
        <v>2510</v>
      </c>
      <c r="D261" t="s">
        <v>2510</v>
      </c>
      <c r="E261" t="str">
        <f>IFERROR(VLOOKUP(B261,Signal_detection!$A$1:$C$22,2,FALSE),"")</f>
        <v/>
      </c>
      <c r="F261" t="str">
        <f>IFERROR(VLOOKUP(B261,Signal_detection!$A$1:$C$22,3,FALSE),"")</f>
        <v/>
      </c>
      <c r="G261" t="s">
        <v>0</v>
      </c>
    </row>
    <row r="262" spans="1:7" x14ac:dyDescent="0.3">
      <c r="A262" s="5">
        <v>14692250</v>
      </c>
      <c r="B262" t="s">
        <v>1414</v>
      </c>
      <c r="C262" t="s">
        <v>2510</v>
      </c>
      <c r="D262" t="s">
        <v>2510</v>
      </c>
      <c r="E262" t="str">
        <f>IFERROR(VLOOKUP(B262,Signal_detection!$A$1:$C$22,2,FALSE),"")</f>
        <v/>
      </c>
      <c r="F262" t="str">
        <f>IFERROR(VLOOKUP(B262,Signal_detection!$A$1:$C$22,3,FALSE),"")</f>
        <v/>
      </c>
      <c r="G262" t="s">
        <v>0</v>
      </c>
    </row>
    <row r="263" spans="1:7" x14ac:dyDescent="0.3">
      <c r="A263" s="5">
        <v>14693703</v>
      </c>
      <c r="B263" t="s">
        <v>883</v>
      </c>
      <c r="C263" t="s">
        <v>883</v>
      </c>
      <c r="D263" t="s">
        <v>2509</v>
      </c>
      <c r="E263" t="str">
        <f>IFERROR(VLOOKUP(B263,Signal_detection!$A$1:$C$22,2,FALSE),"")</f>
        <v/>
      </c>
      <c r="F263" t="str">
        <f>IFERROR(VLOOKUP(B263,Signal_detection!$A$1:$C$22,3,FALSE),"")</f>
        <v/>
      </c>
      <c r="G263" t="s">
        <v>0</v>
      </c>
    </row>
    <row r="264" spans="1:7" x14ac:dyDescent="0.3">
      <c r="A264" s="5">
        <v>14701026</v>
      </c>
      <c r="B264" t="s">
        <v>69</v>
      </c>
      <c r="C264" t="s">
        <v>2510</v>
      </c>
      <c r="D264" t="s">
        <v>2510</v>
      </c>
      <c r="E264" t="str">
        <f>IFERROR(VLOOKUP(B264,Signal_detection!$A$1:$C$22,2,FALSE),"")</f>
        <v/>
      </c>
      <c r="F264" t="str">
        <f>IFERROR(VLOOKUP(B264,Signal_detection!$A$1:$C$22,3,FALSE),"")</f>
        <v/>
      </c>
      <c r="G264" t="s">
        <v>0</v>
      </c>
    </row>
    <row r="265" spans="1:7" x14ac:dyDescent="0.3">
      <c r="A265" s="5">
        <v>14713699</v>
      </c>
      <c r="B265" t="s">
        <v>1097</v>
      </c>
      <c r="C265" t="s">
        <v>2510</v>
      </c>
      <c r="D265" t="s">
        <v>2510</v>
      </c>
      <c r="E265" t="str">
        <f>IFERROR(VLOOKUP(B265,Signal_detection!$A$1:$C$22,2,FALSE),"")</f>
        <v/>
      </c>
      <c r="F265" t="str">
        <f>IFERROR(VLOOKUP(B265,Signal_detection!$A$1:$C$22,3,FALSE),"")</f>
        <v/>
      </c>
      <c r="G265" t="s">
        <v>0</v>
      </c>
    </row>
    <row r="266" spans="1:7" x14ac:dyDescent="0.3">
      <c r="A266" s="5">
        <v>14713702</v>
      </c>
      <c r="B266" t="s">
        <v>1187</v>
      </c>
      <c r="C266" t="s">
        <v>2510</v>
      </c>
      <c r="D266" t="s">
        <v>2510</v>
      </c>
      <c r="E266" t="str">
        <f>IFERROR(VLOOKUP(B266,Signal_detection!$A$1:$C$22,2,FALSE),"")</f>
        <v/>
      </c>
      <c r="F266" t="str">
        <f>IFERROR(VLOOKUP(B266,Signal_detection!$A$1:$C$22,3,FALSE),"")</f>
        <v/>
      </c>
      <c r="G266" t="s">
        <v>0</v>
      </c>
    </row>
    <row r="267" spans="1:7" x14ac:dyDescent="0.3">
      <c r="A267" s="5">
        <v>14732616</v>
      </c>
      <c r="B267" t="s">
        <v>883</v>
      </c>
      <c r="C267" t="s">
        <v>883</v>
      </c>
      <c r="D267" t="s">
        <v>2509</v>
      </c>
      <c r="E267" t="str">
        <f>IFERROR(VLOOKUP(B267,Signal_detection!$A$1:$C$22,2,FALSE),"")</f>
        <v/>
      </c>
      <c r="F267" t="str">
        <f>IFERROR(VLOOKUP(B267,Signal_detection!$A$1:$C$22,3,FALSE),"")</f>
        <v/>
      </c>
      <c r="G267" t="s">
        <v>0</v>
      </c>
    </row>
    <row r="268" spans="1:7" x14ac:dyDescent="0.3">
      <c r="A268" s="5">
        <v>14733975</v>
      </c>
      <c r="B268" t="s">
        <v>439</v>
      </c>
      <c r="C268" t="s">
        <v>2510</v>
      </c>
      <c r="D268" t="s">
        <v>2510</v>
      </c>
      <c r="E268" t="str">
        <f>IFERROR(VLOOKUP(B268,Signal_detection!$A$1:$C$22,2,FALSE),"")</f>
        <v/>
      </c>
      <c r="F268" t="str">
        <f>IFERROR(VLOOKUP(B268,Signal_detection!$A$1:$C$22,3,FALSE),"")</f>
        <v/>
      </c>
      <c r="G268" t="s">
        <v>0</v>
      </c>
    </row>
    <row r="269" spans="1:7" x14ac:dyDescent="0.3">
      <c r="A269" s="5">
        <v>14740343</v>
      </c>
      <c r="B269" t="s">
        <v>393</v>
      </c>
      <c r="C269" t="s">
        <v>2510</v>
      </c>
      <c r="D269" t="s">
        <v>2510</v>
      </c>
      <c r="E269" t="str">
        <f>IFERROR(VLOOKUP(B269,Signal_detection!$A$1:$C$22,2,FALSE),"")</f>
        <v/>
      </c>
      <c r="F269" t="str">
        <f>IFERROR(VLOOKUP(B269,Signal_detection!$A$1:$C$22,3,FALSE),"")</f>
        <v/>
      </c>
      <c r="G269" t="s">
        <v>0</v>
      </c>
    </row>
    <row r="270" spans="1:7" x14ac:dyDescent="0.3">
      <c r="A270" s="5">
        <v>14740698</v>
      </c>
      <c r="B270" t="s">
        <v>565</v>
      </c>
      <c r="C270" t="s">
        <v>2510</v>
      </c>
      <c r="D270" t="s">
        <v>2510</v>
      </c>
      <c r="E270" t="str">
        <f>IFERROR(VLOOKUP(B270,Signal_detection!$A$1:$C$22,2,FALSE),"")</f>
        <v/>
      </c>
      <c r="F270" t="str">
        <f>IFERROR(VLOOKUP(B270,Signal_detection!$A$1:$C$22,3,FALSE),"")</f>
        <v/>
      </c>
      <c r="G270" t="s">
        <v>0</v>
      </c>
    </row>
    <row r="271" spans="1:7" x14ac:dyDescent="0.3">
      <c r="A271" s="5">
        <v>14744934</v>
      </c>
      <c r="B271" t="s">
        <v>126</v>
      </c>
      <c r="C271" t="s">
        <v>126</v>
      </c>
      <c r="D271" t="s">
        <v>2497</v>
      </c>
      <c r="E271" t="str">
        <f>IFERROR(VLOOKUP(B271,Signal_detection!$A$1:$C$22,2,FALSE),"")</f>
        <v>Unlikely</v>
      </c>
      <c r="F271" t="str">
        <f>IFERROR(VLOOKUP(B271,Signal_detection!$A$1:$C$22,3,FALSE),"")</f>
        <v>Non-ADR</v>
      </c>
      <c r="G271" t="s">
        <v>125</v>
      </c>
    </row>
    <row r="272" spans="1:7" x14ac:dyDescent="0.3">
      <c r="A272" s="5">
        <v>14750087</v>
      </c>
      <c r="B272" t="s">
        <v>225</v>
      </c>
      <c r="C272" t="s">
        <v>225</v>
      </c>
      <c r="D272" t="s">
        <v>2500</v>
      </c>
      <c r="E272" t="str">
        <f>IFERROR(VLOOKUP(B272,Signal_detection!$A$1:$C$22,2,FALSE),"")</f>
        <v>Probable</v>
      </c>
      <c r="F272" t="str">
        <f>IFERROR(VLOOKUP(B272,Signal_detection!$A$1:$C$22,3,FALSE),"")</f>
        <v>Hematologic signal</v>
      </c>
      <c r="G272" t="s">
        <v>0</v>
      </c>
    </row>
    <row r="273" spans="1:7" x14ac:dyDescent="0.3">
      <c r="A273" s="5">
        <v>14759093</v>
      </c>
      <c r="B273" t="s">
        <v>1800</v>
      </c>
      <c r="C273" t="s">
        <v>2510</v>
      </c>
      <c r="D273" t="s">
        <v>2510</v>
      </c>
      <c r="E273" t="str">
        <f>IFERROR(VLOOKUP(B273,Signal_detection!$A$1:$C$22,2,FALSE),"")</f>
        <v/>
      </c>
      <c r="F273" t="str">
        <f>IFERROR(VLOOKUP(B273,Signal_detection!$A$1:$C$22,3,FALSE),"")</f>
        <v/>
      </c>
      <c r="G273" t="s">
        <v>0</v>
      </c>
    </row>
    <row r="274" spans="1:7" x14ac:dyDescent="0.3">
      <c r="A274" s="5">
        <v>14763762</v>
      </c>
      <c r="B274" t="s">
        <v>1128</v>
      </c>
      <c r="C274" t="s">
        <v>2510</v>
      </c>
      <c r="D274" t="s">
        <v>2510</v>
      </c>
      <c r="E274" t="str">
        <f>IFERROR(VLOOKUP(B274,Signal_detection!$A$1:$C$22,2,FALSE),"")</f>
        <v/>
      </c>
      <c r="F274" t="str">
        <f>IFERROR(VLOOKUP(B274,Signal_detection!$A$1:$C$22,3,FALSE),"")</f>
        <v/>
      </c>
      <c r="G274" t="s">
        <v>0</v>
      </c>
    </row>
    <row r="275" spans="1:7" x14ac:dyDescent="0.3">
      <c r="A275" s="5">
        <v>14778558</v>
      </c>
      <c r="B275" t="s">
        <v>165</v>
      </c>
      <c r="C275" t="s">
        <v>165</v>
      </c>
      <c r="D275" t="s">
        <v>2496</v>
      </c>
      <c r="E275" t="str">
        <f>IFERROR(VLOOKUP(B275,Signal_detection!$A$1:$C$22,2,FALSE),"")</f>
        <v/>
      </c>
      <c r="F275" t="str">
        <f>IFERROR(VLOOKUP(B275,Signal_detection!$A$1:$C$22,3,FALSE),"")</f>
        <v/>
      </c>
      <c r="G275" t="s">
        <v>0</v>
      </c>
    </row>
    <row r="276" spans="1:7" x14ac:dyDescent="0.3">
      <c r="A276" s="5">
        <v>14779767</v>
      </c>
      <c r="B276" t="s">
        <v>1299</v>
      </c>
      <c r="C276" t="s">
        <v>2510</v>
      </c>
      <c r="D276" t="s">
        <v>2510</v>
      </c>
      <c r="E276" t="str">
        <f>IFERROR(VLOOKUP(B276,Signal_detection!$A$1:$C$22,2,FALSE),"")</f>
        <v/>
      </c>
      <c r="F276" t="str">
        <f>IFERROR(VLOOKUP(B276,Signal_detection!$A$1:$C$22,3,FALSE),"")</f>
        <v/>
      </c>
      <c r="G276" t="s">
        <v>0</v>
      </c>
    </row>
    <row r="277" spans="1:7" x14ac:dyDescent="0.3">
      <c r="A277" s="5">
        <v>14781080</v>
      </c>
      <c r="B277" t="s">
        <v>433</v>
      </c>
      <c r="C277" t="s">
        <v>2510</v>
      </c>
      <c r="D277" t="s">
        <v>2510</v>
      </c>
      <c r="E277" t="str">
        <f>IFERROR(VLOOKUP(B277,Signal_detection!$A$1:$C$22,2,FALSE),"")</f>
        <v/>
      </c>
      <c r="F277" t="str">
        <f>IFERROR(VLOOKUP(B277,Signal_detection!$A$1:$C$22,3,FALSE),"")</f>
        <v/>
      </c>
      <c r="G277" t="s">
        <v>125</v>
      </c>
    </row>
    <row r="278" spans="1:7" x14ac:dyDescent="0.3">
      <c r="A278" s="5">
        <v>14800314</v>
      </c>
      <c r="B278" t="s">
        <v>428</v>
      </c>
      <c r="C278" t="s">
        <v>2510</v>
      </c>
      <c r="D278" t="s">
        <v>2510</v>
      </c>
      <c r="E278" t="str">
        <f>IFERROR(VLOOKUP(B278,Signal_detection!$A$1:$C$22,2,FALSE),"")</f>
        <v/>
      </c>
      <c r="F278" t="str">
        <f>IFERROR(VLOOKUP(B278,Signal_detection!$A$1:$C$22,3,FALSE),"")</f>
        <v/>
      </c>
      <c r="G278" t="s">
        <v>125</v>
      </c>
    </row>
    <row r="279" spans="1:7" x14ac:dyDescent="0.3">
      <c r="A279" s="5">
        <v>14819810</v>
      </c>
      <c r="B279" t="s">
        <v>677</v>
      </c>
      <c r="C279" t="s">
        <v>2510</v>
      </c>
      <c r="D279" t="s">
        <v>2510</v>
      </c>
      <c r="E279" t="str">
        <f>IFERROR(VLOOKUP(B279,Signal_detection!$A$1:$C$22,2,FALSE),"")</f>
        <v/>
      </c>
      <c r="F279" t="str">
        <f>IFERROR(VLOOKUP(B279,Signal_detection!$A$1:$C$22,3,FALSE),"")</f>
        <v/>
      </c>
      <c r="G279" t="s">
        <v>0</v>
      </c>
    </row>
    <row r="280" spans="1:7" x14ac:dyDescent="0.3">
      <c r="A280" s="5">
        <v>14846590</v>
      </c>
      <c r="B280" t="s">
        <v>1145</v>
      </c>
      <c r="C280" t="s">
        <v>2510</v>
      </c>
      <c r="D280" t="s">
        <v>2510</v>
      </c>
      <c r="E280" t="str">
        <f>IFERROR(VLOOKUP(B280,Signal_detection!$A$1:$C$22,2,FALSE),"")</f>
        <v/>
      </c>
      <c r="F280" t="str">
        <f>IFERROR(VLOOKUP(B280,Signal_detection!$A$1:$C$22,3,FALSE),"")</f>
        <v/>
      </c>
      <c r="G280" t="s">
        <v>0</v>
      </c>
    </row>
    <row r="281" spans="1:7" x14ac:dyDescent="0.3">
      <c r="A281" s="5">
        <v>14852283</v>
      </c>
      <c r="B281" t="s">
        <v>421</v>
      </c>
      <c r="C281" t="s">
        <v>2510</v>
      </c>
      <c r="D281" t="s">
        <v>2510</v>
      </c>
      <c r="E281" t="str">
        <f>IFERROR(VLOOKUP(B281,Signal_detection!$A$1:$C$22,2,FALSE),"")</f>
        <v/>
      </c>
      <c r="F281" t="str">
        <f>IFERROR(VLOOKUP(B281,Signal_detection!$A$1:$C$22,3,FALSE),"")</f>
        <v/>
      </c>
      <c r="G281" t="s">
        <v>125</v>
      </c>
    </row>
    <row r="282" spans="1:7" x14ac:dyDescent="0.3">
      <c r="A282" s="5">
        <v>14853432</v>
      </c>
      <c r="B282" t="s">
        <v>1313</v>
      </c>
      <c r="C282" t="s">
        <v>2510</v>
      </c>
      <c r="D282" t="s">
        <v>2510</v>
      </c>
      <c r="E282" t="str">
        <f>IFERROR(VLOOKUP(B282,Signal_detection!$A$1:$C$22,2,FALSE),"")</f>
        <v/>
      </c>
      <c r="F282" t="str">
        <f>IFERROR(VLOOKUP(B282,Signal_detection!$A$1:$C$22,3,FALSE),"")</f>
        <v/>
      </c>
      <c r="G282" t="s">
        <v>0</v>
      </c>
    </row>
    <row r="283" spans="1:7" x14ac:dyDescent="0.3">
      <c r="A283" s="5">
        <v>14869977</v>
      </c>
      <c r="B283" t="s">
        <v>593</v>
      </c>
      <c r="C283" t="s">
        <v>2510</v>
      </c>
      <c r="D283" t="s">
        <v>2510</v>
      </c>
      <c r="E283" t="str">
        <f>IFERROR(VLOOKUP(B283,Signal_detection!$A$1:$C$22,2,FALSE),"")</f>
        <v/>
      </c>
      <c r="F283" t="str">
        <f>IFERROR(VLOOKUP(B283,Signal_detection!$A$1:$C$22,3,FALSE),"")</f>
        <v/>
      </c>
      <c r="G283" t="s">
        <v>0</v>
      </c>
    </row>
    <row r="284" spans="1:7" x14ac:dyDescent="0.3">
      <c r="A284" s="5">
        <v>14873124</v>
      </c>
      <c r="B284" t="s">
        <v>393</v>
      </c>
      <c r="C284" t="s">
        <v>2510</v>
      </c>
      <c r="D284" t="s">
        <v>2510</v>
      </c>
      <c r="E284" t="str">
        <f>IFERROR(VLOOKUP(B284,Signal_detection!$A$1:$C$22,2,FALSE),"")</f>
        <v/>
      </c>
      <c r="F284" t="str">
        <f>IFERROR(VLOOKUP(B284,Signal_detection!$A$1:$C$22,3,FALSE),"")</f>
        <v/>
      </c>
      <c r="G284" t="s">
        <v>0</v>
      </c>
    </row>
    <row r="285" spans="1:7" x14ac:dyDescent="0.3">
      <c r="A285" s="5">
        <v>14880551</v>
      </c>
      <c r="B285" t="s">
        <v>1017</v>
      </c>
      <c r="C285" t="s">
        <v>2510</v>
      </c>
      <c r="D285" t="s">
        <v>2510</v>
      </c>
      <c r="E285" t="str">
        <f>IFERROR(VLOOKUP(B285,Signal_detection!$A$1:$C$22,2,FALSE),"")</f>
        <v/>
      </c>
      <c r="F285" t="str">
        <f>IFERROR(VLOOKUP(B285,Signal_detection!$A$1:$C$22,3,FALSE),"")</f>
        <v/>
      </c>
      <c r="G285" t="s">
        <v>0</v>
      </c>
    </row>
    <row r="286" spans="1:7" x14ac:dyDescent="0.3">
      <c r="A286" s="5">
        <v>14885237</v>
      </c>
      <c r="B286" t="s">
        <v>883</v>
      </c>
      <c r="C286" t="s">
        <v>883</v>
      </c>
      <c r="D286" t="s">
        <v>2509</v>
      </c>
      <c r="E286" t="str">
        <f>IFERROR(VLOOKUP(B286,Signal_detection!$A$1:$C$22,2,FALSE),"")</f>
        <v/>
      </c>
      <c r="F286" t="str">
        <f>IFERROR(VLOOKUP(B286,Signal_detection!$A$1:$C$22,3,FALSE),"")</f>
        <v/>
      </c>
      <c r="G286" t="s">
        <v>0</v>
      </c>
    </row>
    <row r="287" spans="1:7" x14ac:dyDescent="0.3">
      <c r="A287" s="5">
        <v>14909711</v>
      </c>
      <c r="B287" t="s">
        <v>206</v>
      </c>
      <c r="C287" t="s">
        <v>206</v>
      </c>
      <c r="D287" t="s">
        <v>2496</v>
      </c>
      <c r="E287" t="str">
        <f>IFERROR(VLOOKUP(B287,Signal_detection!$A$1:$C$22,2,FALSE),"")</f>
        <v>Probable</v>
      </c>
      <c r="F287" t="str">
        <f>IFERROR(VLOOKUP(B287,Signal_detection!$A$1:$C$22,3,FALSE),"")</f>
        <v>Infection signal</v>
      </c>
      <c r="G287" t="s">
        <v>0</v>
      </c>
    </row>
    <row r="288" spans="1:7" x14ac:dyDescent="0.3">
      <c r="A288" s="5">
        <v>14952257</v>
      </c>
      <c r="B288" t="s">
        <v>988</v>
      </c>
      <c r="C288" t="s">
        <v>2510</v>
      </c>
      <c r="D288" t="s">
        <v>2510</v>
      </c>
      <c r="E288" t="str">
        <f>IFERROR(VLOOKUP(B288,Signal_detection!$A$1:$C$22,2,FALSE),"")</f>
        <v/>
      </c>
      <c r="F288" t="str">
        <f>IFERROR(VLOOKUP(B288,Signal_detection!$A$1:$C$22,3,FALSE),"")</f>
        <v/>
      </c>
      <c r="G288" t="s">
        <v>125</v>
      </c>
    </row>
    <row r="289" spans="1:7" x14ac:dyDescent="0.3">
      <c r="A289" s="5">
        <v>14955003</v>
      </c>
      <c r="B289" t="s">
        <v>1449</v>
      </c>
      <c r="C289" t="s">
        <v>2510</v>
      </c>
      <c r="D289" t="s">
        <v>2510</v>
      </c>
      <c r="E289" t="str">
        <f>IFERROR(VLOOKUP(B289,Signal_detection!$A$1:$C$22,2,FALSE),"")</f>
        <v/>
      </c>
      <c r="F289" t="str">
        <f>IFERROR(VLOOKUP(B289,Signal_detection!$A$1:$C$22,3,FALSE),"")</f>
        <v/>
      </c>
      <c r="G289" t="s">
        <v>0</v>
      </c>
    </row>
    <row r="290" spans="1:7" x14ac:dyDescent="0.3">
      <c r="A290" s="5">
        <v>14968664</v>
      </c>
      <c r="B290" t="s">
        <v>708</v>
      </c>
      <c r="C290" t="s">
        <v>708</v>
      </c>
      <c r="D290" t="s">
        <v>2501</v>
      </c>
      <c r="E290" t="str">
        <f>IFERROR(VLOOKUP(B290,Signal_detection!$A$1:$C$22,2,FALSE),"")</f>
        <v/>
      </c>
      <c r="F290" t="str">
        <f>IFERROR(VLOOKUP(B290,Signal_detection!$A$1:$C$22,3,FALSE),"")</f>
        <v/>
      </c>
      <c r="G290" t="s">
        <v>0</v>
      </c>
    </row>
    <row r="291" spans="1:7" x14ac:dyDescent="0.3">
      <c r="A291" s="5">
        <v>14971114</v>
      </c>
      <c r="B291" t="s">
        <v>1814</v>
      </c>
      <c r="C291" t="s">
        <v>2510</v>
      </c>
      <c r="D291" t="s">
        <v>2510</v>
      </c>
      <c r="E291" t="str">
        <f>IFERROR(VLOOKUP(B291,Signal_detection!$A$1:$C$22,2,FALSE),"")</f>
        <v/>
      </c>
      <c r="F291" t="str">
        <f>IFERROR(VLOOKUP(B291,Signal_detection!$A$1:$C$22,3,FALSE),"")</f>
        <v/>
      </c>
      <c r="G291" t="s">
        <v>0</v>
      </c>
    </row>
    <row r="292" spans="1:7" x14ac:dyDescent="0.3">
      <c r="A292" s="5">
        <v>14974569</v>
      </c>
      <c r="B292" t="s">
        <v>360</v>
      </c>
      <c r="C292" t="s">
        <v>2510</v>
      </c>
      <c r="D292" t="s">
        <v>2510</v>
      </c>
      <c r="E292" t="str">
        <f>IFERROR(VLOOKUP(B292,Signal_detection!$A$1:$C$22,2,FALSE),"")</f>
        <v/>
      </c>
      <c r="F292" t="str">
        <f>IFERROR(VLOOKUP(B292,Signal_detection!$A$1:$C$22,3,FALSE),"")</f>
        <v/>
      </c>
      <c r="G292" t="s">
        <v>0</v>
      </c>
    </row>
    <row r="293" spans="1:7" x14ac:dyDescent="0.3">
      <c r="A293" s="5">
        <v>14975725</v>
      </c>
      <c r="B293" t="s">
        <v>126</v>
      </c>
      <c r="C293" t="s">
        <v>126</v>
      </c>
      <c r="D293" t="s">
        <v>2497</v>
      </c>
      <c r="E293" t="str">
        <f>IFERROR(VLOOKUP(B293,Signal_detection!$A$1:$C$22,2,FALSE),"")</f>
        <v>Unlikely</v>
      </c>
      <c r="F293" t="str">
        <f>IFERROR(VLOOKUP(B293,Signal_detection!$A$1:$C$22,3,FALSE),"")</f>
        <v>Non-ADR</v>
      </c>
      <c r="G293" t="s">
        <v>125</v>
      </c>
    </row>
    <row r="294" spans="1:7" x14ac:dyDescent="0.3">
      <c r="A294" s="5">
        <v>14994866</v>
      </c>
      <c r="B294" t="s">
        <v>1163</v>
      </c>
      <c r="C294" t="s">
        <v>2510</v>
      </c>
      <c r="D294" t="s">
        <v>2510</v>
      </c>
      <c r="E294" t="str">
        <f>IFERROR(VLOOKUP(B294,Signal_detection!$A$1:$C$22,2,FALSE),"")</f>
        <v/>
      </c>
      <c r="F294" t="str">
        <f>IFERROR(VLOOKUP(B294,Signal_detection!$A$1:$C$22,3,FALSE),"")</f>
        <v/>
      </c>
      <c r="G294" t="s">
        <v>0</v>
      </c>
    </row>
    <row r="295" spans="1:7" x14ac:dyDescent="0.3">
      <c r="A295" s="5">
        <v>14995624</v>
      </c>
      <c r="B295" t="s">
        <v>797</v>
      </c>
      <c r="C295" t="s">
        <v>2510</v>
      </c>
      <c r="D295" t="s">
        <v>2510</v>
      </c>
      <c r="E295" t="str">
        <f>IFERROR(VLOOKUP(B295,Signal_detection!$A$1:$C$22,2,FALSE),"")</f>
        <v/>
      </c>
      <c r="F295" t="str">
        <f>IFERROR(VLOOKUP(B295,Signal_detection!$A$1:$C$22,3,FALSE),"")</f>
        <v/>
      </c>
      <c r="G295" t="s">
        <v>0</v>
      </c>
    </row>
    <row r="296" spans="1:7" x14ac:dyDescent="0.3">
      <c r="A296" s="5">
        <v>14999498</v>
      </c>
      <c r="B296" t="s">
        <v>732</v>
      </c>
      <c r="C296" t="s">
        <v>2510</v>
      </c>
      <c r="D296" t="s">
        <v>2510</v>
      </c>
      <c r="E296" t="str">
        <f>IFERROR(VLOOKUP(B296,Signal_detection!$A$1:$C$22,2,FALSE),"")</f>
        <v/>
      </c>
      <c r="F296" t="str">
        <f>IFERROR(VLOOKUP(B296,Signal_detection!$A$1:$C$22,3,FALSE),"")</f>
        <v/>
      </c>
      <c r="G296" t="s">
        <v>0</v>
      </c>
    </row>
    <row r="297" spans="1:7" x14ac:dyDescent="0.3">
      <c r="A297" s="5">
        <v>15017627</v>
      </c>
      <c r="B297" t="s">
        <v>353</v>
      </c>
      <c r="C297" t="s">
        <v>2510</v>
      </c>
      <c r="D297" t="s">
        <v>2510</v>
      </c>
      <c r="E297" t="str">
        <f>IFERROR(VLOOKUP(B297,Signal_detection!$A$1:$C$22,2,FALSE),"")</f>
        <v/>
      </c>
      <c r="F297" t="str">
        <f>IFERROR(VLOOKUP(B297,Signal_detection!$A$1:$C$22,3,FALSE),"")</f>
        <v/>
      </c>
      <c r="G297" t="s">
        <v>0</v>
      </c>
    </row>
    <row r="298" spans="1:7" x14ac:dyDescent="0.3">
      <c r="A298" s="5">
        <v>15020885</v>
      </c>
      <c r="B298" t="s">
        <v>332</v>
      </c>
      <c r="C298" t="s">
        <v>332</v>
      </c>
      <c r="D298" t="s">
        <v>2507</v>
      </c>
      <c r="E298" t="str">
        <f>IFERROR(VLOOKUP(B298,Signal_detection!$A$1:$C$22,2,FALSE),"")</f>
        <v>Possible</v>
      </c>
      <c r="F298" t="str">
        <f>IFERROR(VLOOKUP(B298,Signal_detection!$A$1:$C$22,3,FALSE),"")</f>
        <v>GI ADR</v>
      </c>
      <c r="G298" t="s">
        <v>125</v>
      </c>
    </row>
    <row r="299" spans="1:7" x14ac:dyDescent="0.3">
      <c r="A299" s="5">
        <v>15041520</v>
      </c>
      <c r="B299" t="s">
        <v>720</v>
      </c>
      <c r="C299" t="s">
        <v>2510</v>
      </c>
      <c r="D299" t="s">
        <v>2510</v>
      </c>
      <c r="E299" t="str">
        <f>IFERROR(VLOOKUP(B299,Signal_detection!$A$1:$C$22,2,FALSE),"")</f>
        <v/>
      </c>
      <c r="F299" t="str">
        <f>IFERROR(VLOOKUP(B299,Signal_detection!$A$1:$C$22,3,FALSE),"")</f>
        <v/>
      </c>
      <c r="G299" t="s">
        <v>0</v>
      </c>
    </row>
    <row r="300" spans="1:7" x14ac:dyDescent="0.3">
      <c r="A300" s="5">
        <v>15051424</v>
      </c>
      <c r="B300" t="s">
        <v>1740</v>
      </c>
      <c r="C300" t="s">
        <v>1740</v>
      </c>
      <c r="D300" t="s">
        <v>2494</v>
      </c>
      <c r="E300" t="str">
        <f>IFERROR(VLOOKUP(B300,Signal_detection!$A$1:$C$22,2,FALSE),"")</f>
        <v/>
      </c>
      <c r="F300" t="str">
        <f>IFERROR(VLOOKUP(B300,Signal_detection!$A$1:$C$22,3,FALSE),"")</f>
        <v/>
      </c>
      <c r="G300" t="s">
        <v>0</v>
      </c>
    </row>
    <row r="301" spans="1:7" x14ac:dyDescent="0.3">
      <c r="A301" s="5">
        <v>15077602</v>
      </c>
      <c r="B301" t="s">
        <v>1023</v>
      </c>
      <c r="C301" t="s">
        <v>2510</v>
      </c>
      <c r="D301" t="s">
        <v>2510</v>
      </c>
      <c r="E301" t="str">
        <f>IFERROR(VLOOKUP(B301,Signal_detection!$A$1:$C$22,2,FALSE),"")</f>
        <v/>
      </c>
      <c r="F301" t="str">
        <f>IFERROR(VLOOKUP(B301,Signal_detection!$A$1:$C$22,3,FALSE),"")</f>
        <v/>
      </c>
      <c r="G301" t="s">
        <v>0</v>
      </c>
    </row>
    <row r="302" spans="1:7" x14ac:dyDescent="0.3">
      <c r="A302" s="5">
        <v>15081194</v>
      </c>
      <c r="B302" t="s">
        <v>123</v>
      </c>
      <c r="C302" t="s">
        <v>2510</v>
      </c>
      <c r="D302" t="s">
        <v>2510</v>
      </c>
      <c r="E302" t="str">
        <f>IFERROR(VLOOKUP(B302,Signal_detection!$A$1:$C$22,2,FALSE),"")</f>
        <v/>
      </c>
      <c r="F302" t="str">
        <f>IFERROR(VLOOKUP(B302,Signal_detection!$A$1:$C$22,3,FALSE),"")</f>
        <v/>
      </c>
      <c r="G302" t="s">
        <v>125</v>
      </c>
    </row>
    <row r="303" spans="1:7" x14ac:dyDescent="0.3">
      <c r="A303" s="5">
        <v>15097088</v>
      </c>
      <c r="B303" t="s">
        <v>1740</v>
      </c>
      <c r="C303" t="s">
        <v>1740</v>
      </c>
      <c r="D303" t="s">
        <v>2494</v>
      </c>
      <c r="E303" t="str">
        <f>IFERROR(VLOOKUP(B303,Signal_detection!$A$1:$C$22,2,FALSE),"")</f>
        <v/>
      </c>
      <c r="F303" t="str">
        <f>IFERROR(VLOOKUP(B303,Signal_detection!$A$1:$C$22,3,FALSE),"")</f>
        <v/>
      </c>
      <c r="G303" t="s">
        <v>0</v>
      </c>
    </row>
    <row r="304" spans="1:7" x14ac:dyDescent="0.3">
      <c r="A304" s="5">
        <v>15101085</v>
      </c>
      <c r="B304" t="s">
        <v>192</v>
      </c>
      <c r="C304" t="s">
        <v>192</v>
      </c>
      <c r="D304" t="s">
        <v>2495</v>
      </c>
      <c r="E304" t="str">
        <f>IFERROR(VLOOKUP(B304,Signal_detection!$A$1:$C$22,2,FALSE),"")</f>
        <v>Probable</v>
      </c>
      <c r="F304" t="str">
        <f>IFERROR(VLOOKUP(B304,Signal_detection!$A$1:$C$22,3,FALSE),"")</f>
        <v>Hypersensitivity signal</v>
      </c>
      <c r="G304" t="s">
        <v>0</v>
      </c>
    </row>
    <row r="305" spans="1:7" x14ac:dyDescent="0.3">
      <c r="A305" s="5">
        <v>15105901</v>
      </c>
      <c r="B305" t="s">
        <v>1095</v>
      </c>
      <c r="C305" t="s">
        <v>2510</v>
      </c>
      <c r="D305" t="s">
        <v>2510</v>
      </c>
      <c r="E305" t="str">
        <f>IFERROR(VLOOKUP(B305,Signal_detection!$A$1:$C$22,2,FALSE),"")</f>
        <v/>
      </c>
      <c r="F305" t="str">
        <f>IFERROR(VLOOKUP(B305,Signal_detection!$A$1:$C$22,3,FALSE),"")</f>
        <v/>
      </c>
      <c r="G305" t="s">
        <v>0</v>
      </c>
    </row>
    <row r="306" spans="1:7" x14ac:dyDescent="0.3">
      <c r="A306" s="5">
        <v>15112923</v>
      </c>
      <c r="B306" t="s">
        <v>579</v>
      </c>
      <c r="C306" t="s">
        <v>2510</v>
      </c>
      <c r="D306" t="s">
        <v>2510</v>
      </c>
      <c r="E306" t="str">
        <f>IFERROR(VLOOKUP(B306,Signal_detection!$A$1:$C$22,2,FALSE),"")</f>
        <v/>
      </c>
      <c r="F306" t="str">
        <f>IFERROR(VLOOKUP(B306,Signal_detection!$A$1:$C$22,3,FALSE),"")</f>
        <v/>
      </c>
      <c r="G306" t="s">
        <v>125</v>
      </c>
    </row>
    <row r="307" spans="1:7" x14ac:dyDescent="0.3">
      <c r="A307" s="5">
        <v>15114378</v>
      </c>
      <c r="B307" t="s">
        <v>431</v>
      </c>
      <c r="C307" t="s">
        <v>2510</v>
      </c>
      <c r="D307" t="s">
        <v>2510</v>
      </c>
      <c r="E307" t="str">
        <f>IFERROR(VLOOKUP(B307,Signal_detection!$A$1:$C$22,2,FALSE),"")</f>
        <v/>
      </c>
      <c r="F307" t="str">
        <f>IFERROR(VLOOKUP(B307,Signal_detection!$A$1:$C$22,3,FALSE),"")</f>
        <v/>
      </c>
      <c r="G307" t="s">
        <v>0</v>
      </c>
    </row>
    <row r="308" spans="1:7" x14ac:dyDescent="0.3">
      <c r="A308" s="5">
        <v>15125635</v>
      </c>
      <c r="B308" t="s">
        <v>1740</v>
      </c>
      <c r="C308" t="s">
        <v>1740</v>
      </c>
      <c r="D308" t="s">
        <v>2494</v>
      </c>
      <c r="E308" t="str">
        <f>IFERROR(VLOOKUP(B308,Signal_detection!$A$1:$C$22,2,FALSE),"")</f>
        <v/>
      </c>
      <c r="F308" t="str">
        <f>IFERROR(VLOOKUP(B308,Signal_detection!$A$1:$C$22,3,FALSE),"")</f>
        <v/>
      </c>
      <c r="G308" t="s">
        <v>0</v>
      </c>
    </row>
    <row r="309" spans="1:7" x14ac:dyDescent="0.3">
      <c r="A309" s="5">
        <v>15125767</v>
      </c>
      <c r="B309" t="s">
        <v>1740</v>
      </c>
      <c r="C309" t="s">
        <v>1740</v>
      </c>
      <c r="D309" t="s">
        <v>2494</v>
      </c>
      <c r="E309" t="str">
        <f>IFERROR(VLOOKUP(B309,Signal_detection!$A$1:$C$22,2,FALSE),"")</f>
        <v/>
      </c>
      <c r="F309" t="str">
        <f>IFERROR(VLOOKUP(B309,Signal_detection!$A$1:$C$22,3,FALSE),"")</f>
        <v/>
      </c>
      <c r="G309" t="s">
        <v>0</v>
      </c>
    </row>
    <row r="310" spans="1:7" x14ac:dyDescent="0.3">
      <c r="A310" s="5">
        <v>15125813</v>
      </c>
      <c r="B310" t="s">
        <v>1157</v>
      </c>
      <c r="C310" t="s">
        <v>2510</v>
      </c>
      <c r="D310" t="s">
        <v>2510</v>
      </c>
      <c r="E310" t="str">
        <f>IFERROR(VLOOKUP(B310,Signal_detection!$A$1:$C$22,2,FALSE),"")</f>
        <v/>
      </c>
      <c r="F310" t="str">
        <f>IFERROR(VLOOKUP(B310,Signal_detection!$A$1:$C$22,3,FALSE),"")</f>
        <v/>
      </c>
      <c r="G310" t="s">
        <v>0</v>
      </c>
    </row>
    <row r="311" spans="1:7" x14ac:dyDescent="0.3">
      <c r="A311" s="5">
        <v>15127486</v>
      </c>
      <c r="B311" t="s">
        <v>454</v>
      </c>
      <c r="C311" t="s">
        <v>2510</v>
      </c>
      <c r="D311" t="s">
        <v>2510</v>
      </c>
      <c r="E311" t="str">
        <f>IFERROR(VLOOKUP(B311,Signal_detection!$A$1:$C$22,2,FALSE),"")</f>
        <v/>
      </c>
      <c r="F311" t="str">
        <f>IFERROR(VLOOKUP(B311,Signal_detection!$A$1:$C$22,3,FALSE),"")</f>
        <v/>
      </c>
      <c r="G311" t="s">
        <v>0</v>
      </c>
    </row>
    <row r="312" spans="1:7" x14ac:dyDescent="0.3">
      <c r="A312" s="5">
        <v>15129122</v>
      </c>
      <c r="B312" t="s">
        <v>736</v>
      </c>
      <c r="C312" t="s">
        <v>2510</v>
      </c>
      <c r="D312" t="s">
        <v>2510</v>
      </c>
      <c r="E312" t="str">
        <f>IFERROR(VLOOKUP(B312,Signal_detection!$A$1:$C$22,2,FALSE),"")</f>
        <v/>
      </c>
      <c r="F312" t="str">
        <f>IFERROR(VLOOKUP(B312,Signal_detection!$A$1:$C$22,3,FALSE),"")</f>
        <v/>
      </c>
      <c r="G312" t="s">
        <v>0</v>
      </c>
    </row>
    <row r="313" spans="1:7" x14ac:dyDescent="0.3">
      <c r="A313" s="5">
        <v>15139044</v>
      </c>
      <c r="B313" t="s">
        <v>1834</v>
      </c>
      <c r="C313" t="s">
        <v>2510</v>
      </c>
      <c r="D313" t="s">
        <v>2510</v>
      </c>
      <c r="E313" t="str">
        <f>IFERROR(VLOOKUP(B313,Signal_detection!$A$1:$C$22,2,FALSE),"")</f>
        <v/>
      </c>
      <c r="F313" t="str">
        <f>IFERROR(VLOOKUP(B313,Signal_detection!$A$1:$C$22,3,FALSE),"")</f>
        <v/>
      </c>
      <c r="G313" t="s">
        <v>0</v>
      </c>
    </row>
    <row r="314" spans="1:7" x14ac:dyDescent="0.3">
      <c r="A314" s="5">
        <v>15143089</v>
      </c>
      <c r="B314" t="s">
        <v>1475</v>
      </c>
      <c r="C314" t="s">
        <v>2510</v>
      </c>
      <c r="D314" t="s">
        <v>2510</v>
      </c>
      <c r="E314" t="str">
        <f>IFERROR(VLOOKUP(B314,Signal_detection!$A$1:$C$22,2,FALSE),"")</f>
        <v/>
      </c>
      <c r="F314" t="str">
        <f>IFERROR(VLOOKUP(B314,Signal_detection!$A$1:$C$22,3,FALSE),"")</f>
        <v/>
      </c>
      <c r="G314" t="s">
        <v>0</v>
      </c>
    </row>
    <row r="315" spans="1:7" x14ac:dyDescent="0.3">
      <c r="A315" s="5">
        <v>15143622</v>
      </c>
      <c r="B315" t="s">
        <v>1343</v>
      </c>
      <c r="C315" t="s">
        <v>2510</v>
      </c>
      <c r="D315" t="s">
        <v>2510</v>
      </c>
      <c r="E315" t="str">
        <f>IFERROR(VLOOKUP(B315,Signal_detection!$A$1:$C$22,2,FALSE),"")</f>
        <v/>
      </c>
      <c r="F315" t="str">
        <f>IFERROR(VLOOKUP(B315,Signal_detection!$A$1:$C$22,3,FALSE),"")</f>
        <v/>
      </c>
      <c r="G315" t="s">
        <v>0</v>
      </c>
    </row>
    <row r="316" spans="1:7" x14ac:dyDescent="0.3">
      <c r="A316" s="5">
        <v>15148243</v>
      </c>
      <c r="B316" t="s">
        <v>300</v>
      </c>
      <c r="C316" t="s">
        <v>2510</v>
      </c>
      <c r="D316" t="s">
        <v>2510</v>
      </c>
      <c r="E316" t="str">
        <f>IFERROR(VLOOKUP(B316,Signal_detection!$A$1:$C$22,2,FALSE),"")</f>
        <v/>
      </c>
      <c r="F316" t="str">
        <f>IFERROR(VLOOKUP(B316,Signal_detection!$A$1:$C$22,3,FALSE),"")</f>
        <v/>
      </c>
      <c r="G316" t="s">
        <v>0</v>
      </c>
    </row>
    <row r="317" spans="1:7" x14ac:dyDescent="0.3">
      <c r="A317" s="5">
        <v>15158256</v>
      </c>
      <c r="B317" t="s">
        <v>332</v>
      </c>
      <c r="C317" t="s">
        <v>332</v>
      </c>
      <c r="D317" t="s">
        <v>2507</v>
      </c>
      <c r="E317" t="str">
        <f>IFERROR(VLOOKUP(B317,Signal_detection!$A$1:$C$22,2,FALSE),"")</f>
        <v>Possible</v>
      </c>
      <c r="F317" t="str">
        <f>IFERROR(VLOOKUP(B317,Signal_detection!$A$1:$C$22,3,FALSE),"")</f>
        <v>GI ADR</v>
      </c>
      <c r="G317" t="s">
        <v>0</v>
      </c>
    </row>
    <row r="318" spans="1:7" x14ac:dyDescent="0.3">
      <c r="A318" s="5">
        <v>15201214</v>
      </c>
      <c r="B318" t="s">
        <v>1838</v>
      </c>
      <c r="C318" t="s">
        <v>2510</v>
      </c>
      <c r="D318" t="s">
        <v>2510</v>
      </c>
      <c r="E318" t="str">
        <f>IFERROR(VLOOKUP(B318,Signal_detection!$A$1:$C$22,2,FALSE),"")</f>
        <v/>
      </c>
      <c r="F318" t="str">
        <f>IFERROR(VLOOKUP(B318,Signal_detection!$A$1:$C$22,3,FALSE),"")</f>
        <v/>
      </c>
      <c r="G318" t="s">
        <v>125</v>
      </c>
    </row>
    <row r="319" spans="1:7" x14ac:dyDescent="0.3">
      <c r="A319" s="5">
        <v>15204817</v>
      </c>
      <c r="B319" t="s">
        <v>1057</v>
      </c>
      <c r="C319" t="s">
        <v>2510</v>
      </c>
      <c r="D319" t="s">
        <v>2510</v>
      </c>
      <c r="E319" t="str">
        <f>IFERROR(VLOOKUP(B319,Signal_detection!$A$1:$C$22,2,FALSE),"")</f>
        <v/>
      </c>
      <c r="F319" t="str">
        <f>IFERROR(VLOOKUP(B319,Signal_detection!$A$1:$C$22,3,FALSE),"")</f>
        <v/>
      </c>
      <c r="G319" t="s">
        <v>0</v>
      </c>
    </row>
    <row r="320" spans="1:7" x14ac:dyDescent="0.3">
      <c r="A320" s="5">
        <v>15206953</v>
      </c>
      <c r="B320" t="s">
        <v>173</v>
      </c>
      <c r="C320" t="s">
        <v>2510</v>
      </c>
      <c r="D320" t="s">
        <v>2510</v>
      </c>
      <c r="E320" t="str">
        <f>IFERROR(VLOOKUP(B320,Signal_detection!$A$1:$C$22,2,FALSE),"")</f>
        <v/>
      </c>
      <c r="F320" t="str">
        <f>IFERROR(VLOOKUP(B320,Signal_detection!$A$1:$C$22,3,FALSE),"")</f>
        <v/>
      </c>
      <c r="G320" t="s">
        <v>0</v>
      </c>
    </row>
    <row r="321" spans="1:7" x14ac:dyDescent="0.3">
      <c r="A321" s="5">
        <v>15218777</v>
      </c>
      <c r="B321" t="s">
        <v>217</v>
      </c>
      <c r="C321" t="s">
        <v>217</v>
      </c>
      <c r="D321" t="s">
        <v>2502</v>
      </c>
      <c r="E321" t="str">
        <f>IFERROR(VLOOKUP(B321,Signal_detection!$A$1:$C$22,2,FALSE),"")</f>
        <v>Unlikely</v>
      </c>
      <c r="F321" t="str">
        <f>IFERROR(VLOOKUP(B321,Signal_detection!$A$1:$C$22,3,FALSE),"")</f>
        <v>Administrative</v>
      </c>
      <c r="G321" t="s">
        <v>0</v>
      </c>
    </row>
    <row r="322" spans="1:7" x14ac:dyDescent="0.3">
      <c r="A322" s="5">
        <v>15220033</v>
      </c>
      <c r="B322" t="s">
        <v>421</v>
      </c>
      <c r="C322" t="s">
        <v>2510</v>
      </c>
      <c r="D322" t="s">
        <v>2510</v>
      </c>
      <c r="E322" t="str">
        <f>IFERROR(VLOOKUP(B322,Signal_detection!$A$1:$C$22,2,FALSE),"")</f>
        <v/>
      </c>
      <c r="F322" t="str">
        <f>IFERROR(VLOOKUP(B322,Signal_detection!$A$1:$C$22,3,FALSE),"")</f>
        <v/>
      </c>
      <c r="G322" t="s">
        <v>125</v>
      </c>
    </row>
    <row r="323" spans="1:7" x14ac:dyDescent="0.3">
      <c r="A323" s="5">
        <v>15225214</v>
      </c>
      <c r="B323" t="s">
        <v>420</v>
      </c>
      <c r="C323" t="s">
        <v>2510</v>
      </c>
      <c r="D323" t="s">
        <v>2510</v>
      </c>
      <c r="E323" t="str">
        <f>IFERROR(VLOOKUP(B323,Signal_detection!$A$1:$C$22,2,FALSE),"")</f>
        <v/>
      </c>
      <c r="F323" t="str">
        <f>IFERROR(VLOOKUP(B323,Signal_detection!$A$1:$C$22,3,FALSE),"")</f>
        <v/>
      </c>
      <c r="G323" t="s">
        <v>0</v>
      </c>
    </row>
    <row r="324" spans="1:7" x14ac:dyDescent="0.3">
      <c r="A324" s="5">
        <v>15225220</v>
      </c>
      <c r="B324" t="s">
        <v>692</v>
      </c>
      <c r="C324" t="s">
        <v>2510</v>
      </c>
      <c r="D324" t="s">
        <v>2510</v>
      </c>
      <c r="E324" t="str">
        <f>IFERROR(VLOOKUP(B324,Signal_detection!$A$1:$C$22,2,FALSE),"")</f>
        <v/>
      </c>
      <c r="F324" t="str">
        <f>IFERROR(VLOOKUP(B324,Signal_detection!$A$1:$C$22,3,FALSE),"")</f>
        <v/>
      </c>
      <c r="G324" t="s">
        <v>0</v>
      </c>
    </row>
    <row r="325" spans="1:7" x14ac:dyDescent="0.3">
      <c r="A325" s="5">
        <v>15227815</v>
      </c>
      <c r="B325" t="s">
        <v>1397</v>
      </c>
      <c r="C325" t="s">
        <v>2510</v>
      </c>
      <c r="D325" t="s">
        <v>2510</v>
      </c>
      <c r="E325" t="str">
        <f>IFERROR(VLOOKUP(B325,Signal_detection!$A$1:$C$22,2,FALSE),"")</f>
        <v/>
      </c>
      <c r="F325" t="str">
        <f>IFERROR(VLOOKUP(B325,Signal_detection!$A$1:$C$22,3,FALSE),"")</f>
        <v/>
      </c>
      <c r="G325" t="s">
        <v>0</v>
      </c>
    </row>
    <row r="326" spans="1:7" x14ac:dyDescent="0.3">
      <c r="A326" s="5">
        <v>15235741</v>
      </c>
      <c r="B326" t="s">
        <v>255</v>
      </c>
      <c r="C326" t="s">
        <v>2510</v>
      </c>
      <c r="D326" t="s">
        <v>2510</v>
      </c>
      <c r="E326" t="str">
        <f>IFERROR(VLOOKUP(B326,Signal_detection!$A$1:$C$22,2,FALSE),"")</f>
        <v>Probable</v>
      </c>
      <c r="F326" t="str">
        <f>IFERROR(VLOOKUP(B326,Signal_detection!$A$1:$C$22,3,FALSE),"")</f>
        <v>Infection signal</v>
      </c>
      <c r="G326" t="s">
        <v>0</v>
      </c>
    </row>
    <row r="327" spans="1:7" x14ac:dyDescent="0.3">
      <c r="A327" s="5">
        <v>15240452</v>
      </c>
      <c r="B327" t="s">
        <v>1088</v>
      </c>
      <c r="C327" t="s">
        <v>2510</v>
      </c>
      <c r="D327" t="s">
        <v>2510</v>
      </c>
      <c r="E327" t="str">
        <f>IFERROR(VLOOKUP(B327,Signal_detection!$A$1:$C$22,2,FALSE),"")</f>
        <v/>
      </c>
      <c r="F327" t="str">
        <f>IFERROR(VLOOKUP(B327,Signal_detection!$A$1:$C$22,3,FALSE),"")</f>
        <v/>
      </c>
      <c r="G327" t="s">
        <v>0</v>
      </c>
    </row>
    <row r="328" spans="1:7" x14ac:dyDescent="0.3">
      <c r="A328" s="5">
        <v>15246289</v>
      </c>
      <c r="B328" t="s">
        <v>1487</v>
      </c>
      <c r="C328" t="s">
        <v>2510</v>
      </c>
      <c r="D328" t="s">
        <v>2510</v>
      </c>
      <c r="E328" t="str">
        <f>IFERROR(VLOOKUP(B328,Signal_detection!$A$1:$C$22,2,FALSE),"")</f>
        <v/>
      </c>
      <c r="F328" t="str">
        <f>IFERROR(VLOOKUP(B328,Signal_detection!$A$1:$C$22,3,FALSE),"")</f>
        <v/>
      </c>
      <c r="G328" t="s">
        <v>0</v>
      </c>
    </row>
    <row r="329" spans="1:7" x14ac:dyDescent="0.3">
      <c r="A329" s="5">
        <v>15249703</v>
      </c>
      <c r="B329" t="s">
        <v>1183</v>
      </c>
      <c r="C329" t="s">
        <v>2510</v>
      </c>
      <c r="D329" t="s">
        <v>2510</v>
      </c>
      <c r="E329" t="str">
        <f>IFERROR(VLOOKUP(B329,Signal_detection!$A$1:$C$22,2,FALSE),"")</f>
        <v/>
      </c>
      <c r="F329" t="str">
        <f>IFERROR(VLOOKUP(B329,Signal_detection!$A$1:$C$22,3,FALSE),"")</f>
        <v/>
      </c>
      <c r="G329" t="s">
        <v>0</v>
      </c>
    </row>
    <row r="330" spans="1:7" x14ac:dyDescent="0.3">
      <c r="A330" s="5">
        <v>15250714</v>
      </c>
      <c r="B330" t="s">
        <v>838</v>
      </c>
      <c r="C330" t="s">
        <v>838</v>
      </c>
      <c r="D330" t="s">
        <v>2495</v>
      </c>
      <c r="E330" t="str">
        <f>IFERROR(VLOOKUP(B330,Signal_detection!$A$1:$C$22,2,FALSE),"")</f>
        <v>Probable</v>
      </c>
      <c r="F330" t="str">
        <f>IFERROR(VLOOKUP(B330,Signal_detection!$A$1:$C$22,3,FALSE),"")</f>
        <v>Serious allergy signal</v>
      </c>
      <c r="G330" t="s">
        <v>0</v>
      </c>
    </row>
    <row r="331" spans="1:7" x14ac:dyDescent="0.3">
      <c r="A331" s="5">
        <v>15251524</v>
      </c>
      <c r="B331" t="s">
        <v>274</v>
      </c>
      <c r="C331" t="s">
        <v>274</v>
      </c>
      <c r="D331" t="s">
        <v>2494</v>
      </c>
      <c r="E331" t="str">
        <f>IFERROR(VLOOKUP(B331,Signal_detection!$A$1:$C$22,2,FALSE),"")</f>
        <v/>
      </c>
      <c r="F331" t="str">
        <f>IFERROR(VLOOKUP(B331,Signal_detection!$A$1:$C$22,3,FALSE),"")</f>
        <v/>
      </c>
      <c r="G331" t="s">
        <v>0</v>
      </c>
    </row>
    <row r="332" spans="1:7" x14ac:dyDescent="0.3">
      <c r="A332" s="5">
        <v>15259181</v>
      </c>
      <c r="B332" t="s">
        <v>1460</v>
      </c>
      <c r="C332" t="s">
        <v>2510</v>
      </c>
      <c r="D332" t="s">
        <v>2510</v>
      </c>
      <c r="E332" t="str">
        <f>IFERROR(VLOOKUP(B332,Signal_detection!$A$1:$C$22,2,FALSE),"")</f>
        <v/>
      </c>
      <c r="F332" t="str">
        <f>IFERROR(VLOOKUP(B332,Signal_detection!$A$1:$C$22,3,FALSE),"")</f>
        <v/>
      </c>
      <c r="G332" t="s">
        <v>0</v>
      </c>
    </row>
    <row r="333" spans="1:7" x14ac:dyDescent="0.3">
      <c r="A333" s="5">
        <v>15269722</v>
      </c>
      <c r="B333" t="s">
        <v>939</v>
      </c>
      <c r="C333" t="s">
        <v>2510</v>
      </c>
      <c r="D333" t="s">
        <v>2510</v>
      </c>
      <c r="E333" t="str">
        <f>IFERROR(VLOOKUP(B333,Signal_detection!$A$1:$C$22,2,FALSE),"")</f>
        <v/>
      </c>
      <c r="F333" t="str">
        <f>IFERROR(VLOOKUP(B333,Signal_detection!$A$1:$C$22,3,FALSE),"")</f>
        <v/>
      </c>
      <c r="G333" t="s">
        <v>0</v>
      </c>
    </row>
    <row r="334" spans="1:7" x14ac:dyDescent="0.3">
      <c r="A334" s="5">
        <v>15272182</v>
      </c>
      <c r="B334" t="s">
        <v>180</v>
      </c>
      <c r="C334" t="s">
        <v>2510</v>
      </c>
      <c r="D334" t="s">
        <v>2510</v>
      </c>
      <c r="E334" t="str">
        <f>IFERROR(VLOOKUP(B334,Signal_detection!$A$1:$C$22,2,FALSE),"")</f>
        <v/>
      </c>
      <c r="F334" t="str">
        <f>IFERROR(VLOOKUP(B334,Signal_detection!$A$1:$C$22,3,FALSE),"")</f>
        <v/>
      </c>
      <c r="G334" t="s">
        <v>0</v>
      </c>
    </row>
    <row r="335" spans="1:7" x14ac:dyDescent="0.3">
      <c r="A335" s="5">
        <v>15287372</v>
      </c>
      <c r="B335" t="s">
        <v>996</v>
      </c>
      <c r="C335" t="s">
        <v>2510</v>
      </c>
      <c r="D335" t="s">
        <v>2510</v>
      </c>
      <c r="E335" t="str">
        <f>IFERROR(VLOOKUP(B335,Signal_detection!$A$1:$C$22,2,FALSE),"")</f>
        <v/>
      </c>
      <c r="F335" t="str">
        <f>IFERROR(VLOOKUP(B335,Signal_detection!$A$1:$C$22,3,FALSE),"")</f>
        <v/>
      </c>
      <c r="G335" t="s">
        <v>0</v>
      </c>
    </row>
    <row r="336" spans="1:7" x14ac:dyDescent="0.3">
      <c r="A336" s="5">
        <v>15287881</v>
      </c>
      <c r="B336" t="s">
        <v>718</v>
      </c>
      <c r="C336" t="s">
        <v>2510</v>
      </c>
      <c r="D336" t="s">
        <v>2510</v>
      </c>
      <c r="E336" t="str">
        <f>IFERROR(VLOOKUP(B336,Signal_detection!$A$1:$C$22,2,FALSE),"")</f>
        <v/>
      </c>
      <c r="F336" t="str">
        <f>IFERROR(VLOOKUP(B336,Signal_detection!$A$1:$C$22,3,FALSE),"")</f>
        <v/>
      </c>
      <c r="G336" t="s">
        <v>125</v>
      </c>
    </row>
    <row r="337" spans="1:7" x14ac:dyDescent="0.3">
      <c r="A337" s="5">
        <v>15290694</v>
      </c>
      <c r="B337" t="s">
        <v>1740</v>
      </c>
      <c r="C337" t="s">
        <v>1740</v>
      </c>
      <c r="D337" t="s">
        <v>2494</v>
      </c>
      <c r="E337" t="str">
        <f>IFERROR(VLOOKUP(B337,Signal_detection!$A$1:$C$22,2,FALSE),"")</f>
        <v/>
      </c>
      <c r="F337" t="str">
        <f>IFERROR(VLOOKUP(B337,Signal_detection!$A$1:$C$22,3,FALSE),"")</f>
        <v/>
      </c>
      <c r="G337" t="s">
        <v>0</v>
      </c>
    </row>
    <row r="338" spans="1:7" x14ac:dyDescent="0.3">
      <c r="A338" s="5">
        <v>15297829</v>
      </c>
      <c r="B338" t="s">
        <v>1740</v>
      </c>
      <c r="C338" t="s">
        <v>1740</v>
      </c>
      <c r="D338" t="s">
        <v>2494</v>
      </c>
      <c r="E338" t="str">
        <f>IFERROR(VLOOKUP(B338,Signal_detection!$A$1:$C$22,2,FALSE),"")</f>
        <v/>
      </c>
      <c r="F338" t="str">
        <f>IFERROR(VLOOKUP(B338,Signal_detection!$A$1:$C$22,3,FALSE),"")</f>
        <v/>
      </c>
      <c r="G338" t="s">
        <v>0</v>
      </c>
    </row>
    <row r="339" spans="1:7" x14ac:dyDescent="0.3">
      <c r="A339" s="5">
        <v>15313340</v>
      </c>
      <c r="B339" t="s">
        <v>650</v>
      </c>
      <c r="C339" t="s">
        <v>2510</v>
      </c>
      <c r="D339" t="s">
        <v>2510</v>
      </c>
      <c r="E339" t="str">
        <f>IFERROR(VLOOKUP(B339,Signal_detection!$A$1:$C$22,2,FALSE),"")</f>
        <v/>
      </c>
      <c r="F339" t="str">
        <f>IFERROR(VLOOKUP(B339,Signal_detection!$A$1:$C$22,3,FALSE),"")</f>
        <v/>
      </c>
      <c r="G339" t="s">
        <v>0</v>
      </c>
    </row>
    <row r="340" spans="1:7" x14ac:dyDescent="0.3">
      <c r="A340" s="5">
        <v>15314232</v>
      </c>
      <c r="B340" t="s">
        <v>159</v>
      </c>
      <c r="C340" t="s">
        <v>159</v>
      </c>
      <c r="D340" t="s">
        <v>2499</v>
      </c>
      <c r="E340" t="str">
        <f>IFERROR(VLOOKUP(B340,Signal_detection!$A$1:$C$22,2,FALSE),"")</f>
        <v>Possible</v>
      </c>
      <c r="F340" t="str">
        <f>IFERROR(VLOOKUP(B340,Signal_detection!$A$1:$C$22,3,FALSE),"")</f>
        <v>Non-serious ADR</v>
      </c>
      <c r="G340" t="s">
        <v>125</v>
      </c>
    </row>
    <row r="341" spans="1:7" x14ac:dyDescent="0.3">
      <c r="A341" s="5">
        <v>15321909</v>
      </c>
      <c r="B341" t="s">
        <v>1246</v>
      </c>
      <c r="C341" t="s">
        <v>2510</v>
      </c>
      <c r="D341" t="s">
        <v>2510</v>
      </c>
      <c r="E341" t="str">
        <f>IFERROR(VLOOKUP(B341,Signal_detection!$A$1:$C$22,2,FALSE),"")</f>
        <v/>
      </c>
      <c r="F341" t="str">
        <f>IFERROR(VLOOKUP(B341,Signal_detection!$A$1:$C$22,3,FALSE),"")</f>
        <v/>
      </c>
      <c r="G341" t="s">
        <v>0</v>
      </c>
    </row>
    <row r="342" spans="1:7" x14ac:dyDescent="0.3">
      <c r="A342" s="5">
        <v>15342725</v>
      </c>
      <c r="B342" t="s">
        <v>378</v>
      </c>
      <c r="C342" t="s">
        <v>378</v>
      </c>
      <c r="D342" t="s">
        <v>2503</v>
      </c>
      <c r="E342" t="str">
        <f>IFERROR(VLOOKUP(B342,Signal_detection!$A$1:$C$22,2,FALSE),"")</f>
        <v>Probable</v>
      </c>
      <c r="F342" t="str">
        <f>IFERROR(VLOOKUP(B342,Signal_detection!$A$1:$C$22,3,FALSE),"")</f>
        <v>Neurological signal</v>
      </c>
      <c r="G342" t="s">
        <v>0</v>
      </c>
    </row>
    <row r="343" spans="1:7" x14ac:dyDescent="0.3">
      <c r="A343" s="5">
        <v>15344364</v>
      </c>
      <c r="B343" t="s">
        <v>1305</v>
      </c>
      <c r="C343" t="s">
        <v>2510</v>
      </c>
      <c r="D343" t="s">
        <v>2510</v>
      </c>
      <c r="E343" t="str">
        <f>IFERROR(VLOOKUP(B343,Signal_detection!$A$1:$C$22,2,FALSE),"")</f>
        <v/>
      </c>
      <c r="F343" t="str">
        <f>IFERROR(VLOOKUP(B343,Signal_detection!$A$1:$C$22,3,FALSE),"")</f>
        <v/>
      </c>
      <c r="G343" t="s">
        <v>0</v>
      </c>
    </row>
    <row r="344" spans="1:7" x14ac:dyDescent="0.3">
      <c r="A344" s="5">
        <v>15344551</v>
      </c>
      <c r="B344" t="s">
        <v>159</v>
      </c>
      <c r="C344" t="s">
        <v>159</v>
      </c>
      <c r="D344" t="s">
        <v>2499</v>
      </c>
      <c r="E344" t="str">
        <f>IFERROR(VLOOKUP(B344,Signal_detection!$A$1:$C$22,2,FALSE),"")</f>
        <v>Possible</v>
      </c>
      <c r="F344" t="str">
        <f>IFERROR(VLOOKUP(B344,Signal_detection!$A$1:$C$22,3,FALSE),"")</f>
        <v>Non-serious ADR</v>
      </c>
      <c r="G344" t="s">
        <v>125</v>
      </c>
    </row>
    <row r="345" spans="1:7" x14ac:dyDescent="0.3">
      <c r="A345" s="5">
        <v>15354386</v>
      </c>
      <c r="B345" t="s">
        <v>236</v>
      </c>
      <c r="C345" t="s">
        <v>2510</v>
      </c>
      <c r="D345" t="s">
        <v>2510</v>
      </c>
      <c r="E345" t="str">
        <f>IFERROR(VLOOKUP(B345,Signal_detection!$A$1:$C$22,2,FALSE),"")</f>
        <v/>
      </c>
      <c r="F345" t="str">
        <f>IFERROR(VLOOKUP(B345,Signal_detection!$A$1:$C$22,3,FALSE),"")</f>
        <v/>
      </c>
      <c r="G345" t="s">
        <v>0</v>
      </c>
    </row>
    <row r="346" spans="1:7" x14ac:dyDescent="0.3">
      <c r="A346" s="5">
        <v>15368262</v>
      </c>
      <c r="B346" t="s">
        <v>117</v>
      </c>
      <c r="C346" t="s">
        <v>2510</v>
      </c>
      <c r="D346" t="s">
        <v>2510</v>
      </c>
      <c r="E346" t="str">
        <f>IFERROR(VLOOKUP(B346,Signal_detection!$A$1:$C$22,2,FALSE),"")</f>
        <v/>
      </c>
      <c r="F346" t="str">
        <f>IFERROR(VLOOKUP(B346,Signal_detection!$A$1:$C$22,3,FALSE),"")</f>
        <v/>
      </c>
      <c r="G346" t="s">
        <v>0</v>
      </c>
    </row>
    <row r="347" spans="1:7" x14ac:dyDescent="0.3">
      <c r="A347" s="5">
        <v>15386753</v>
      </c>
      <c r="B347" t="s">
        <v>1148</v>
      </c>
      <c r="C347" t="s">
        <v>2510</v>
      </c>
      <c r="D347" t="s">
        <v>2510</v>
      </c>
      <c r="E347" t="str">
        <f>IFERROR(VLOOKUP(B347,Signal_detection!$A$1:$C$22,2,FALSE),"")</f>
        <v/>
      </c>
      <c r="F347" t="str">
        <f>IFERROR(VLOOKUP(B347,Signal_detection!$A$1:$C$22,3,FALSE),"")</f>
        <v/>
      </c>
      <c r="G347" t="s">
        <v>0</v>
      </c>
    </row>
    <row r="348" spans="1:7" x14ac:dyDescent="0.3">
      <c r="A348" s="5">
        <v>15392348</v>
      </c>
      <c r="B348" t="s">
        <v>806</v>
      </c>
      <c r="C348" t="s">
        <v>2510</v>
      </c>
      <c r="D348" t="s">
        <v>2510</v>
      </c>
      <c r="E348" t="str">
        <f>IFERROR(VLOOKUP(B348,Signal_detection!$A$1:$C$22,2,FALSE),"")</f>
        <v/>
      </c>
      <c r="F348" t="str">
        <f>IFERROR(VLOOKUP(B348,Signal_detection!$A$1:$C$22,3,FALSE),"")</f>
        <v/>
      </c>
      <c r="G348" t="s">
        <v>0</v>
      </c>
    </row>
    <row r="349" spans="1:7" x14ac:dyDescent="0.3">
      <c r="A349" s="5">
        <v>15412664</v>
      </c>
      <c r="B349" t="s">
        <v>185</v>
      </c>
      <c r="C349" t="s">
        <v>2510</v>
      </c>
      <c r="D349" t="s">
        <v>2510</v>
      </c>
      <c r="E349" t="str">
        <f>IFERROR(VLOOKUP(B349,Signal_detection!$A$1:$C$22,2,FALSE),"")</f>
        <v/>
      </c>
      <c r="F349" t="str">
        <f>IFERROR(VLOOKUP(B349,Signal_detection!$A$1:$C$22,3,FALSE),"")</f>
        <v/>
      </c>
      <c r="G349" t="s">
        <v>0</v>
      </c>
    </row>
    <row r="350" spans="1:7" x14ac:dyDescent="0.3">
      <c r="A350" s="5">
        <v>15414000</v>
      </c>
      <c r="B350" t="s">
        <v>1236</v>
      </c>
      <c r="C350" t="s">
        <v>2510</v>
      </c>
      <c r="D350" t="s">
        <v>2510</v>
      </c>
      <c r="E350" t="str">
        <f>IFERROR(VLOOKUP(B350,Signal_detection!$A$1:$C$22,2,FALSE),"")</f>
        <v/>
      </c>
      <c r="F350" t="str">
        <f>IFERROR(VLOOKUP(B350,Signal_detection!$A$1:$C$22,3,FALSE),"")</f>
        <v/>
      </c>
      <c r="G350" t="s">
        <v>0</v>
      </c>
    </row>
    <row r="351" spans="1:7" x14ac:dyDescent="0.3">
      <c r="A351" s="5">
        <v>15422200</v>
      </c>
      <c r="B351" t="s">
        <v>295</v>
      </c>
      <c r="C351" t="s">
        <v>2510</v>
      </c>
      <c r="D351" t="s">
        <v>2510</v>
      </c>
      <c r="E351" t="str">
        <f>IFERROR(VLOOKUP(B351,Signal_detection!$A$1:$C$22,2,FALSE),"")</f>
        <v/>
      </c>
      <c r="F351" t="str">
        <f>IFERROR(VLOOKUP(B351,Signal_detection!$A$1:$C$22,3,FALSE),"")</f>
        <v/>
      </c>
      <c r="G351" t="s">
        <v>125</v>
      </c>
    </row>
    <row r="352" spans="1:7" x14ac:dyDescent="0.3">
      <c r="A352" s="5">
        <v>15429083</v>
      </c>
      <c r="B352" t="s">
        <v>315</v>
      </c>
      <c r="C352" t="s">
        <v>2510</v>
      </c>
      <c r="D352" t="s">
        <v>2510</v>
      </c>
      <c r="E352" t="str">
        <f>IFERROR(VLOOKUP(B352,Signal_detection!$A$1:$C$22,2,FALSE),"")</f>
        <v/>
      </c>
      <c r="F352" t="str">
        <f>IFERROR(VLOOKUP(B352,Signal_detection!$A$1:$C$22,3,FALSE),"")</f>
        <v/>
      </c>
      <c r="G352" t="s">
        <v>0</v>
      </c>
    </row>
    <row r="353" spans="1:7" x14ac:dyDescent="0.3">
      <c r="A353" s="5">
        <v>15433337</v>
      </c>
      <c r="B353" t="s">
        <v>50</v>
      </c>
      <c r="C353" t="s">
        <v>50</v>
      </c>
      <c r="D353" t="s">
        <v>2497</v>
      </c>
      <c r="E353" t="str">
        <f>IFERROR(VLOOKUP(B353,Signal_detection!$A$1:$C$22,2,FALSE),"")</f>
        <v/>
      </c>
      <c r="F353" t="str">
        <f>IFERROR(VLOOKUP(B353,Signal_detection!$A$1:$C$22,3,FALSE),"")</f>
        <v/>
      </c>
      <c r="G353" t="s">
        <v>0</v>
      </c>
    </row>
    <row r="354" spans="1:7" x14ac:dyDescent="0.3">
      <c r="A354" s="5">
        <v>15438826</v>
      </c>
      <c r="B354" t="s">
        <v>278</v>
      </c>
      <c r="C354" t="s">
        <v>278</v>
      </c>
      <c r="D354" t="s">
        <v>2500</v>
      </c>
      <c r="E354" t="str">
        <f>IFERROR(VLOOKUP(B354,Signal_detection!$A$1:$C$22,2,FALSE),"")</f>
        <v>Probable</v>
      </c>
      <c r="F354" t="str">
        <f>IFERROR(VLOOKUP(B354,Signal_detection!$A$1:$C$22,3,FALSE),"")</f>
        <v>Hematologic signal</v>
      </c>
      <c r="G354" t="s">
        <v>0</v>
      </c>
    </row>
    <row r="355" spans="1:7" x14ac:dyDescent="0.3">
      <c r="A355" s="5">
        <v>15438839</v>
      </c>
      <c r="B355" t="s">
        <v>192</v>
      </c>
      <c r="C355" t="s">
        <v>192</v>
      </c>
      <c r="D355" t="s">
        <v>2495</v>
      </c>
      <c r="E355" t="str">
        <f>IFERROR(VLOOKUP(B355,Signal_detection!$A$1:$C$22,2,FALSE),"")</f>
        <v>Probable</v>
      </c>
      <c r="F355" t="str">
        <f>IFERROR(VLOOKUP(B355,Signal_detection!$A$1:$C$22,3,FALSE),"")</f>
        <v>Hypersensitivity signal</v>
      </c>
      <c r="G355" t="s">
        <v>125</v>
      </c>
    </row>
    <row r="356" spans="1:7" x14ac:dyDescent="0.3">
      <c r="A356" s="5">
        <v>15449708</v>
      </c>
      <c r="B356" t="s">
        <v>1449</v>
      </c>
      <c r="C356" t="s">
        <v>2510</v>
      </c>
      <c r="D356" t="s">
        <v>2510</v>
      </c>
      <c r="E356" t="str">
        <f>IFERROR(VLOOKUP(B356,Signal_detection!$A$1:$C$22,2,FALSE),"")</f>
        <v/>
      </c>
      <c r="F356" t="str">
        <f>IFERROR(VLOOKUP(B356,Signal_detection!$A$1:$C$22,3,FALSE),"")</f>
        <v/>
      </c>
      <c r="G356" t="s">
        <v>0</v>
      </c>
    </row>
    <row r="357" spans="1:7" x14ac:dyDescent="0.3">
      <c r="A357" s="5">
        <v>15451919</v>
      </c>
      <c r="B357" t="s">
        <v>832</v>
      </c>
      <c r="C357" t="s">
        <v>2510</v>
      </c>
      <c r="D357" t="s">
        <v>2510</v>
      </c>
      <c r="E357" t="str">
        <f>IFERROR(VLOOKUP(B357,Signal_detection!$A$1:$C$22,2,FALSE),"")</f>
        <v/>
      </c>
      <c r="F357" t="str">
        <f>IFERROR(VLOOKUP(B357,Signal_detection!$A$1:$C$22,3,FALSE),"")</f>
        <v/>
      </c>
      <c r="G357" t="s">
        <v>0</v>
      </c>
    </row>
    <row r="358" spans="1:7" x14ac:dyDescent="0.3">
      <c r="A358" s="5">
        <v>15452901</v>
      </c>
      <c r="B358" t="s">
        <v>883</v>
      </c>
      <c r="C358" t="s">
        <v>883</v>
      </c>
      <c r="D358" t="s">
        <v>2509</v>
      </c>
      <c r="E358" t="str">
        <f>IFERROR(VLOOKUP(B358,Signal_detection!$A$1:$C$22,2,FALSE),"")</f>
        <v/>
      </c>
      <c r="F358" t="str">
        <f>IFERROR(VLOOKUP(B358,Signal_detection!$A$1:$C$22,3,FALSE),"")</f>
        <v/>
      </c>
      <c r="G358" t="s">
        <v>0</v>
      </c>
    </row>
    <row r="359" spans="1:7" x14ac:dyDescent="0.3">
      <c r="A359" s="5">
        <v>15457211</v>
      </c>
      <c r="B359" t="s">
        <v>352</v>
      </c>
      <c r="C359" t="s">
        <v>2510</v>
      </c>
      <c r="D359" t="s">
        <v>2510</v>
      </c>
      <c r="E359" t="str">
        <f>IFERROR(VLOOKUP(B359,Signal_detection!$A$1:$C$22,2,FALSE),"")</f>
        <v/>
      </c>
      <c r="F359" t="str">
        <f>IFERROR(VLOOKUP(B359,Signal_detection!$A$1:$C$22,3,FALSE),"")</f>
        <v/>
      </c>
      <c r="G359" t="s">
        <v>0</v>
      </c>
    </row>
    <row r="360" spans="1:7" x14ac:dyDescent="0.3">
      <c r="A360" s="5">
        <v>15461621</v>
      </c>
      <c r="B360" t="s">
        <v>841</v>
      </c>
      <c r="C360" t="s">
        <v>2510</v>
      </c>
      <c r="D360" t="s">
        <v>2510</v>
      </c>
      <c r="E360" t="str">
        <f>IFERROR(VLOOKUP(B360,Signal_detection!$A$1:$C$22,2,FALSE),"")</f>
        <v/>
      </c>
      <c r="F360" t="str">
        <f>IFERROR(VLOOKUP(B360,Signal_detection!$A$1:$C$22,3,FALSE),"")</f>
        <v/>
      </c>
      <c r="G360" t="s">
        <v>0</v>
      </c>
    </row>
    <row r="361" spans="1:7" x14ac:dyDescent="0.3">
      <c r="A361" s="5">
        <v>15470018</v>
      </c>
      <c r="B361" t="s">
        <v>353</v>
      </c>
      <c r="C361" t="s">
        <v>2510</v>
      </c>
      <c r="D361" t="s">
        <v>2510</v>
      </c>
      <c r="E361" t="str">
        <f>IFERROR(VLOOKUP(B361,Signal_detection!$A$1:$C$22,2,FALSE),"")</f>
        <v/>
      </c>
      <c r="F361" t="str">
        <f>IFERROR(VLOOKUP(B361,Signal_detection!$A$1:$C$22,3,FALSE),"")</f>
        <v/>
      </c>
      <c r="G361" t="s">
        <v>0</v>
      </c>
    </row>
    <row r="362" spans="1:7" x14ac:dyDescent="0.3">
      <c r="A362" s="5">
        <v>15479526</v>
      </c>
      <c r="B362" t="s">
        <v>274</v>
      </c>
      <c r="C362" t="s">
        <v>274</v>
      </c>
      <c r="D362" t="s">
        <v>2494</v>
      </c>
      <c r="E362" t="str">
        <f>IFERROR(VLOOKUP(B362,Signal_detection!$A$1:$C$22,2,FALSE),"")</f>
        <v/>
      </c>
      <c r="F362" t="str">
        <f>IFERROR(VLOOKUP(B362,Signal_detection!$A$1:$C$22,3,FALSE),"")</f>
        <v/>
      </c>
      <c r="G362" t="s">
        <v>0</v>
      </c>
    </row>
    <row r="363" spans="1:7" x14ac:dyDescent="0.3">
      <c r="A363" s="5">
        <v>15488576</v>
      </c>
      <c r="B363" t="s">
        <v>1279</v>
      </c>
      <c r="C363" t="s">
        <v>2510</v>
      </c>
      <c r="D363" t="s">
        <v>2510</v>
      </c>
      <c r="E363" t="str">
        <f>IFERROR(VLOOKUP(B363,Signal_detection!$A$1:$C$22,2,FALSE),"")</f>
        <v/>
      </c>
      <c r="F363" t="str">
        <f>IFERROR(VLOOKUP(B363,Signal_detection!$A$1:$C$22,3,FALSE),"")</f>
        <v/>
      </c>
      <c r="G363" t="s">
        <v>0</v>
      </c>
    </row>
    <row r="364" spans="1:7" x14ac:dyDescent="0.3">
      <c r="A364" s="5">
        <v>15508303</v>
      </c>
      <c r="B364" t="s">
        <v>1272</v>
      </c>
      <c r="C364" t="s">
        <v>2510</v>
      </c>
      <c r="D364" t="s">
        <v>2510</v>
      </c>
      <c r="E364" t="str">
        <f>IFERROR(VLOOKUP(B364,Signal_detection!$A$1:$C$22,2,FALSE),"")</f>
        <v/>
      </c>
      <c r="F364" t="str">
        <f>IFERROR(VLOOKUP(B364,Signal_detection!$A$1:$C$22,3,FALSE),"")</f>
        <v/>
      </c>
      <c r="G364" t="s">
        <v>0</v>
      </c>
    </row>
    <row r="365" spans="1:7" x14ac:dyDescent="0.3">
      <c r="A365" s="5">
        <v>15518826</v>
      </c>
      <c r="B365" t="s">
        <v>725</v>
      </c>
      <c r="C365" t="s">
        <v>2510</v>
      </c>
      <c r="D365" t="s">
        <v>2510</v>
      </c>
      <c r="E365" t="str">
        <f>IFERROR(VLOOKUP(B365,Signal_detection!$A$1:$C$22,2,FALSE),"")</f>
        <v/>
      </c>
      <c r="F365" t="str">
        <f>IFERROR(VLOOKUP(B365,Signal_detection!$A$1:$C$22,3,FALSE),"")</f>
        <v/>
      </c>
      <c r="G365" t="s">
        <v>0</v>
      </c>
    </row>
    <row r="366" spans="1:7" x14ac:dyDescent="0.3">
      <c r="A366" s="5">
        <v>15525885</v>
      </c>
      <c r="B366" t="s">
        <v>532</v>
      </c>
      <c r="C366" t="s">
        <v>2510</v>
      </c>
      <c r="D366" t="s">
        <v>2510</v>
      </c>
      <c r="E366" t="str">
        <f>IFERROR(VLOOKUP(B366,Signal_detection!$A$1:$C$22,2,FALSE),"")</f>
        <v/>
      </c>
      <c r="F366" t="str">
        <f>IFERROR(VLOOKUP(B366,Signal_detection!$A$1:$C$22,3,FALSE),"")</f>
        <v/>
      </c>
      <c r="G366" t="s">
        <v>0</v>
      </c>
    </row>
    <row r="367" spans="1:7" x14ac:dyDescent="0.3">
      <c r="A367" s="5">
        <v>15539747</v>
      </c>
      <c r="B367" t="s">
        <v>517</v>
      </c>
      <c r="C367" t="s">
        <v>2510</v>
      </c>
      <c r="D367" t="s">
        <v>2510</v>
      </c>
      <c r="E367" t="str">
        <f>IFERROR(VLOOKUP(B367,Signal_detection!$A$1:$C$22,2,FALSE),"")</f>
        <v/>
      </c>
      <c r="F367" t="str">
        <f>IFERROR(VLOOKUP(B367,Signal_detection!$A$1:$C$22,3,FALSE),"")</f>
        <v/>
      </c>
      <c r="G367" t="s">
        <v>125</v>
      </c>
    </row>
    <row r="368" spans="1:7" x14ac:dyDescent="0.3">
      <c r="A368" s="5">
        <v>15543143</v>
      </c>
      <c r="B368" t="s">
        <v>704</v>
      </c>
      <c r="C368" t="s">
        <v>2510</v>
      </c>
      <c r="D368" t="s">
        <v>2510</v>
      </c>
      <c r="E368" t="str">
        <f>IFERROR(VLOOKUP(B368,Signal_detection!$A$1:$C$22,2,FALSE),"")</f>
        <v/>
      </c>
      <c r="F368" t="str">
        <f>IFERROR(VLOOKUP(B368,Signal_detection!$A$1:$C$22,3,FALSE),"")</f>
        <v/>
      </c>
      <c r="G368" t="s">
        <v>125</v>
      </c>
    </row>
    <row r="369" spans="1:7" x14ac:dyDescent="0.3">
      <c r="A369" s="5">
        <v>15548175</v>
      </c>
      <c r="B369" t="s">
        <v>792</v>
      </c>
      <c r="C369" t="s">
        <v>2510</v>
      </c>
      <c r="D369" t="s">
        <v>2510</v>
      </c>
      <c r="E369" t="str">
        <f>IFERROR(VLOOKUP(B369,Signal_detection!$A$1:$C$22,2,FALSE),"")</f>
        <v/>
      </c>
      <c r="F369" t="str">
        <f>IFERROR(VLOOKUP(B369,Signal_detection!$A$1:$C$22,3,FALSE),"")</f>
        <v/>
      </c>
      <c r="G369" t="s">
        <v>0</v>
      </c>
    </row>
    <row r="370" spans="1:7" x14ac:dyDescent="0.3">
      <c r="A370" s="5">
        <v>15549465</v>
      </c>
      <c r="B370" t="s">
        <v>192</v>
      </c>
      <c r="C370" t="s">
        <v>192</v>
      </c>
      <c r="D370" t="s">
        <v>2495</v>
      </c>
      <c r="E370" t="str">
        <f>IFERROR(VLOOKUP(B370,Signal_detection!$A$1:$C$22,2,FALSE),"")</f>
        <v>Probable</v>
      </c>
      <c r="F370" t="str">
        <f>IFERROR(VLOOKUP(B370,Signal_detection!$A$1:$C$22,3,FALSE),"")</f>
        <v>Hypersensitivity signal</v>
      </c>
      <c r="G370" t="s">
        <v>125</v>
      </c>
    </row>
    <row r="371" spans="1:7" x14ac:dyDescent="0.3">
      <c r="A371" s="5">
        <v>15551245</v>
      </c>
      <c r="B371" t="s">
        <v>1159</v>
      </c>
      <c r="C371" t="s">
        <v>2510</v>
      </c>
      <c r="D371" t="s">
        <v>2510</v>
      </c>
      <c r="E371" t="str">
        <f>IFERROR(VLOOKUP(B371,Signal_detection!$A$1:$C$22,2,FALSE),"")</f>
        <v/>
      </c>
      <c r="F371" t="str">
        <f>IFERROR(VLOOKUP(B371,Signal_detection!$A$1:$C$22,3,FALSE),"")</f>
        <v/>
      </c>
      <c r="G371" t="s">
        <v>0</v>
      </c>
    </row>
    <row r="372" spans="1:7" x14ac:dyDescent="0.3">
      <c r="A372" s="5">
        <v>15551355</v>
      </c>
      <c r="B372" t="s">
        <v>733</v>
      </c>
      <c r="C372" t="s">
        <v>2510</v>
      </c>
      <c r="D372" t="s">
        <v>2510</v>
      </c>
      <c r="E372" t="str">
        <f>IFERROR(VLOOKUP(B372,Signal_detection!$A$1:$C$22,2,FALSE),"")</f>
        <v/>
      </c>
      <c r="F372" t="str">
        <f>IFERROR(VLOOKUP(B372,Signal_detection!$A$1:$C$22,3,FALSE),"")</f>
        <v/>
      </c>
      <c r="G372" t="s">
        <v>0</v>
      </c>
    </row>
    <row r="373" spans="1:7" x14ac:dyDescent="0.3">
      <c r="A373" s="5">
        <v>15551360</v>
      </c>
      <c r="B373" t="s">
        <v>541</v>
      </c>
      <c r="C373" t="s">
        <v>2510</v>
      </c>
      <c r="D373" t="s">
        <v>2510</v>
      </c>
      <c r="E373" t="str">
        <f>IFERROR(VLOOKUP(B373,Signal_detection!$A$1:$C$22,2,FALSE),"")</f>
        <v/>
      </c>
      <c r="F373" t="str">
        <f>IFERROR(VLOOKUP(B373,Signal_detection!$A$1:$C$22,3,FALSE),"")</f>
        <v/>
      </c>
      <c r="G373" t="s">
        <v>0</v>
      </c>
    </row>
    <row r="374" spans="1:7" x14ac:dyDescent="0.3">
      <c r="A374" s="5">
        <v>15554028</v>
      </c>
      <c r="B374" t="s">
        <v>1208</v>
      </c>
      <c r="C374" t="s">
        <v>2510</v>
      </c>
      <c r="D374" t="s">
        <v>2510</v>
      </c>
      <c r="E374" t="str">
        <f>IFERROR(VLOOKUP(B374,Signal_detection!$A$1:$C$22,2,FALSE),"")</f>
        <v/>
      </c>
      <c r="F374" t="str">
        <f>IFERROR(VLOOKUP(B374,Signal_detection!$A$1:$C$22,3,FALSE),"")</f>
        <v/>
      </c>
      <c r="G374" t="s">
        <v>0</v>
      </c>
    </row>
    <row r="375" spans="1:7" x14ac:dyDescent="0.3">
      <c r="A375" s="5">
        <v>15558764</v>
      </c>
      <c r="B375" t="s">
        <v>666</v>
      </c>
      <c r="C375" t="s">
        <v>2510</v>
      </c>
      <c r="D375" t="s">
        <v>2510</v>
      </c>
      <c r="E375" t="str">
        <f>IFERROR(VLOOKUP(B375,Signal_detection!$A$1:$C$22,2,FALSE),"")</f>
        <v/>
      </c>
      <c r="F375" t="str">
        <f>IFERROR(VLOOKUP(B375,Signal_detection!$A$1:$C$22,3,FALSE),"")</f>
        <v/>
      </c>
      <c r="G375" t="s">
        <v>125</v>
      </c>
    </row>
    <row r="376" spans="1:7" x14ac:dyDescent="0.3">
      <c r="A376" s="5">
        <v>15568922</v>
      </c>
      <c r="B376" t="s">
        <v>244</v>
      </c>
      <c r="C376" t="s">
        <v>244</v>
      </c>
      <c r="D376" t="s">
        <v>2497</v>
      </c>
      <c r="E376" t="str">
        <f>IFERROR(VLOOKUP(B376,Signal_detection!$A$1:$C$22,2,FALSE),"")</f>
        <v>Possible</v>
      </c>
      <c r="F376" t="str">
        <f>IFERROR(VLOOKUP(B376,Signal_detection!$A$1:$C$22,3,FALSE),"")</f>
        <v>General ADR</v>
      </c>
      <c r="G376" t="s">
        <v>0</v>
      </c>
    </row>
    <row r="377" spans="1:7" x14ac:dyDescent="0.3">
      <c r="A377" s="5">
        <v>15570052</v>
      </c>
      <c r="B377" t="s">
        <v>1395</v>
      </c>
      <c r="C377" t="s">
        <v>2510</v>
      </c>
      <c r="D377" t="s">
        <v>2510</v>
      </c>
      <c r="E377" t="str">
        <f>IFERROR(VLOOKUP(B377,Signal_detection!$A$1:$C$22,2,FALSE),"")</f>
        <v/>
      </c>
      <c r="F377" t="str">
        <f>IFERROR(VLOOKUP(B377,Signal_detection!$A$1:$C$22,3,FALSE),"")</f>
        <v/>
      </c>
      <c r="G377" t="s">
        <v>125</v>
      </c>
    </row>
    <row r="378" spans="1:7" x14ac:dyDescent="0.3">
      <c r="A378" s="5">
        <v>15571430</v>
      </c>
      <c r="B378" t="s">
        <v>1517</v>
      </c>
      <c r="C378" t="s">
        <v>2510</v>
      </c>
      <c r="D378" t="s">
        <v>2510</v>
      </c>
      <c r="E378" t="str">
        <f>IFERROR(VLOOKUP(B378,Signal_detection!$A$1:$C$22,2,FALSE),"")</f>
        <v/>
      </c>
      <c r="F378" t="str">
        <f>IFERROR(VLOOKUP(B378,Signal_detection!$A$1:$C$22,3,FALSE),"")</f>
        <v/>
      </c>
      <c r="G378" t="s">
        <v>0</v>
      </c>
    </row>
    <row r="379" spans="1:7" x14ac:dyDescent="0.3">
      <c r="A379" s="5">
        <v>15592437</v>
      </c>
      <c r="B379" t="s">
        <v>1701</v>
      </c>
      <c r="C379" t="s">
        <v>2510</v>
      </c>
      <c r="D379" t="s">
        <v>2510</v>
      </c>
      <c r="E379" t="str">
        <f>IFERROR(VLOOKUP(B379,Signal_detection!$A$1:$C$22,2,FALSE),"")</f>
        <v/>
      </c>
      <c r="F379" t="str">
        <f>IFERROR(VLOOKUP(B379,Signal_detection!$A$1:$C$22,3,FALSE),"")</f>
        <v/>
      </c>
      <c r="G379" t="s">
        <v>125</v>
      </c>
    </row>
    <row r="380" spans="1:7" x14ac:dyDescent="0.3">
      <c r="A380" s="5">
        <v>15602381</v>
      </c>
      <c r="B380" t="s">
        <v>351</v>
      </c>
      <c r="C380" t="s">
        <v>2510</v>
      </c>
      <c r="D380" t="s">
        <v>2510</v>
      </c>
      <c r="E380" t="str">
        <f>IFERROR(VLOOKUP(B380,Signal_detection!$A$1:$C$22,2,FALSE),"")</f>
        <v/>
      </c>
      <c r="F380" t="str">
        <f>IFERROR(VLOOKUP(B380,Signal_detection!$A$1:$C$22,3,FALSE),"")</f>
        <v/>
      </c>
      <c r="G380" t="s">
        <v>0</v>
      </c>
    </row>
    <row r="381" spans="1:7" x14ac:dyDescent="0.3">
      <c r="A381" s="5">
        <v>15603902</v>
      </c>
      <c r="B381" t="s">
        <v>408</v>
      </c>
      <c r="C381" t="s">
        <v>2510</v>
      </c>
      <c r="D381" t="s">
        <v>2510</v>
      </c>
      <c r="E381" t="str">
        <f>IFERROR(VLOOKUP(B381,Signal_detection!$A$1:$C$22,2,FALSE),"")</f>
        <v/>
      </c>
      <c r="F381" t="str">
        <f>IFERROR(VLOOKUP(B381,Signal_detection!$A$1:$C$22,3,FALSE),"")</f>
        <v/>
      </c>
      <c r="G381" t="s">
        <v>0</v>
      </c>
    </row>
    <row r="382" spans="1:7" x14ac:dyDescent="0.3">
      <c r="A382" s="5">
        <v>15607756</v>
      </c>
      <c r="B382" t="s">
        <v>1420</v>
      </c>
      <c r="C382" t="s">
        <v>2510</v>
      </c>
      <c r="D382" t="s">
        <v>2510</v>
      </c>
      <c r="E382" t="str">
        <f>IFERROR(VLOOKUP(B382,Signal_detection!$A$1:$C$22,2,FALSE),"")</f>
        <v/>
      </c>
      <c r="F382" t="str">
        <f>IFERROR(VLOOKUP(B382,Signal_detection!$A$1:$C$22,3,FALSE),"")</f>
        <v/>
      </c>
      <c r="G382" t="s">
        <v>0</v>
      </c>
    </row>
    <row r="383" spans="1:7" x14ac:dyDescent="0.3">
      <c r="A383" s="5">
        <v>15616559</v>
      </c>
      <c r="B383" t="s">
        <v>895</v>
      </c>
      <c r="C383" t="s">
        <v>2510</v>
      </c>
      <c r="D383" t="s">
        <v>2510</v>
      </c>
      <c r="E383" t="str">
        <f>IFERROR(VLOOKUP(B383,Signal_detection!$A$1:$C$22,2,FALSE),"")</f>
        <v/>
      </c>
      <c r="F383" t="str">
        <f>IFERROR(VLOOKUP(B383,Signal_detection!$A$1:$C$22,3,FALSE),"")</f>
        <v/>
      </c>
      <c r="G383" t="s">
        <v>0</v>
      </c>
    </row>
    <row r="384" spans="1:7" x14ac:dyDescent="0.3">
      <c r="A384" s="5">
        <v>15618397</v>
      </c>
      <c r="B384" t="s">
        <v>1065</v>
      </c>
      <c r="C384" t="s">
        <v>2510</v>
      </c>
      <c r="D384" t="s">
        <v>2510</v>
      </c>
      <c r="E384" t="str">
        <f>IFERROR(VLOOKUP(B384,Signal_detection!$A$1:$C$22,2,FALSE),"")</f>
        <v/>
      </c>
      <c r="F384" t="str">
        <f>IFERROR(VLOOKUP(B384,Signal_detection!$A$1:$C$22,3,FALSE),"")</f>
        <v/>
      </c>
      <c r="G384" t="s">
        <v>0</v>
      </c>
    </row>
    <row r="385" spans="1:7" x14ac:dyDescent="0.3">
      <c r="A385" s="5">
        <v>15624870</v>
      </c>
      <c r="B385" t="s">
        <v>608</v>
      </c>
      <c r="C385" t="s">
        <v>608</v>
      </c>
      <c r="D385" t="s">
        <v>2504</v>
      </c>
      <c r="E385" t="str">
        <f>IFERROR(VLOOKUP(B385,Signal_detection!$A$1:$C$22,2,FALSE),"")</f>
        <v>Probable</v>
      </c>
      <c r="F385" t="str">
        <f>IFERROR(VLOOKUP(B385,Signal_detection!$A$1:$C$22,3,FALSE),"")</f>
        <v>Renal safety signal</v>
      </c>
      <c r="G385" t="s">
        <v>0</v>
      </c>
    </row>
    <row r="386" spans="1:7" x14ac:dyDescent="0.3">
      <c r="A386" s="5">
        <v>15628821</v>
      </c>
      <c r="B386" t="s">
        <v>1362</v>
      </c>
      <c r="C386" t="s">
        <v>2510</v>
      </c>
      <c r="D386" t="s">
        <v>2510</v>
      </c>
      <c r="E386" t="str">
        <f>IFERROR(VLOOKUP(B386,Signal_detection!$A$1:$C$22,2,FALSE),"")</f>
        <v/>
      </c>
      <c r="F386" t="str">
        <f>IFERROR(VLOOKUP(B386,Signal_detection!$A$1:$C$22,3,FALSE),"")</f>
        <v/>
      </c>
      <c r="G386" t="s">
        <v>0</v>
      </c>
    </row>
    <row r="387" spans="1:7" x14ac:dyDescent="0.3">
      <c r="A387" s="5">
        <v>15629113</v>
      </c>
      <c r="B387" t="s">
        <v>802</v>
      </c>
      <c r="C387" t="s">
        <v>2510</v>
      </c>
      <c r="D387" t="s">
        <v>2510</v>
      </c>
      <c r="E387" t="str">
        <f>IFERROR(VLOOKUP(B387,Signal_detection!$A$1:$C$22,2,FALSE),"")</f>
        <v/>
      </c>
      <c r="F387" t="str">
        <f>IFERROR(VLOOKUP(B387,Signal_detection!$A$1:$C$22,3,FALSE),"")</f>
        <v/>
      </c>
      <c r="G387" t="s">
        <v>0</v>
      </c>
    </row>
    <row r="388" spans="1:7" x14ac:dyDescent="0.3">
      <c r="A388" s="5">
        <v>15638379</v>
      </c>
      <c r="B388" t="s">
        <v>1065</v>
      </c>
      <c r="C388" t="s">
        <v>2510</v>
      </c>
      <c r="D388" t="s">
        <v>2510</v>
      </c>
      <c r="E388" t="str">
        <f>IFERROR(VLOOKUP(B388,Signal_detection!$A$1:$C$22,2,FALSE),"")</f>
        <v/>
      </c>
      <c r="F388" t="str">
        <f>IFERROR(VLOOKUP(B388,Signal_detection!$A$1:$C$22,3,FALSE),"")</f>
        <v/>
      </c>
      <c r="G388" t="s">
        <v>0</v>
      </c>
    </row>
    <row r="389" spans="1:7" x14ac:dyDescent="0.3">
      <c r="A389" s="5">
        <v>15640868</v>
      </c>
      <c r="B389" t="s">
        <v>165</v>
      </c>
      <c r="C389" t="s">
        <v>165</v>
      </c>
      <c r="D389" t="s">
        <v>2496</v>
      </c>
      <c r="E389" t="str">
        <f>IFERROR(VLOOKUP(B389,Signal_detection!$A$1:$C$22,2,FALSE),"")</f>
        <v/>
      </c>
      <c r="F389" t="str">
        <f>IFERROR(VLOOKUP(B389,Signal_detection!$A$1:$C$22,3,FALSE),"")</f>
        <v/>
      </c>
      <c r="G389" t="s">
        <v>0</v>
      </c>
    </row>
    <row r="390" spans="1:7" x14ac:dyDescent="0.3">
      <c r="A390" s="5">
        <v>15640880</v>
      </c>
      <c r="B390" t="s">
        <v>839</v>
      </c>
      <c r="C390" t="s">
        <v>2510</v>
      </c>
      <c r="D390" t="s">
        <v>2510</v>
      </c>
      <c r="E390" t="str">
        <f>IFERROR(VLOOKUP(B390,Signal_detection!$A$1:$C$22,2,FALSE),"")</f>
        <v/>
      </c>
      <c r="F390" t="str">
        <f>IFERROR(VLOOKUP(B390,Signal_detection!$A$1:$C$22,3,FALSE),"")</f>
        <v/>
      </c>
      <c r="G390" t="s">
        <v>0</v>
      </c>
    </row>
    <row r="391" spans="1:7" x14ac:dyDescent="0.3">
      <c r="A391" s="5">
        <v>15645178</v>
      </c>
      <c r="B391" t="s">
        <v>309</v>
      </c>
      <c r="C391" t="s">
        <v>2510</v>
      </c>
      <c r="D391" t="s">
        <v>2510</v>
      </c>
      <c r="E391" t="str">
        <f>IFERROR(VLOOKUP(B391,Signal_detection!$A$1:$C$22,2,FALSE),"")</f>
        <v/>
      </c>
      <c r="F391" t="str">
        <f>IFERROR(VLOOKUP(B391,Signal_detection!$A$1:$C$22,3,FALSE),"")</f>
        <v/>
      </c>
      <c r="G391" t="s">
        <v>125</v>
      </c>
    </row>
    <row r="392" spans="1:7" x14ac:dyDescent="0.3">
      <c r="A392" s="5">
        <v>15645948</v>
      </c>
      <c r="B392" t="s">
        <v>138</v>
      </c>
      <c r="C392" t="s">
        <v>2510</v>
      </c>
      <c r="D392" t="s">
        <v>2510</v>
      </c>
      <c r="E392" t="str">
        <f>IFERROR(VLOOKUP(B392,Signal_detection!$A$1:$C$22,2,FALSE),"")</f>
        <v/>
      </c>
      <c r="F392" t="str">
        <f>IFERROR(VLOOKUP(B392,Signal_detection!$A$1:$C$22,3,FALSE),"")</f>
        <v/>
      </c>
      <c r="G392" t="s">
        <v>0</v>
      </c>
    </row>
    <row r="393" spans="1:7" x14ac:dyDescent="0.3">
      <c r="A393" s="5">
        <v>15650763</v>
      </c>
      <c r="B393" t="s">
        <v>859</v>
      </c>
      <c r="C393" t="s">
        <v>2510</v>
      </c>
      <c r="D393" t="s">
        <v>2510</v>
      </c>
      <c r="E393" t="str">
        <f>IFERROR(VLOOKUP(B393,Signal_detection!$A$1:$C$22,2,FALSE),"")</f>
        <v/>
      </c>
      <c r="F393" t="str">
        <f>IFERROR(VLOOKUP(B393,Signal_detection!$A$1:$C$22,3,FALSE),"")</f>
        <v/>
      </c>
      <c r="G393" t="s">
        <v>0</v>
      </c>
    </row>
    <row r="394" spans="1:7" x14ac:dyDescent="0.3">
      <c r="A394" s="5">
        <v>15658249</v>
      </c>
      <c r="B394" t="s">
        <v>192</v>
      </c>
      <c r="C394" t="s">
        <v>192</v>
      </c>
      <c r="D394" t="s">
        <v>2495</v>
      </c>
      <c r="E394" t="str">
        <f>IFERROR(VLOOKUP(B394,Signal_detection!$A$1:$C$22,2,FALSE),"")</f>
        <v>Probable</v>
      </c>
      <c r="F394" t="str">
        <f>IFERROR(VLOOKUP(B394,Signal_detection!$A$1:$C$22,3,FALSE),"")</f>
        <v>Hypersensitivity signal</v>
      </c>
      <c r="G394" t="s">
        <v>125</v>
      </c>
    </row>
    <row r="395" spans="1:7" x14ac:dyDescent="0.3">
      <c r="A395" s="5">
        <v>15658367</v>
      </c>
      <c r="B395" t="s">
        <v>799</v>
      </c>
      <c r="C395" t="s">
        <v>2510</v>
      </c>
      <c r="D395" t="s">
        <v>2510</v>
      </c>
      <c r="E395" t="str">
        <f>IFERROR(VLOOKUP(B395,Signal_detection!$A$1:$C$22,2,FALSE),"")</f>
        <v/>
      </c>
      <c r="F395" t="str">
        <f>IFERROR(VLOOKUP(B395,Signal_detection!$A$1:$C$22,3,FALSE),"")</f>
        <v/>
      </c>
      <c r="G395" t="s">
        <v>0</v>
      </c>
    </row>
    <row r="396" spans="1:7" x14ac:dyDescent="0.3">
      <c r="A396" s="5">
        <v>15660838</v>
      </c>
      <c r="B396" t="s">
        <v>126</v>
      </c>
      <c r="C396" t="s">
        <v>126</v>
      </c>
      <c r="D396" t="s">
        <v>2497</v>
      </c>
      <c r="E396" t="str">
        <f>IFERROR(VLOOKUP(B396,Signal_detection!$A$1:$C$22,2,FALSE),"")</f>
        <v>Unlikely</v>
      </c>
      <c r="F396" t="str">
        <f>IFERROR(VLOOKUP(B396,Signal_detection!$A$1:$C$22,3,FALSE),"")</f>
        <v>Non-ADR</v>
      </c>
      <c r="G396" t="s">
        <v>0</v>
      </c>
    </row>
    <row r="397" spans="1:7" x14ac:dyDescent="0.3">
      <c r="A397" s="5">
        <v>15661639</v>
      </c>
      <c r="B397" t="s">
        <v>180</v>
      </c>
      <c r="C397" t="s">
        <v>2510</v>
      </c>
      <c r="D397" t="s">
        <v>2510</v>
      </c>
      <c r="E397" t="str">
        <f>IFERROR(VLOOKUP(B397,Signal_detection!$A$1:$C$22,2,FALSE),"")</f>
        <v/>
      </c>
      <c r="F397" t="str">
        <f>IFERROR(VLOOKUP(B397,Signal_detection!$A$1:$C$22,3,FALSE),"")</f>
        <v/>
      </c>
      <c r="G397" t="s">
        <v>0</v>
      </c>
    </row>
    <row r="398" spans="1:7" x14ac:dyDescent="0.3">
      <c r="A398" s="5">
        <v>15665819</v>
      </c>
      <c r="B398" t="s">
        <v>895</v>
      </c>
      <c r="C398" t="s">
        <v>2510</v>
      </c>
      <c r="D398" t="s">
        <v>2510</v>
      </c>
      <c r="E398" t="str">
        <f>IFERROR(VLOOKUP(B398,Signal_detection!$A$1:$C$22,2,FALSE),"")</f>
        <v/>
      </c>
      <c r="F398" t="str">
        <f>IFERROR(VLOOKUP(B398,Signal_detection!$A$1:$C$22,3,FALSE),"")</f>
        <v/>
      </c>
      <c r="G398" t="s">
        <v>0</v>
      </c>
    </row>
    <row r="399" spans="1:7" x14ac:dyDescent="0.3">
      <c r="A399" s="5">
        <v>15666201</v>
      </c>
      <c r="B399" t="s">
        <v>404</v>
      </c>
      <c r="C399" t="s">
        <v>404</v>
      </c>
      <c r="D399" t="s">
        <v>2495</v>
      </c>
      <c r="E399" t="str">
        <f>IFERROR(VLOOKUP(B399,Signal_detection!$A$1:$C$22,2,FALSE),"")</f>
        <v>Probable</v>
      </c>
      <c r="F399" t="str">
        <f>IFERROR(VLOOKUP(B399,Signal_detection!$A$1:$C$22,3,FALSE),"")</f>
        <v>Immune signal</v>
      </c>
      <c r="G399" t="s">
        <v>0</v>
      </c>
    </row>
    <row r="400" spans="1:7" x14ac:dyDescent="0.3">
      <c r="A400" s="5">
        <v>15668157</v>
      </c>
      <c r="B400" t="s">
        <v>1449</v>
      </c>
      <c r="C400" t="s">
        <v>2510</v>
      </c>
      <c r="D400" t="s">
        <v>2510</v>
      </c>
      <c r="E400" t="str">
        <f>IFERROR(VLOOKUP(B400,Signal_detection!$A$1:$C$22,2,FALSE),"")</f>
        <v/>
      </c>
      <c r="F400" t="str">
        <f>IFERROR(VLOOKUP(B400,Signal_detection!$A$1:$C$22,3,FALSE),"")</f>
        <v/>
      </c>
      <c r="G400" t="s">
        <v>0</v>
      </c>
    </row>
    <row r="401" spans="1:7" x14ac:dyDescent="0.3">
      <c r="A401" s="5">
        <v>15668764</v>
      </c>
      <c r="B401" t="s">
        <v>608</v>
      </c>
      <c r="C401" t="s">
        <v>608</v>
      </c>
      <c r="D401" t="s">
        <v>2504</v>
      </c>
      <c r="E401" t="str">
        <f>IFERROR(VLOOKUP(B401,Signal_detection!$A$1:$C$22,2,FALSE),"")</f>
        <v>Probable</v>
      </c>
      <c r="F401" t="str">
        <f>IFERROR(VLOOKUP(B401,Signal_detection!$A$1:$C$22,3,FALSE),"")</f>
        <v>Renal safety signal</v>
      </c>
      <c r="G401" t="s">
        <v>0</v>
      </c>
    </row>
    <row r="402" spans="1:7" x14ac:dyDescent="0.3">
      <c r="A402" s="5">
        <v>15669593</v>
      </c>
      <c r="B402" t="s">
        <v>404</v>
      </c>
      <c r="C402" t="s">
        <v>404</v>
      </c>
      <c r="D402" t="s">
        <v>2495</v>
      </c>
      <c r="E402" t="str">
        <f>IFERROR(VLOOKUP(B402,Signal_detection!$A$1:$C$22,2,FALSE),"")</f>
        <v>Probable</v>
      </c>
      <c r="F402" t="str">
        <f>IFERROR(VLOOKUP(B402,Signal_detection!$A$1:$C$22,3,FALSE),"")</f>
        <v>Immune signal</v>
      </c>
      <c r="G402" t="s">
        <v>0</v>
      </c>
    </row>
    <row r="403" spans="1:7" x14ac:dyDescent="0.3">
      <c r="A403" s="5">
        <v>15670292</v>
      </c>
      <c r="B403" t="s">
        <v>404</v>
      </c>
      <c r="C403" t="s">
        <v>404</v>
      </c>
      <c r="D403" t="s">
        <v>2495</v>
      </c>
      <c r="E403" t="str">
        <f>IFERROR(VLOOKUP(B403,Signal_detection!$A$1:$C$22,2,FALSE),"")</f>
        <v>Probable</v>
      </c>
      <c r="F403" t="str">
        <f>IFERROR(VLOOKUP(B403,Signal_detection!$A$1:$C$22,3,FALSE),"")</f>
        <v>Immune signal</v>
      </c>
      <c r="G403" t="s">
        <v>0</v>
      </c>
    </row>
    <row r="404" spans="1:7" x14ac:dyDescent="0.3">
      <c r="A404" s="5">
        <v>15670550</v>
      </c>
      <c r="B404" t="s">
        <v>404</v>
      </c>
      <c r="C404" t="s">
        <v>404</v>
      </c>
      <c r="D404" t="s">
        <v>2495</v>
      </c>
      <c r="E404" t="str">
        <f>IFERROR(VLOOKUP(B404,Signal_detection!$A$1:$C$22,2,FALSE),"")</f>
        <v>Probable</v>
      </c>
      <c r="F404" t="str">
        <f>IFERROR(VLOOKUP(B404,Signal_detection!$A$1:$C$22,3,FALSE),"")</f>
        <v>Immune signal</v>
      </c>
      <c r="G404" t="s">
        <v>0</v>
      </c>
    </row>
    <row r="405" spans="1:7" x14ac:dyDescent="0.3">
      <c r="A405" s="5">
        <v>15670987</v>
      </c>
      <c r="B405" t="s">
        <v>1164</v>
      </c>
      <c r="C405" t="s">
        <v>2510</v>
      </c>
      <c r="D405" t="s">
        <v>2510</v>
      </c>
      <c r="E405" t="str">
        <f>IFERROR(VLOOKUP(B405,Signal_detection!$A$1:$C$22,2,FALSE),"")</f>
        <v/>
      </c>
      <c r="F405" t="str">
        <f>IFERROR(VLOOKUP(B405,Signal_detection!$A$1:$C$22,3,FALSE),"")</f>
        <v/>
      </c>
      <c r="G405" t="s">
        <v>125</v>
      </c>
    </row>
    <row r="406" spans="1:7" x14ac:dyDescent="0.3">
      <c r="A406" s="5">
        <v>15672297</v>
      </c>
      <c r="B406" t="s">
        <v>404</v>
      </c>
      <c r="C406" t="s">
        <v>404</v>
      </c>
      <c r="D406" t="s">
        <v>2495</v>
      </c>
      <c r="E406" t="str">
        <f>IFERROR(VLOOKUP(B406,Signal_detection!$A$1:$C$22,2,FALSE),"")</f>
        <v>Probable</v>
      </c>
      <c r="F406" t="str">
        <f>IFERROR(VLOOKUP(B406,Signal_detection!$A$1:$C$22,3,FALSE),"")</f>
        <v>Immune signal</v>
      </c>
      <c r="G406" t="s">
        <v>0</v>
      </c>
    </row>
    <row r="407" spans="1:7" x14ac:dyDescent="0.3">
      <c r="A407" s="5">
        <v>15673037</v>
      </c>
      <c r="B407" t="s">
        <v>404</v>
      </c>
      <c r="C407" t="s">
        <v>404</v>
      </c>
      <c r="D407" t="s">
        <v>2495</v>
      </c>
      <c r="E407" t="str">
        <f>IFERROR(VLOOKUP(B407,Signal_detection!$A$1:$C$22,2,FALSE),"")</f>
        <v>Probable</v>
      </c>
      <c r="F407" t="str">
        <f>IFERROR(VLOOKUP(B407,Signal_detection!$A$1:$C$22,3,FALSE),"")</f>
        <v>Immune signal</v>
      </c>
      <c r="G407" t="s">
        <v>0</v>
      </c>
    </row>
    <row r="408" spans="1:7" x14ac:dyDescent="0.3">
      <c r="A408" s="5">
        <v>15673239</v>
      </c>
      <c r="B408" t="s">
        <v>404</v>
      </c>
      <c r="C408" t="s">
        <v>404</v>
      </c>
      <c r="D408" t="s">
        <v>2495</v>
      </c>
      <c r="E408" t="str">
        <f>IFERROR(VLOOKUP(B408,Signal_detection!$A$1:$C$22,2,FALSE),"")</f>
        <v>Probable</v>
      </c>
      <c r="F408" t="str">
        <f>IFERROR(VLOOKUP(B408,Signal_detection!$A$1:$C$22,3,FALSE),"")</f>
        <v>Immune signal</v>
      </c>
      <c r="G408" t="s">
        <v>0</v>
      </c>
    </row>
    <row r="409" spans="1:7" x14ac:dyDescent="0.3">
      <c r="A409" s="5">
        <v>15673599</v>
      </c>
      <c r="B409" t="s">
        <v>404</v>
      </c>
      <c r="C409" t="s">
        <v>404</v>
      </c>
      <c r="D409" t="s">
        <v>2495</v>
      </c>
      <c r="E409" t="str">
        <f>IFERROR(VLOOKUP(B409,Signal_detection!$A$1:$C$22,2,FALSE),"")</f>
        <v>Probable</v>
      </c>
      <c r="F409" t="str">
        <f>IFERROR(VLOOKUP(B409,Signal_detection!$A$1:$C$22,3,FALSE),"")</f>
        <v>Immune signal</v>
      </c>
      <c r="G409" t="s">
        <v>0</v>
      </c>
    </row>
    <row r="410" spans="1:7" x14ac:dyDescent="0.3">
      <c r="A410" s="5">
        <v>15676161</v>
      </c>
      <c r="B410" t="s">
        <v>404</v>
      </c>
      <c r="C410" t="s">
        <v>404</v>
      </c>
      <c r="D410" t="s">
        <v>2495</v>
      </c>
      <c r="E410" t="str">
        <f>IFERROR(VLOOKUP(B410,Signal_detection!$A$1:$C$22,2,FALSE),"")</f>
        <v>Probable</v>
      </c>
      <c r="F410" t="str">
        <f>IFERROR(VLOOKUP(B410,Signal_detection!$A$1:$C$22,3,FALSE),"")</f>
        <v>Immune signal</v>
      </c>
      <c r="G410" t="s">
        <v>0</v>
      </c>
    </row>
    <row r="411" spans="1:7" x14ac:dyDescent="0.3">
      <c r="A411" s="5">
        <v>15677477</v>
      </c>
      <c r="B411" t="s">
        <v>404</v>
      </c>
      <c r="C411" t="s">
        <v>404</v>
      </c>
      <c r="D411" t="s">
        <v>2495</v>
      </c>
      <c r="E411" t="str">
        <f>IFERROR(VLOOKUP(B411,Signal_detection!$A$1:$C$22,2,FALSE),"")</f>
        <v>Probable</v>
      </c>
      <c r="F411" t="str">
        <f>IFERROR(VLOOKUP(B411,Signal_detection!$A$1:$C$22,3,FALSE),"")</f>
        <v>Immune signal</v>
      </c>
      <c r="G411" t="s">
        <v>0</v>
      </c>
    </row>
    <row r="412" spans="1:7" x14ac:dyDescent="0.3">
      <c r="A412" s="5">
        <v>15677636</v>
      </c>
      <c r="B412" t="s">
        <v>404</v>
      </c>
      <c r="C412" t="s">
        <v>404</v>
      </c>
      <c r="D412" t="s">
        <v>2495</v>
      </c>
      <c r="E412" t="str">
        <f>IFERROR(VLOOKUP(B412,Signal_detection!$A$1:$C$22,2,FALSE),"")</f>
        <v>Probable</v>
      </c>
      <c r="F412" t="str">
        <f>IFERROR(VLOOKUP(B412,Signal_detection!$A$1:$C$22,3,FALSE),"")</f>
        <v>Immune signal</v>
      </c>
      <c r="G412" t="s">
        <v>0</v>
      </c>
    </row>
    <row r="413" spans="1:7" x14ac:dyDescent="0.3">
      <c r="A413" s="5">
        <v>15677859</v>
      </c>
      <c r="B413" t="s">
        <v>404</v>
      </c>
      <c r="C413" t="s">
        <v>404</v>
      </c>
      <c r="D413" t="s">
        <v>2495</v>
      </c>
      <c r="E413" t="str">
        <f>IFERROR(VLOOKUP(B413,Signal_detection!$A$1:$C$22,2,FALSE),"")</f>
        <v>Probable</v>
      </c>
      <c r="F413" t="str">
        <f>IFERROR(VLOOKUP(B413,Signal_detection!$A$1:$C$22,3,FALSE),"")</f>
        <v>Immune signal</v>
      </c>
      <c r="G413" t="s">
        <v>0</v>
      </c>
    </row>
    <row r="414" spans="1:7" x14ac:dyDescent="0.3">
      <c r="A414" s="5">
        <v>15682088</v>
      </c>
      <c r="B414" t="s">
        <v>404</v>
      </c>
      <c r="C414" t="s">
        <v>404</v>
      </c>
      <c r="D414" t="s">
        <v>2495</v>
      </c>
      <c r="E414" t="str">
        <f>IFERROR(VLOOKUP(B414,Signal_detection!$A$1:$C$22,2,FALSE),"")</f>
        <v>Probable</v>
      </c>
      <c r="F414" t="str">
        <f>IFERROR(VLOOKUP(B414,Signal_detection!$A$1:$C$22,3,FALSE),"")</f>
        <v>Immune signal</v>
      </c>
      <c r="G414" t="s">
        <v>0</v>
      </c>
    </row>
    <row r="415" spans="1:7" x14ac:dyDescent="0.3">
      <c r="A415" s="5">
        <v>15682468</v>
      </c>
      <c r="B415" t="s">
        <v>1915</v>
      </c>
      <c r="C415" t="s">
        <v>2510</v>
      </c>
      <c r="D415" t="s">
        <v>2510</v>
      </c>
      <c r="E415" t="str">
        <f>IFERROR(VLOOKUP(B415,Signal_detection!$A$1:$C$22,2,FALSE),"")</f>
        <v/>
      </c>
      <c r="F415" t="str">
        <f>IFERROR(VLOOKUP(B415,Signal_detection!$A$1:$C$22,3,FALSE),"")</f>
        <v/>
      </c>
      <c r="G415" t="s">
        <v>0</v>
      </c>
    </row>
    <row r="416" spans="1:7" x14ac:dyDescent="0.3">
      <c r="A416" s="5">
        <v>15689997</v>
      </c>
      <c r="B416" t="s">
        <v>206</v>
      </c>
      <c r="C416" t="s">
        <v>206</v>
      </c>
      <c r="D416" t="s">
        <v>2496</v>
      </c>
      <c r="E416" t="str">
        <f>IFERROR(VLOOKUP(B416,Signal_detection!$A$1:$C$22,2,FALSE),"")</f>
        <v>Probable</v>
      </c>
      <c r="F416" t="str">
        <f>IFERROR(VLOOKUP(B416,Signal_detection!$A$1:$C$22,3,FALSE),"")</f>
        <v>Infection signal</v>
      </c>
      <c r="G416" t="s">
        <v>0</v>
      </c>
    </row>
    <row r="417" spans="1:7" x14ac:dyDescent="0.3">
      <c r="A417" s="5">
        <v>15699485</v>
      </c>
      <c r="B417" t="s">
        <v>1918</v>
      </c>
      <c r="C417" t="s">
        <v>2510</v>
      </c>
      <c r="D417" t="s">
        <v>2510</v>
      </c>
      <c r="E417" t="str">
        <f>IFERROR(VLOOKUP(B417,Signal_detection!$A$1:$C$22,2,FALSE),"")</f>
        <v/>
      </c>
      <c r="F417" t="str">
        <f>IFERROR(VLOOKUP(B417,Signal_detection!$A$1:$C$22,3,FALSE),"")</f>
        <v/>
      </c>
      <c r="G417" t="s">
        <v>0</v>
      </c>
    </row>
    <row r="418" spans="1:7" x14ac:dyDescent="0.3">
      <c r="A418" s="5">
        <v>15699805</v>
      </c>
      <c r="B418" t="s">
        <v>385</v>
      </c>
      <c r="C418" t="s">
        <v>2510</v>
      </c>
      <c r="D418" t="s">
        <v>2510</v>
      </c>
      <c r="E418" t="str">
        <f>IFERROR(VLOOKUP(B418,Signal_detection!$A$1:$C$22,2,FALSE),"")</f>
        <v/>
      </c>
      <c r="F418" t="str">
        <f>IFERROR(VLOOKUP(B418,Signal_detection!$A$1:$C$22,3,FALSE),"")</f>
        <v/>
      </c>
      <c r="G418" t="s">
        <v>0</v>
      </c>
    </row>
    <row r="419" spans="1:7" x14ac:dyDescent="0.3">
      <c r="A419" s="5">
        <v>15701530</v>
      </c>
      <c r="B419" t="s">
        <v>310</v>
      </c>
      <c r="C419" t="s">
        <v>2510</v>
      </c>
      <c r="D419" t="s">
        <v>2510</v>
      </c>
      <c r="E419" t="str">
        <f>IFERROR(VLOOKUP(B419,Signal_detection!$A$1:$C$22,2,FALSE),"")</f>
        <v/>
      </c>
      <c r="F419" t="str">
        <f>IFERROR(VLOOKUP(B419,Signal_detection!$A$1:$C$22,3,FALSE),"")</f>
        <v/>
      </c>
      <c r="G419" t="s">
        <v>0</v>
      </c>
    </row>
    <row r="420" spans="1:7" x14ac:dyDescent="0.3">
      <c r="A420" s="5">
        <v>15704106</v>
      </c>
      <c r="B420" t="s">
        <v>1065</v>
      </c>
      <c r="C420" t="s">
        <v>2510</v>
      </c>
      <c r="D420" t="s">
        <v>2510</v>
      </c>
      <c r="E420" t="str">
        <f>IFERROR(VLOOKUP(B420,Signal_detection!$A$1:$C$22,2,FALSE),"")</f>
        <v/>
      </c>
      <c r="F420" t="str">
        <f>IFERROR(VLOOKUP(B420,Signal_detection!$A$1:$C$22,3,FALSE),"")</f>
        <v/>
      </c>
      <c r="G420" t="s">
        <v>0</v>
      </c>
    </row>
    <row r="421" spans="1:7" x14ac:dyDescent="0.3">
      <c r="A421" s="5">
        <v>15715924</v>
      </c>
      <c r="B421" t="s">
        <v>192</v>
      </c>
      <c r="C421" t="s">
        <v>192</v>
      </c>
      <c r="D421" t="s">
        <v>2495</v>
      </c>
      <c r="E421" t="str">
        <f>IFERROR(VLOOKUP(B421,Signal_detection!$A$1:$C$22,2,FALSE),"")</f>
        <v>Probable</v>
      </c>
      <c r="F421" t="str">
        <f>IFERROR(VLOOKUP(B421,Signal_detection!$A$1:$C$22,3,FALSE),"")</f>
        <v>Hypersensitivity signal</v>
      </c>
      <c r="G421" t="s">
        <v>125</v>
      </c>
    </row>
    <row r="422" spans="1:7" x14ac:dyDescent="0.3">
      <c r="A422" s="5">
        <v>15720142</v>
      </c>
      <c r="B422" t="s">
        <v>838</v>
      </c>
      <c r="C422" t="s">
        <v>838</v>
      </c>
      <c r="D422" t="s">
        <v>2495</v>
      </c>
      <c r="E422" t="str">
        <f>IFERROR(VLOOKUP(B422,Signal_detection!$A$1:$C$22,2,FALSE),"")</f>
        <v>Probable</v>
      </c>
      <c r="F422" t="str">
        <f>IFERROR(VLOOKUP(B422,Signal_detection!$A$1:$C$22,3,FALSE),"")</f>
        <v>Serious allergy signal</v>
      </c>
      <c r="G422" t="s">
        <v>0</v>
      </c>
    </row>
    <row r="423" spans="1:7" x14ac:dyDescent="0.3">
      <c r="A423" s="5">
        <v>15720325</v>
      </c>
      <c r="B423" t="s">
        <v>717</v>
      </c>
      <c r="C423" t="s">
        <v>717</v>
      </c>
      <c r="D423" t="s">
        <v>2505</v>
      </c>
      <c r="E423" t="str">
        <f>IFERROR(VLOOKUP(B423,Signal_detection!$A$1:$C$22,2,FALSE),"")</f>
        <v/>
      </c>
      <c r="F423" t="str">
        <f>IFERROR(VLOOKUP(B423,Signal_detection!$A$1:$C$22,3,FALSE),"")</f>
        <v/>
      </c>
      <c r="G423" t="s">
        <v>125</v>
      </c>
    </row>
    <row r="424" spans="1:7" x14ac:dyDescent="0.3">
      <c r="A424" s="5">
        <v>15720575</v>
      </c>
      <c r="B424" t="s">
        <v>432</v>
      </c>
      <c r="C424" t="s">
        <v>2510</v>
      </c>
      <c r="D424" t="s">
        <v>2510</v>
      </c>
      <c r="E424" t="str">
        <f>IFERROR(VLOOKUP(B424,Signal_detection!$A$1:$C$22,2,FALSE),"")</f>
        <v/>
      </c>
      <c r="F424" t="str">
        <f>IFERROR(VLOOKUP(B424,Signal_detection!$A$1:$C$22,3,FALSE),"")</f>
        <v/>
      </c>
      <c r="G424" t="s">
        <v>0</v>
      </c>
    </row>
    <row r="425" spans="1:7" x14ac:dyDescent="0.3">
      <c r="A425" s="5">
        <v>15721459</v>
      </c>
      <c r="B425" t="s">
        <v>217</v>
      </c>
      <c r="C425" t="s">
        <v>217</v>
      </c>
      <c r="D425" t="s">
        <v>2502</v>
      </c>
      <c r="E425" t="str">
        <f>IFERROR(VLOOKUP(B425,Signal_detection!$A$1:$C$22,2,FALSE),"")</f>
        <v>Unlikely</v>
      </c>
      <c r="F425" t="str">
        <f>IFERROR(VLOOKUP(B425,Signal_detection!$A$1:$C$22,3,FALSE),"")</f>
        <v>Administrative</v>
      </c>
      <c r="G425" t="s">
        <v>125</v>
      </c>
    </row>
    <row r="426" spans="1:7" x14ac:dyDescent="0.3">
      <c r="A426" s="5">
        <v>15722016</v>
      </c>
      <c r="B426" t="s">
        <v>1396</v>
      </c>
      <c r="C426" t="s">
        <v>2510</v>
      </c>
      <c r="D426" t="s">
        <v>2510</v>
      </c>
      <c r="E426" t="str">
        <f>IFERROR(VLOOKUP(B426,Signal_detection!$A$1:$C$22,2,FALSE),"")</f>
        <v/>
      </c>
      <c r="F426" t="str">
        <f>IFERROR(VLOOKUP(B426,Signal_detection!$A$1:$C$22,3,FALSE),"")</f>
        <v/>
      </c>
      <c r="G426" t="s">
        <v>0</v>
      </c>
    </row>
    <row r="427" spans="1:7" x14ac:dyDescent="0.3">
      <c r="A427" s="5">
        <v>15725768</v>
      </c>
      <c r="B427" t="s">
        <v>265</v>
      </c>
      <c r="C427" t="s">
        <v>2510</v>
      </c>
      <c r="D427" t="s">
        <v>2510</v>
      </c>
      <c r="E427" t="str">
        <f>IFERROR(VLOOKUP(B427,Signal_detection!$A$1:$C$22,2,FALSE),"")</f>
        <v/>
      </c>
      <c r="F427" t="str">
        <f>IFERROR(VLOOKUP(B427,Signal_detection!$A$1:$C$22,3,FALSE),"")</f>
        <v/>
      </c>
      <c r="G427" t="s">
        <v>125</v>
      </c>
    </row>
    <row r="428" spans="1:7" x14ac:dyDescent="0.3">
      <c r="A428" s="5">
        <v>15727787</v>
      </c>
      <c r="B428" t="s">
        <v>1335</v>
      </c>
      <c r="C428" t="s">
        <v>2510</v>
      </c>
      <c r="D428" t="s">
        <v>2510</v>
      </c>
      <c r="E428" t="str">
        <f>IFERROR(VLOOKUP(B428,Signal_detection!$A$1:$C$22,2,FALSE),"")</f>
        <v/>
      </c>
      <c r="F428" t="str">
        <f>IFERROR(VLOOKUP(B428,Signal_detection!$A$1:$C$22,3,FALSE),"")</f>
        <v/>
      </c>
      <c r="G428" t="s">
        <v>125</v>
      </c>
    </row>
    <row r="429" spans="1:7" x14ac:dyDescent="0.3">
      <c r="A429" s="5">
        <v>15729805</v>
      </c>
      <c r="B429" t="s">
        <v>152</v>
      </c>
      <c r="C429" t="s">
        <v>2510</v>
      </c>
      <c r="D429" t="s">
        <v>2510</v>
      </c>
      <c r="E429" t="str">
        <f>IFERROR(VLOOKUP(B429,Signal_detection!$A$1:$C$22,2,FALSE),"")</f>
        <v/>
      </c>
      <c r="F429" t="str">
        <f>IFERROR(VLOOKUP(B429,Signal_detection!$A$1:$C$22,3,FALSE),"")</f>
        <v/>
      </c>
      <c r="G429" t="s">
        <v>0</v>
      </c>
    </row>
    <row r="430" spans="1:7" x14ac:dyDescent="0.3">
      <c r="A430" s="5">
        <v>15731772</v>
      </c>
      <c r="B430" t="s">
        <v>428</v>
      </c>
      <c r="C430" t="s">
        <v>2510</v>
      </c>
      <c r="D430" t="s">
        <v>2510</v>
      </c>
      <c r="E430" t="str">
        <f>IFERROR(VLOOKUP(B430,Signal_detection!$A$1:$C$22,2,FALSE),"")</f>
        <v/>
      </c>
      <c r="F430" t="str">
        <f>IFERROR(VLOOKUP(B430,Signal_detection!$A$1:$C$22,3,FALSE),"")</f>
        <v/>
      </c>
      <c r="G430" t="s">
        <v>125</v>
      </c>
    </row>
    <row r="431" spans="1:7" x14ac:dyDescent="0.3">
      <c r="A431" s="5">
        <v>15744128</v>
      </c>
      <c r="B431" t="s">
        <v>1225</v>
      </c>
      <c r="C431" t="s">
        <v>2510</v>
      </c>
      <c r="D431" t="s">
        <v>2510</v>
      </c>
      <c r="E431" t="str">
        <f>IFERROR(VLOOKUP(B431,Signal_detection!$A$1:$C$22,2,FALSE),"")</f>
        <v/>
      </c>
      <c r="F431" t="str">
        <f>IFERROR(VLOOKUP(B431,Signal_detection!$A$1:$C$22,3,FALSE),"")</f>
        <v/>
      </c>
      <c r="G431" t="s">
        <v>0</v>
      </c>
    </row>
    <row r="432" spans="1:7" x14ac:dyDescent="0.3">
      <c r="A432" s="5">
        <v>15755375</v>
      </c>
      <c r="B432" t="s">
        <v>1166</v>
      </c>
      <c r="C432" t="s">
        <v>2510</v>
      </c>
      <c r="D432" t="s">
        <v>2510</v>
      </c>
      <c r="E432" t="str">
        <f>IFERROR(VLOOKUP(B432,Signal_detection!$A$1:$C$22,2,FALSE),"")</f>
        <v/>
      </c>
      <c r="F432" t="str">
        <f>IFERROR(VLOOKUP(B432,Signal_detection!$A$1:$C$22,3,FALSE),"")</f>
        <v/>
      </c>
      <c r="G432" t="s">
        <v>0</v>
      </c>
    </row>
    <row r="433" spans="1:7" x14ac:dyDescent="0.3">
      <c r="A433" s="5">
        <v>15759396</v>
      </c>
      <c r="B433" t="s">
        <v>263</v>
      </c>
      <c r="C433" t="s">
        <v>2510</v>
      </c>
      <c r="D433" t="s">
        <v>2510</v>
      </c>
      <c r="E433" t="str">
        <f>IFERROR(VLOOKUP(B433,Signal_detection!$A$1:$C$22,2,FALSE),"")</f>
        <v/>
      </c>
      <c r="F433" t="str">
        <f>IFERROR(VLOOKUP(B433,Signal_detection!$A$1:$C$22,3,FALSE),"")</f>
        <v/>
      </c>
      <c r="G433" t="s">
        <v>0</v>
      </c>
    </row>
    <row r="434" spans="1:7" x14ac:dyDescent="0.3">
      <c r="A434" s="5">
        <v>15775465</v>
      </c>
      <c r="B434" t="s">
        <v>278</v>
      </c>
      <c r="C434" t="s">
        <v>278</v>
      </c>
      <c r="D434" t="s">
        <v>2500</v>
      </c>
      <c r="E434" t="str">
        <f>IFERROR(VLOOKUP(B434,Signal_detection!$A$1:$C$22,2,FALSE),"")</f>
        <v>Probable</v>
      </c>
      <c r="F434" t="str">
        <f>IFERROR(VLOOKUP(B434,Signal_detection!$A$1:$C$22,3,FALSE),"")</f>
        <v>Hematologic signal</v>
      </c>
      <c r="G434" t="s">
        <v>0</v>
      </c>
    </row>
    <row r="435" spans="1:7" x14ac:dyDescent="0.3">
      <c r="A435" s="5">
        <v>15775831</v>
      </c>
      <c r="B435" t="s">
        <v>1503</v>
      </c>
      <c r="C435" t="s">
        <v>2510</v>
      </c>
      <c r="D435" t="s">
        <v>2510</v>
      </c>
      <c r="E435" t="str">
        <f>IFERROR(VLOOKUP(B435,Signal_detection!$A$1:$C$22,2,FALSE),"")</f>
        <v/>
      </c>
      <c r="F435" t="str">
        <f>IFERROR(VLOOKUP(B435,Signal_detection!$A$1:$C$22,3,FALSE),"")</f>
        <v/>
      </c>
      <c r="G435" t="s">
        <v>0</v>
      </c>
    </row>
    <row r="436" spans="1:7" x14ac:dyDescent="0.3">
      <c r="A436" s="5">
        <v>15780523</v>
      </c>
      <c r="B436" t="s">
        <v>1402</v>
      </c>
      <c r="C436" t="s">
        <v>2510</v>
      </c>
      <c r="D436" t="s">
        <v>2510</v>
      </c>
      <c r="E436" t="str">
        <f>IFERROR(VLOOKUP(B436,Signal_detection!$A$1:$C$22,2,FALSE),"")</f>
        <v/>
      </c>
      <c r="F436" t="str">
        <f>IFERROR(VLOOKUP(B436,Signal_detection!$A$1:$C$22,3,FALSE),"")</f>
        <v/>
      </c>
      <c r="G436" t="s">
        <v>0</v>
      </c>
    </row>
    <row r="437" spans="1:7" x14ac:dyDescent="0.3">
      <c r="A437" s="5">
        <v>15795533</v>
      </c>
      <c r="B437" t="s">
        <v>274</v>
      </c>
      <c r="C437" t="s">
        <v>274</v>
      </c>
      <c r="D437" t="s">
        <v>2494</v>
      </c>
      <c r="E437" t="str">
        <f>IFERROR(VLOOKUP(B437,Signal_detection!$A$1:$C$22,2,FALSE),"")</f>
        <v/>
      </c>
      <c r="F437" t="str">
        <f>IFERROR(VLOOKUP(B437,Signal_detection!$A$1:$C$22,3,FALSE),"")</f>
        <v/>
      </c>
      <c r="G437" t="s">
        <v>0</v>
      </c>
    </row>
    <row r="438" spans="1:7" x14ac:dyDescent="0.3">
      <c r="A438" s="5">
        <v>15795572</v>
      </c>
      <c r="B438" t="s">
        <v>274</v>
      </c>
      <c r="C438" t="s">
        <v>274</v>
      </c>
      <c r="D438" t="s">
        <v>2494</v>
      </c>
      <c r="E438" t="str">
        <f>IFERROR(VLOOKUP(B438,Signal_detection!$A$1:$C$22,2,FALSE),"")</f>
        <v/>
      </c>
      <c r="F438" t="str">
        <f>IFERROR(VLOOKUP(B438,Signal_detection!$A$1:$C$22,3,FALSE),"")</f>
        <v/>
      </c>
      <c r="G438" t="s">
        <v>0</v>
      </c>
    </row>
    <row r="439" spans="1:7" x14ac:dyDescent="0.3">
      <c r="A439" s="5">
        <v>15795573</v>
      </c>
      <c r="B439" t="s">
        <v>274</v>
      </c>
      <c r="C439" t="s">
        <v>274</v>
      </c>
      <c r="D439" t="s">
        <v>2494</v>
      </c>
      <c r="E439" t="str">
        <f>IFERROR(VLOOKUP(B439,Signal_detection!$A$1:$C$22,2,FALSE),"")</f>
        <v/>
      </c>
      <c r="F439" t="str">
        <f>IFERROR(VLOOKUP(B439,Signal_detection!$A$1:$C$22,3,FALSE),"")</f>
        <v/>
      </c>
      <c r="G439" t="s">
        <v>0</v>
      </c>
    </row>
    <row r="440" spans="1:7" x14ac:dyDescent="0.3">
      <c r="A440" s="5">
        <v>15798039</v>
      </c>
      <c r="B440" t="s">
        <v>274</v>
      </c>
      <c r="C440" t="s">
        <v>274</v>
      </c>
      <c r="D440" t="s">
        <v>2494</v>
      </c>
      <c r="E440" t="str">
        <f>IFERROR(VLOOKUP(B440,Signal_detection!$A$1:$C$22,2,FALSE),"")</f>
        <v/>
      </c>
      <c r="F440" t="str">
        <f>IFERROR(VLOOKUP(B440,Signal_detection!$A$1:$C$22,3,FALSE),"")</f>
        <v/>
      </c>
      <c r="G440" t="s">
        <v>0</v>
      </c>
    </row>
    <row r="441" spans="1:7" x14ac:dyDescent="0.3">
      <c r="A441" s="5">
        <v>15807742</v>
      </c>
      <c r="B441" t="s">
        <v>308</v>
      </c>
      <c r="C441" t="s">
        <v>308</v>
      </c>
      <c r="D441" t="s">
        <v>2497</v>
      </c>
      <c r="E441" t="str">
        <f>IFERROR(VLOOKUP(B441,Signal_detection!$A$1:$C$22,2,FALSE),"")</f>
        <v/>
      </c>
      <c r="F441" t="str">
        <f>IFERROR(VLOOKUP(B441,Signal_detection!$A$1:$C$22,3,FALSE),"")</f>
        <v/>
      </c>
      <c r="G441" t="s">
        <v>0</v>
      </c>
    </row>
    <row r="442" spans="1:7" x14ac:dyDescent="0.3">
      <c r="A442" s="5">
        <v>15808832</v>
      </c>
      <c r="B442" t="s">
        <v>666</v>
      </c>
      <c r="C442" t="s">
        <v>2510</v>
      </c>
      <c r="D442" t="s">
        <v>2510</v>
      </c>
      <c r="E442" t="str">
        <f>IFERROR(VLOOKUP(B442,Signal_detection!$A$1:$C$22,2,FALSE),"")</f>
        <v/>
      </c>
      <c r="F442" t="str">
        <f>IFERROR(VLOOKUP(B442,Signal_detection!$A$1:$C$22,3,FALSE),"")</f>
        <v/>
      </c>
      <c r="G442" t="s">
        <v>0</v>
      </c>
    </row>
    <row r="443" spans="1:7" x14ac:dyDescent="0.3">
      <c r="A443" s="5">
        <v>15841513</v>
      </c>
      <c r="B443" t="s">
        <v>244</v>
      </c>
      <c r="C443" t="s">
        <v>244</v>
      </c>
      <c r="D443" t="s">
        <v>2497</v>
      </c>
      <c r="E443" t="str">
        <f>IFERROR(VLOOKUP(B443,Signal_detection!$A$1:$C$22,2,FALSE),"")</f>
        <v>Possible</v>
      </c>
      <c r="F443" t="str">
        <f>IFERROR(VLOOKUP(B443,Signal_detection!$A$1:$C$22,3,FALSE),"")</f>
        <v>General ADR</v>
      </c>
      <c r="G443" t="s">
        <v>0</v>
      </c>
    </row>
    <row r="444" spans="1:7" x14ac:dyDescent="0.3">
      <c r="A444" s="5">
        <v>15843192</v>
      </c>
      <c r="B444" t="s">
        <v>1104</v>
      </c>
      <c r="C444" t="s">
        <v>1104</v>
      </c>
      <c r="D444" t="s">
        <v>2497</v>
      </c>
      <c r="E444" t="str">
        <f>IFERROR(VLOOKUP(B444,Signal_detection!$A$1:$C$22,2,FALSE),"")</f>
        <v>Unlikely</v>
      </c>
      <c r="F444" t="str">
        <f>IFERROR(VLOOKUP(B444,Signal_detection!$A$1:$C$22,3,FALSE),"")</f>
        <v>Non-case</v>
      </c>
      <c r="G444" t="s">
        <v>125</v>
      </c>
    </row>
    <row r="445" spans="1:7" x14ac:dyDescent="0.3">
      <c r="A445" s="5">
        <v>15848330</v>
      </c>
      <c r="B445" t="s">
        <v>470</v>
      </c>
      <c r="C445" t="s">
        <v>2510</v>
      </c>
      <c r="D445" t="s">
        <v>2510</v>
      </c>
      <c r="E445" t="str">
        <f>IFERROR(VLOOKUP(B445,Signal_detection!$A$1:$C$22,2,FALSE),"")</f>
        <v/>
      </c>
      <c r="F445" t="str">
        <f>IFERROR(VLOOKUP(B445,Signal_detection!$A$1:$C$22,3,FALSE),"")</f>
        <v/>
      </c>
      <c r="G445" t="s">
        <v>0</v>
      </c>
    </row>
    <row r="446" spans="1:7" x14ac:dyDescent="0.3">
      <c r="A446" s="5">
        <v>15849046</v>
      </c>
      <c r="B446" t="s">
        <v>1440</v>
      </c>
      <c r="C446" t="s">
        <v>2510</v>
      </c>
      <c r="D446" t="s">
        <v>2510</v>
      </c>
      <c r="E446" t="str">
        <f>IFERROR(VLOOKUP(B446,Signal_detection!$A$1:$C$22,2,FALSE),"")</f>
        <v/>
      </c>
      <c r="F446" t="str">
        <f>IFERROR(VLOOKUP(B446,Signal_detection!$A$1:$C$22,3,FALSE),"")</f>
        <v/>
      </c>
      <c r="G446" t="s">
        <v>0</v>
      </c>
    </row>
    <row r="447" spans="1:7" x14ac:dyDescent="0.3">
      <c r="A447" s="5">
        <v>15852025</v>
      </c>
      <c r="B447" t="s">
        <v>646</v>
      </c>
      <c r="C447" t="s">
        <v>2510</v>
      </c>
      <c r="D447" t="s">
        <v>2510</v>
      </c>
      <c r="E447" t="str">
        <f>IFERROR(VLOOKUP(B447,Signal_detection!$A$1:$C$22,2,FALSE),"")</f>
        <v/>
      </c>
      <c r="F447" t="str">
        <f>IFERROR(VLOOKUP(B447,Signal_detection!$A$1:$C$22,3,FALSE),"")</f>
        <v/>
      </c>
      <c r="G447" t="s">
        <v>125</v>
      </c>
    </row>
    <row r="448" spans="1:7" x14ac:dyDescent="0.3">
      <c r="A448" s="5">
        <v>15855402</v>
      </c>
      <c r="B448" t="s">
        <v>48</v>
      </c>
      <c r="C448" t="s">
        <v>2510</v>
      </c>
      <c r="D448" t="s">
        <v>2510</v>
      </c>
      <c r="E448" t="str">
        <f>IFERROR(VLOOKUP(B448,Signal_detection!$A$1:$C$22,2,FALSE),"")</f>
        <v/>
      </c>
      <c r="F448" t="str">
        <f>IFERROR(VLOOKUP(B448,Signal_detection!$A$1:$C$22,3,FALSE),"")</f>
        <v/>
      </c>
      <c r="G448" t="s">
        <v>0</v>
      </c>
    </row>
    <row r="449" spans="1:7" x14ac:dyDescent="0.3">
      <c r="A449" s="5">
        <v>15866629</v>
      </c>
      <c r="B449" t="s">
        <v>192</v>
      </c>
      <c r="C449" t="s">
        <v>192</v>
      </c>
      <c r="D449" t="s">
        <v>2495</v>
      </c>
      <c r="E449" t="str">
        <f>IFERROR(VLOOKUP(B449,Signal_detection!$A$1:$C$22,2,FALSE),"")</f>
        <v>Probable</v>
      </c>
      <c r="F449" t="str">
        <f>IFERROR(VLOOKUP(B449,Signal_detection!$A$1:$C$22,3,FALSE),"")</f>
        <v>Hypersensitivity signal</v>
      </c>
      <c r="G449" t="s">
        <v>125</v>
      </c>
    </row>
    <row r="450" spans="1:7" x14ac:dyDescent="0.3">
      <c r="A450" s="5">
        <v>15877667</v>
      </c>
      <c r="B450" t="s">
        <v>225</v>
      </c>
      <c r="C450" t="s">
        <v>225</v>
      </c>
      <c r="D450" t="s">
        <v>2500</v>
      </c>
      <c r="E450" t="str">
        <f>IFERROR(VLOOKUP(B450,Signal_detection!$A$1:$C$22,2,FALSE),"")</f>
        <v>Probable</v>
      </c>
      <c r="F450" t="str">
        <f>IFERROR(VLOOKUP(B450,Signal_detection!$A$1:$C$22,3,FALSE),"")</f>
        <v>Hematologic signal</v>
      </c>
      <c r="G450" t="s">
        <v>0</v>
      </c>
    </row>
    <row r="451" spans="1:7" x14ac:dyDescent="0.3">
      <c r="A451" s="5">
        <v>15887405</v>
      </c>
      <c r="B451" t="s">
        <v>713</v>
      </c>
      <c r="C451" t="s">
        <v>2510</v>
      </c>
      <c r="D451" t="s">
        <v>2510</v>
      </c>
      <c r="E451" t="str">
        <f>IFERROR(VLOOKUP(B451,Signal_detection!$A$1:$C$22,2,FALSE),"")</f>
        <v/>
      </c>
      <c r="F451" t="str">
        <f>IFERROR(VLOOKUP(B451,Signal_detection!$A$1:$C$22,3,FALSE),"")</f>
        <v/>
      </c>
      <c r="G451" t="s">
        <v>0</v>
      </c>
    </row>
    <row r="452" spans="1:7" x14ac:dyDescent="0.3">
      <c r="A452" s="5">
        <v>15890514</v>
      </c>
      <c r="B452" t="s">
        <v>1116</v>
      </c>
      <c r="C452" t="s">
        <v>2510</v>
      </c>
      <c r="D452" t="s">
        <v>2510</v>
      </c>
      <c r="E452" t="str">
        <f>IFERROR(VLOOKUP(B452,Signal_detection!$A$1:$C$22,2,FALSE),"")</f>
        <v/>
      </c>
      <c r="F452" t="str">
        <f>IFERROR(VLOOKUP(B452,Signal_detection!$A$1:$C$22,3,FALSE),"")</f>
        <v/>
      </c>
      <c r="G452" t="s">
        <v>0</v>
      </c>
    </row>
    <row r="453" spans="1:7" x14ac:dyDescent="0.3">
      <c r="A453" s="5">
        <v>15894948</v>
      </c>
      <c r="B453" t="s">
        <v>535</v>
      </c>
      <c r="C453" t="s">
        <v>2510</v>
      </c>
      <c r="D453" t="s">
        <v>2510</v>
      </c>
      <c r="E453" t="str">
        <f>IFERROR(VLOOKUP(B453,Signal_detection!$A$1:$C$22,2,FALSE),"")</f>
        <v/>
      </c>
      <c r="F453" t="str">
        <f>IFERROR(VLOOKUP(B453,Signal_detection!$A$1:$C$22,3,FALSE),"")</f>
        <v/>
      </c>
      <c r="G453" t="s">
        <v>0</v>
      </c>
    </row>
    <row r="454" spans="1:7" x14ac:dyDescent="0.3">
      <c r="A454" s="5">
        <v>15906207</v>
      </c>
      <c r="B454" t="s">
        <v>1071</v>
      </c>
      <c r="C454" t="s">
        <v>2510</v>
      </c>
      <c r="D454" t="s">
        <v>2510</v>
      </c>
      <c r="E454" t="str">
        <f>IFERROR(VLOOKUP(B454,Signal_detection!$A$1:$C$22,2,FALSE),"")</f>
        <v/>
      </c>
      <c r="F454" t="str">
        <f>IFERROR(VLOOKUP(B454,Signal_detection!$A$1:$C$22,3,FALSE),"")</f>
        <v/>
      </c>
      <c r="G454" t="s">
        <v>125</v>
      </c>
    </row>
    <row r="455" spans="1:7" x14ac:dyDescent="0.3">
      <c r="A455" s="5">
        <v>15924100</v>
      </c>
      <c r="B455" t="s">
        <v>278</v>
      </c>
      <c r="C455" t="s">
        <v>278</v>
      </c>
      <c r="D455" t="s">
        <v>2500</v>
      </c>
      <c r="E455" t="str">
        <f>IFERROR(VLOOKUP(B455,Signal_detection!$A$1:$C$22,2,FALSE),"")</f>
        <v>Probable</v>
      </c>
      <c r="F455" t="str">
        <f>IFERROR(VLOOKUP(B455,Signal_detection!$A$1:$C$22,3,FALSE),"")</f>
        <v>Hematologic signal</v>
      </c>
      <c r="G455" t="s">
        <v>0</v>
      </c>
    </row>
    <row r="456" spans="1:7" x14ac:dyDescent="0.3">
      <c r="A456" s="5">
        <v>15947858</v>
      </c>
      <c r="B456" t="s">
        <v>332</v>
      </c>
      <c r="C456" t="s">
        <v>332</v>
      </c>
      <c r="D456" t="s">
        <v>2507</v>
      </c>
      <c r="E456" t="str">
        <f>IFERROR(VLOOKUP(B456,Signal_detection!$A$1:$C$22,2,FALSE),"")</f>
        <v>Possible</v>
      </c>
      <c r="F456" t="str">
        <f>IFERROR(VLOOKUP(B456,Signal_detection!$A$1:$C$22,3,FALSE),"")</f>
        <v>GI ADR</v>
      </c>
      <c r="G456" t="s">
        <v>0</v>
      </c>
    </row>
    <row r="457" spans="1:7" x14ac:dyDescent="0.3">
      <c r="A457" s="5">
        <v>15949859</v>
      </c>
      <c r="B457" t="s">
        <v>267</v>
      </c>
      <c r="C457" t="s">
        <v>2510</v>
      </c>
      <c r="D457" t="s">
        <v>2510</v>
      </c>
      <c r="E457" t="str">
        <f>IFERROR(VLOOKUP(B457,Signal_detection!$A$1:$C$22,2,FALSE),"")</f>
        <v/>
      </c>
      <c r="F457" t="str">
        <f>IFERROR(VLOOKUP(B457,Signal_detection!$A$1:$C$22,3,FALSE),"")</f>
        <v/>
      </c>
      <c r="G457" t="s">
        <v>0</v>
      </c>
    </row>
    <row r="458" spans="1:7" x14ac:dyDescent="0.3">
      <c r="A458" s="5">
        <v>15950244</v>
      </c>
      <c r="B458" t="s">
        <v>1518</v>
      </c>
      <c r="C458" t="s">
        <v>2510</v>
      </c>
      <c r="D458" t="s">
        <v>2510</v>
      </c>
      <c r="E458" t="str">
        <f>IFERROR(VLOOKUP(B458,Signal_detection!$A$1:$C$22,2,FALSE),"")</f>
        <v/>
      </c>
      <c r="F458" t="str">
        <f>IFERROR(VLOOKUP(B458,Signal_detection!$A$1:$C$22,3,FALSE),"")</f>
        <v/>
      </c>
      <c r="G458" t="s">
        <v>0</v>
      </c>
    </row>
    <row r="459" spans="1:7" x14ac:dyDescent="0.3">
      <c r="A459" s="5">
        <v>15956653</v>
      </c>
      <c r="B459" t="s">
        <v>1116</v>
      </c>
      <c r="C459" t="s">
        <v>2510</v>
      </c>
      <c r="D459" t="s">
        <v>2510</v>
      </c>
      <c r="E459" t="str">
        <f>IFERROR(VLOOKUP(B459,Signal_detection!$A$1:$C$22,2,FALSE),"")</f>
        <v/>
      </c>
      <c r="F459" t="str">
        <f>IFERROR(VLOOKUP(B459,Signal_detection!$A$1:$C$22,3,FALSE),"")</f>
        <v/>
      </c>
      <c r="G459" t="s">
        <v>0</v>
      </c>
    </row>
    <row r="460" spans="1:7" x14ac:dyDescent="0.3">
      <c r="A460" s="5">
        <v>15959367</v>
      </c>
      <c r="B460" t="s">
        <v>126</v>
      </c>
      <c r="C460" t="s">
        <v>126</v>
      </c>
      <c r="D460" t="s">
        <v>2497</v>
      </c>
      <c r="E460" t="str">
        <f>IFERROR(VLOOKUP(B460,Signal_detection!$A$1:$C$22,2,FALSE),"")</f>
        <v>Unlikely</v>
      </c>
      <c r="F460" t="str">
        <f>IFERROR(VLOOKUP(B460,Signal_detection!$A$1:$C$22,3,FALSE),"")</f>
        <v>Non-ADR</v>
      </c>
      <c r="G460" t="s">
        <v>125</v>
      </c>
    </row>
    <row r="461" spans="1:7" x14ac:dyDescent="0.3">
      <c r="A461" s="5">
        <v>15971246</v>
      </c>
      <c r="B461" t="s">
        <v>913</v>
      </c>
      <c r="C461" t="s">
        <v>2510</v>
      </c>
      <c r="D461" t="s">
        <v>2510</v>
      </c>
      <c r="E461" t="str">
        <f>IFERROR(VLOOKUP(B461,Signal_detection!$A$1:$C$22,2,FALSE),"")</f>
        <v/>
      </c>
      <c r="F461" t="str">
        <f>IFERROR(VLOOKUP(B461,Signal_detection!$A$1:$C$22,3,FALSE),"")</f>
        <v/>
      </c>
      <c r="G461" t="s">
        <v>0</v>
      </c>
    </row>
    <row r="462" spans="1:7" x14ac:dyDescent="0.3">
      <c r="A462" s="5">
        <v>15975194</v>
      </c>
      <c r="B462" t="s">
        <v>278</v>
      </c>
      <c r="C462" t="s">
        <v>278</v>
      </c>
      <c r="D462" t="s">
        <v>2500</v>
      </c>
      <c r="E462" t="str">
        <f>IFERROR(VLOOKUP(B462,Signal_detection!$A$1:$C$22,2,FALSE),"")</f>
        <v>Probable</v>
      </c>
      <c r="F462" t="str">
        <f>IFERROR(VLOOKUP(B462,Signal_detection!$A$1:$C$22,3,FALSE),"")</f>
        <v>Hematologic signal</v>
      </c>
      <c r="G462" t="s">
        <v>0</v>
      </c>
    </row>
    <row r="463" spans="1:7" x14ac:dyDescent="0.3">
      <c r="A463" s="5">
        <v>15976058</v>
      </c>
      <c r="B463" t="s">
        <v>797</v>
      </c>
      <c r="C463" t="s">
        <v>2510</v>
      </c>
      <c r="D463" t="s">
        <v>2510</v>
      </c>
      <c r="E463" t="str">
        <f>IFERROR(VLOOKUP(B463,Signal_detection!$A$1:$C$22,2,FALSE),"")</f>
        <v/>
      </c>
      <c r="F463" t="str">
        <f>IFERROR(VLOOKUP(B463,Signal_detection!$A$1:$C$22,3,FALSE),"")</f>
        <v/>
      </c>
      <c r="G463" t="s">
        <v>0</v>
      </c>
    </row>
    <row r="464" spans="1:7" x14ac:dyDescent="0.3">
      <c r="A464" s="5">
        <v>15982884</v>
      </c>
      <c r="B464" t="s">
        <v>708</v>
      </c>
      <c r="C464" t="s">
        <v>708</v>
      </c>
      <c r="D464" t="s">
        <v>2501</v>
      </c>
      <c r="E464" t="str">
        <f>IFERROR(VLOOKUP(B464,Signal_detection!$A$1:$C$22,2,FALSE),"")</f>
        <v/>
      </c>
      <c r="F464" t="str">
        <f>IFERROR(VLOOKUP(B464,Signal_detection!$A$1:$C$22,3,FALSE),"")</f>
        <v/>
      </c>
      <c r="G464" t="s">
        <v>0</v>
      </c>
    </row>
    <row r="465" spans="1:7" x14ac:dyDescent="0.3">
      <c r="A465" s="5">
        <v>15983611</v>
      </c>
      <c r="B465" t="s">
        <v>244</v>
      </c>
      <c r="C465" t="s">
        <v>244</v>
      </c>
      <c r="D465" t="s">
        <v>2497</v>
      </c>
      <c r="E465" t="str">
        <f>IFERROR(VLOOKUP(B465,Signal_detection!$A$1:$C$22,2,FALSE),"")</f>
        <v>Possible</v>
      </c>
      <c r="F465" t="str">
        <f>IFERROR(VLOOKUP(B465,Signal_detection!$A$1:$C$22,3,FALSE),"")</f>
        <v>General ADR</v>
      </c>
      <c r="G465" t="s">
        <v>0</v>
      </c>
    </row>
    <row r="466" spans="1:7" x14ac:dyDescent="0.3">
      <c r="A466" s="5">
        <v>15988919</v>
      </c>
      <c r="B466" t="s">
        <v>1963</v>
      </c>
      <c r="C466" t="s">
        <v>2510</v>
      </c>
      <c r="D466" t="s">
        <v>2510</v>
      </c>
      <c r="E466" t="str">
        <f>IFERROR(VLOOKUP(B466,Signal_detection!$A$1:$C$22,2,FALSE),"")</f>
        <v/>
      </c>
      <c r="F466" t="str">
        <f>IFERROR(VLOOKUP(B466,Signal_detection!$A$1:$C$22,3,FALSE),"")</f>
        <v/>
      </c>
      <c r="G466" t="s">
        <v>0</v>
      </c>
    </row>
    <row r="467" spans="1:7" x14ac:dyDescent="0.3">
      <c r="A467" s="5">
        <v>15989631</v>
      </c>
      <c r="B467" t="s">
        <v>192</v>
      </c>
      <c r="C467" t="s">
        <v>192</v>
      </c>
      <c r="D467" t="s">
        <v>2495</v>
      </c>
      <c r="E467" t="str">
        <f>IFERROR(VLOOKUP(B467,Signal_detection!$A$1:$C$22,2,FALSE),"")</f>
        <v>Probable</v>
      </c>
      <c r="F467" t="str">
        <f>IFERROR(VLOOKUP(B467,Signal_detection!$A$1:$C$22,3,FALSE),"")</f>
        <v>Hypersensitivity signal</v>
      </c>
      <c r="G467" t="s">
        <v>125</v>
      </c>
    </row>
    <row r="468" spans="1:7" x14ac:dyDescent="0.3">
      <c r="A468" s="5">
        <v>15992814</v>
      </c>
      <c r="B468" t="s">
        <v>838</v>
      </c>
      <c r="C468" t="s">
        <v>838</v>
      </c>
      <c r="D468" t="s">
        <v>2495</v>
      </c>
      <c r="E468" t="str">
        <f>IFERROR(VLOOKUP(B468,Signal_detection!$A$1:$C$22,2,FALSE),"")</f>
        <v>Probable</v>
      </c>
      <c r="F468" t="str">
        <f>IFERROR(VLOOKUP(B468,Signal_detection!$A$1:$C$22,3,FALSE),"")</f>
        <v>Serious allergy signal</v>
      </c>
      <c r="G468" t="s">
        <v>0</v>
      </c>
    </row>
    <row r="469" spans="1:7" x14ac:dyDescent="0.3">
      <c r="A469" s="5">
        <v>15996029</v>
      </c>
      <c r="B469" t="s">
        <v>206</v>
      </c>
      <c r="C469" t="s">
        <v>206</v>
      </c>
      <c r="D469" t="s">
        <v>2496</v>
      </c>
      <c r="E469" t="str">
        <f>IFERROR(VLOOKUP(B469,Signal_detection!$A$1:$C$22,2,FALSE),"")</f>
        <v>Probable</v>
      </c>
      <c r="F469" t="str">
        <f>IFERROR(VLOOKUP(B469,Signal_detection!$A$1:$C$22,3,FALSE),"")</f>
        <v>Infection signal</v>
      </c>
      <c r="G469" t="s">
        <v>0</v>
      </c>
    </row>
    <row r="470" spans="1:7" x14ac:dyDescent="0.3">
      <c r="A470" s="5">
        <v>15999404</v>
      </c>
      <c r="B470" t="s">
        <v>308</v>
      </c>
      <c r="C470" t="s">
        <v>308</v>
      </c>
      <c r="D470" t="s">
        <v>2497</v>
      </c>
      <c r="E470" t="str">
        <f>IFERROR(VLOOKUP(B470,Signal_detection!$A$1:$C$22,2,FALSE),"")</f>
        <v/>
      </c>
      <c r="F470" t="str">
        <f>IFERROR(VLOOKUP(B470,Signal_detection!$A$1:$C$22,3,FALSE),"")</f>
        <v/>
      </c>
      <c r="G470" t="s">
        <v>0</v>
      </c>
    </row>
    <row r="471" spans="1:7" x14ac:dyDescent="0.3">
      <c r="A471" s="5">
        <v>16003956</v>
      </c>
      <c r="B471" t="s">
        <v>11</v>
      </c>
      <c r="C471" t="s">
        <v>2510</v>
      </c>
      <c r="D471" t="s">
        <v>2510</v>
      </c>
      <c r="E471" t="str">
        <f>IFERROR(VLOOKUP(B471,Signal_detection!$A$1:$C$22,2,FALSE),"")</f>
        <v/>
      </c>
      <c r="F471" t="str">
        <f>IFERROR(VLOOKUP(B471,Signal_detection!$A$1:$C$22,3,FALSE),"")</f>
        <v/>
      </c>
      <c r="G471" t="s">
        <v>0</v>
      </c>
    </row>
    <row r="472" spans="1:7" x14ac:dyDescent="0.3">
      <c r="A472" s="5">
        <v>16006913</v>
      </c>
      <c r="B472" t="s">
        <v>464</v>
      </c>
      <c r="C472" t="s">
        <v>2510</v>
      </c>
      <c r="D472" t="s">
        <v>2510</v>
      </c>
      <c r="E472" t="str">
        <f>IFERROR(VLOOKUP(B472,Signal_detection!$A$1:$C$22,2,FALSE),"")</f>
        <v/>
      </c>
      <c r="F472" t="str">
        <f>IFERROR(VLOOKUP(B472,Signal_detection!$A$1:$C$22,3,FALSE),"")</f>
        <v/>
      </c>
      <c r="G472" t="s">
        <v>125</v>
      </c>
    </row>
    <row r="473" spans="1:7" x14ac:dyDescent="0.3">
      <c r="A473" s="5">
        <v>16008561</v>
      </c>
      <c r="B473" t="s">
        <v>50</v>
      </c>
      <c r="C473" t="s">
        <v>50</v>
      </c>
      <c r="D473" t="s">
        <v>2497</v>
      </c>
      <c r="E473" t="str">
        <f>IFERROR(VLOOKUP(B473,Signal_detection!$A$1:$C$22,2,FALSE),"")</f>
        <v/>
      </c>
      <c r="F473" t="str">
        <f>IFERROR(VLOOKUP(B473,Signal_detection!$A$1:$C$22,3,FALSE),"")</f>
        <v/>
      </c>
      <c r="G473" t="s">
        <v>0</v>
      </c>
    </row>
    <row r="474" spans="1:7" x14ac:dyDescent="0.3">
      <c r="A474" s="5">
        <v>16011746</v>
      </c>
      <c r="B474" t="s">
        <v>552</v>
      </c>
      <c r="C474" t="s">
        <v>2510</v>
      </c>
      <c r="D474" t="s">
        <v>2510</v>
      </c>
      <c r="E474" t="str">
        <f>IFERROR(VLOOKUP(B474,Signal_detection!$A$1:$C$22,2,FALSE),"")</f>
        <v/>
      </c>
      <c r="F474" t="str">
        <f>IFERROR(VLOOKUP(B474,Signal_detection!$A$1:$C$22,3,FALSE),"")</f>
        <v/>
      </c>
      <c r="G474" t="s">
        <v>0</v>
      </c>
    </row>
    <row r="475" spans="1:7" x14ac:dyDescent="0.3">
      <c r="A475" s="5">
        <v>16023056</v>
      </c>
      <c r="B475" t="s">
        <v>1104</v>
      </c>
      <c r="C475" t="s">
        <v>1104</v>
      </c>
      <c r="D475" t="s">
        <v>2497</v>
      </c>
      <c r="E475" t="str">
        <f>IFERROR(VLOOKUP(B475,Signal_detection!$A$1:$C$22,2,FALSE),"")</f>
        <v>Unlikely</v>
      </c>
      <c r="F475" t="str">
        <f>IFERROR(VLOOKUP(B475,Signal_detection!$A$1:$C$22,3,FALSE),"")</f>
        <v>Non-case</v>
      </c>
      <c r="G475" t="s">
        <v>125</v>
      </c>
    </row>
    <row r="476" spans="1:7" x14ac:dyDescent="0.3">
      <c r="A476" s="5">
        <v>16024676</v>
      </c>
      <c r="B476" t="s">
        <v>385</v>
      </c>
      <c r="C476" t="s">
        <v>2510</v>
      </c>
      <c r="D476" t="s">
        <v>2510</v>
      </c>
      <c r="E476" t="str">
        <f>IFERROR(VLOOKUP(B476,Signal_detection!$A$1:$C$22,2,FALSE),"")</f>
        <v/>
      </c>
      <c r="F476" t="str">
        <f>IFERROR(VLOOKUP(B476,Signal_detection!$A$1:$C$22,3,FALSE),"")</f>
        <v/>
      </c>
      <c r="G476" t="s">
        <v>0</v>
      </c>
    </row>
    <row r="477" spans="1:7" x14ac:dyDescent="0.3">
      <c r="A477" s="5">
        <v>16036831</v>
      </c>
      <c r="B477" t="s">
        <v>843</v>
      </c>
      <c r="C477" t="s">
        <v>2510</v>
      </c>
      <c r="D477" t="s">
        <v>2510</v>
      </c>
      <c r="E477" t="str">
        <f>IFERROR(VLOOKUP(B477,Signal_detection!$A$1:$C$22,2,FALSE),"")</f>
        <v/>
      </c>
      <c r="F477" t="str">
        <f>IFERROR(VLOOKUP(B477,Signal_detection!$A$1:$C$22,3,FALSE),"")</f>
        <v/>
      </c>
      <c r="G477" t="s">
        <v>0</v>
      </c>
    </row>
    <row r="478" spans="1:7" x14ac:dyDescent="0.3">
      <c r="A478" s="5">
        <v>16045931</v>
      </c>
      <c r="B478" t="s">
        <v>1974</v>
      </c>
      <c r="C478" t="s">
        <v>2510</v>
      </c>
      <c r="D478" t="s">
        <v>2510</v>
      </c>
      <c r="E478" t="str">
        <f>IFERROR(VLOOKUP(B478,Signal_detection!$A$1:$C$22,2,FALSE),"")</f>
        <v/>
      </c>
      <c r="F478" t="str">
        <f>IFERROR(VLOOKUP(B478,Signal_detection!$A$1:$C$22,3,FALSE),"")</f>
        <v/>
      </c>
      <c r="G478" t="s">
        <v>0</v>
      </c>
    </row>
    <row r="479" spans="1:7" x14ac:dyDescent="0.3">
      <c r="A479" s="5">
        <v>16049920</v>
      </c>
      <c r="B479" t="s">
        <v>1341</v>
      </c>
      <c r="C479" t="s">
        <v>2510</v>
      </c>
      <c r="D479" t="s">
        <v>2510</v>
      </c>
      <c r="E479" t="str">
        <f>IFERROR(VLOOKUP(B479,Signal_detection!$A$1:$C$22,2,FALSE),"")</f>
        <v/>
      </c>
      <c r="F479" t="str">
        <f>IFERROR(VLOOKUP(B479,Signal_detection!$A$1:$C$22,3,FALSE),"")</f>
        <v/>
      </c>
      <c r="G479" t="s">
        <v>0</v>
      </c>
    </row>
    <row r="480" spans="1:7" x14ac:dyDescent="0.3">
      <c r="A480" s="5">
        <v>16055996</v>
      </c>
      <c r="B480" t="s">
        <v>365</v>
      </c>
      <c r="C480" t="s">
        <v>2510</v>
      </c>
      <c r="D480" t="s">
        <v>2510</v>
      </c>
      <c r="E480" t="str">
        <f>IFERROR(VLOOKUP(B480,Signal_detection!$A$1:$C$22,2,FALSE),"")</f>
        <v/>
      </c>
      <c r="F480" t="str">
        <f>IFERROR(VLOOKUP(B480,Signal_detection!$A$1:$C$22,3,FALSE),"")</f>
        <v/>
      </c>
      <c r="G480" t="s">
        <v>0</v>
      </c>
    </row>
    <row r="481" spans="1:7" x14ac:dyDescent="0.3">
      <c r="A481" s="5">
        <v>16070939</v>
      </c>
      <c r="B481" t="s">
        <v>225</v>
      </c>
      <c r="C481" t="s">
        <v>225</v>
      </c>
      <c r="D481" t="s">
        <v>2500</v>
      </c>
      <c r="E481" t="str">
        <f>IFERROR(VLOOKUP(B481,Signal_detection!$A$1:$C$22,2,FALSE),"")</f>
        <v>Probable</v>
      </c>
      <c r="F481" t="str">
        <f>IFERROR(VLOOKUP(B481,Signal_detection!$A$1:$C$22,3,FALSE),"")</f>
        <v>Hematologic signal</v>
      </c>
      <c r="G481" t="s">
        <v>0</v>
      </c>
    </row>
    <row r="482" spans="1:7" x14ac:dyDescent="0.3">
      <c r="A482" s="5">
        <v>16076615</v>
      </c>
      <c r="B482" t="s">
        <v>165</v>
      </c>
      <c r="C482" t="s">
        <v>165</v>
      </c>
      <c r="D482" t="s">
        <v>2496</v>
      </c>
      <c r="E482" t="str">
        <f>IFERROR(VLOOKUP(B482,Signal_detection!$A$1:$C$22,2,FALSE),"")</f>
        <v/>
      </c>
      <c r="F482" t="str">
        <f>IFERROR(VLOOKUP(B482,Signal_detection!$A$1:$C$22,3,FALSE),"")</f>
        <v/>
      </c>
      <c r="G482" t="s">
        <v>0</v>
      </c>
    </row>
    <row r="483" spans="1:7" x14ac:dyDescent="0.3">
      <c r="A483" s="5">
        <v>16076875</v>
      </c>
      <c r="B483" t="s">
        <v>1335</v>
      </c>
      <c r="C483" t="s">
        <v>2510</v>
      </c>
      <c r="D483" t="s">
        <v>2510</v>
      </c>
      <c r="E483" t="str">
        <f>IFERROR(VLOOKUP(B483,Signal_detection!$A$1:$C$22,2,FALSE),"")</f>
        <v/>
      </c>
      <c r="F483" t="str">
        <f>IFERROR(VLOOKUP(B483,Signal_detection!$A$1:$C$22,3,FALSE),"")</f>
        <v/>
      </c>
      <c r="G483" t="s">
        <v>125</v>
      </c>
    </row>
    <row r="484" spans="1:7" x14ac:dyDescent="0.3">
      <c r="A484" s="5">
        <v>16087490</v>
      </c>
      <c r="B484" t="s">
        <v>550</v>
      </c>
      <c r="C484" t="s">
        <v>2510</v>
      </c>
      <c r="D484" t="s">
        <v>2510</v>
      </c>
      <c r="E484" t="str">
        <f>IFERROR(VLOOKUP(B484,Signal_detection!$A$1:$C$22,2,FALSE),"")</f>
        <v/>
      </c>
      <c r="F484" t="str">
        <f>IFERROR(VLOOKUP(B484,Signal_detection!$A$1:$C$22,3,FALSE),"")</f>
        <v/>
      </c>
      <c r="G484" t="s">
        <v>125</v>
      </c>
    </row>
    <row r="485" spans="1:7" x14ac:dyDescent="0.3">
      <c r="A485" s="5">
        <v>16104538</v>
      </c>
      <c r="B485" t="s">
        <v>474</v>
      </c>
      <c r="C485" t="s">
        <v>2510</v>
      </c>
      <c r="D485" t="s">
        <v>2510</v>
      </c>
      <c r="E485" t="str">
        <f>IFERROR(VLOOKUP(B485,Signal_detection!$A$1:$C$22,2,FALSE),"")</f>
        <v/>
      </c>
      <c r="F485" t="str">
        <f>IFERROR(VLOOKUP(B485,Signal_detection!$A$1:$C$22,3,FALSE),"")</f>
        <v/>
      </c>
      <c r="G485" t="s">
        <v>0</v>
      </c>
    </row>
    <row r="486" spans="1:7" x14ac:dyDescent="0.3">
      <c r="A486" s="5">
        <v>16106475</v>
      </c>
      <c r="B486" t="s">
        <v>1161</v>
      </c>
      <c r="C486" t="s">
        <v>2510</v>
      </c>
      <c r="D486" t="s">
        <v>2510</v>
      </c>
      <c r="E486" t="str">
        <f>IFERROR(VLOOKUP(B486,Signal_detection!$A$1:$C$22,2,FALSE),"")</f>
        <v/>
      </c>
      <c r="F486" t="str">
        <f>IFERROR(VLOOKUP(B486,Signal_detection!$A$1:$C$22,3,FALSE),"")</f>
        <v/>
      </c>
      <c r="G486" t="s">
        <v>0</v>
      </c>
    </row>
    <row r="487" spans="1:7" x14ac:dyDescent="0.3">
      <c r="A487" s="5">
        <v>16111505</v>
      </c>
      <c r="B487" t="s">
        <v>50</v>
      </c>
      <c r="C487" t="s">
        <v>50</v>
      </c>
      <c r="D487" t="s">
        <v>2497</v>
      </c>
      <c r="E487" t="str">
        <f>IFERROR(VLOOKUP(B487,Signal_detection!$A$1:$C$22,2,FALSE),"")</f>
        <v/>
      </c>
      <c r="F487" t="str">
        <f>IFERROR(VLOOKUP(B487,Signal_detection!$A$1:$C$22,3,FALSE),"")</f>
        <v/>
      </c>
      <c r="G487" t="s">
        <v>0</v>
      </c>
    </row>
    <row r="488" spans="1:7" x14ac:dyDescent="0.3">
      <c r="A488" s="5">
        <v>16123058</v>
      </c>
      <c r="B488" t="s">
        <v>240</v>
      </c>
      <c r="C488" t="s">
        <v>2510</v>
      </c>
      <c r="D488" t="s">
        <v>2510</v>
      </c>
      <c r="E488" t="str">
        <f>IFERROR(VLOOKUP(B488,Signal_detection!$A$1:$C$22,2,FALSE),"")</f>
        <v/>
      </c>
      <c r="F488" t="str">
        <f>IFERROR(VLOOKUP(B488,Signal_detection!$A$1:$C$22,3,FALSE),"")</f>
        <v/>
      </c>
      <c r="G488" t="s">
        <v>0</v>
      </c>
    </row>
    <row r="489" spans="1:7" x14ac:dyDescent="0.3">
      <c r="A489" s="5">
        <v>16123082</v>
      </c>
      <c r="B489" t="s">
        <v>50</v>
      </c>
      <c r="C489" t="s">
        <v>50</v>
      </c>
      <c r="D489" t="s">
        <v>2497</v>
      </c>
      <c r="E489" t="str">
        <f>IFERROR(VLOOKUP(B489,Signal_detection!$A$1:$C$22,2,FALSE),"")</f>
        <v/>
      </c>
      <c r="F489" t="str">
        <f>IFERROR(VLOOKUP(B489,Signal_detection!$A$1:$C$22,3,FALSE),"")</f>
        <v/>
      </c>
      <c r="G489" t="s">
        <v>0</v>
      </c>
    </row>
    <row r="490" spans="1:7" x14ac:dyDescent="0.3">
      <c r="A490" s="5">
        <v>16134752</v>
      </c>
      <c r="B490" t="s">
        <v>50</v>
      </c>
      <c r="C490" t="s">
        <v>50</v>
      </c>
      <c r="D490" t="s">
        <v>2497</v>
      </c>
      <c r="E490" t="str">
        <f>IFERROR(VLOOKUP(B490,Signal_detection!$A$1:$C$22,2,FALSE),"")</f>
        <v/>
      </c>
      <c r="F490" t="str">
        <f>IFERROR(VLOOKUP(B490,Signal_detection!$A$1:$C$22,3,FALSE),"")</f>
        <v/>
      </c>
      <c r="G490" t="s">
        <v>0</v>
      </c>
    </row>
    <row r="491" spans="1:7" x14ac:dyDescent="0.3">
      <c r="A491" s="5">
        <v>16137058</v>
      </c>
      <c r="B491" t="s">
        <v>50</v>
      </c>
      <c r="C491" t="s">
        <v>50</v>
      </c>
      <c r="D491" t="s">
        <v>2497</v>
      </c>
      <c r="E491" t="str">
        <f>IFERROR(VLOOKUP(B491,Signal_detection!$A$1:$C$22,2,FALSE),"")</f>
        <v/>
      </c>
      <c r="F491" t="str">
        <f>IFERROR(VLOOKUP(B491,Signal_detection!$A$1:$C$22,3,FALSE),"")</f>
        <v/>
      </c>
      <c r="G491" t="s">
        <v>0</v>
      </c>
    </row>
    <row r="492" spans="1:7" x14ac:dyDescent="0.3">
      <c r="A492" s="5">
        <v>16139043</v>
      </c>
      <c r="B492" t="s">
        <v>416</v>
      </c>
      <c r="C492" t="s">
        <v>2510</v>
      </c>
      <c r="D492" t="s">
        <v>2510</v>
      </c>
      <c r="E492" t="str">
        <f>IFERROR(VLOOKUP(B492,Signal_detection!$A$1:$C$22,2,FALSE),"")</f>
        <v/>
      </c>
      <c r="F492" t="str">
        <f>IFERROR(VLOOKUP(B492,Signal_detection!$A$1:$C$22,3,FALSE),"")</f>
        <v/>
      </c>
      <c r="G492" t="s">
        <v>0</v>
      </c>
    </row>
    <row r="493" spans="1:7" x14ac:dyDescent="0.3">
      <c r="A493" s="5">
        <v>16152651</v>
      </c>
      <c r="B493" t="s">
        <v>1143</v>
      </c>
      <c r="C493" t="s">
        <v>2510</v>
      </c>
      <c r="D493" t="s">
        <v>2510</v>
      </c>
      <c r="E493" t="str">
        <f>IFERROR(VLOOKUP(B493,Signal_detection!$A$1:$C$22,2,FALSE),"")</f>
        <v/>
      </c>
      <c r="F493" t="str">
        <f>IFERROR(VLOOKUP(B493,Signal_detection!$A$1:$C$22,3,FALSE),"")</f>
        <v/>
      </c>
      <c r="G493" t="s">
        <v>125</v>
      </c>
    </row>
    <row r="494" spans="1:7" x14ac:dyDescent="0.3">
      <c r="A494" s="5">
        <v>16156946</v>
      </c>
      <c r="B494" t="s">
        <v>1523</v>
      </c>
      <c r="C494" t="s">
        <v>2510</v>
      </c>
      <c r="D494" t="s">
        <v>2510</v>
      </c>
      <c r="E494" t="str">
        <f>IFERROR(VLOOKUP(B494,Signal_detection!$A$1:$C$22,2,FALSE),"")</f>
        <v/>
      </c>
      <c r="F494" t="str">
        <f>IFERROR(VLOOKUP(B494,Signal_detection!$A$1:$C$22,3,FALSE),"")</f>
        <v/>
      </c>
      <c r="G494" t="s">
        <v>0</v>
      </c>
    </row>
    <row r="495" spans="1:7" x14ac:dyDescent="0.3">
      <c r="A495" s="5">
        <v>16169706</v>
      </c>
      <c r="B495" t="s">
        <v>1281</v>
      </c>
      <c r="C495" t="s">
        <v>2510</v>
      </c>
      <c r="D495" t="s">
        <v>2510</v>
      </c>
      <c r="E495" t="str">
        <f>IFERROR(VLOOKUP(B495,Signal_detection!$A$1:$C$22,2,FALSE),"")</f>
        <v/>
      </c>
      <c r="F495" t="str">
        <f>IFERROR(VLOOKUP(B495,Signal_detection!$A$1:$C$22,3,FALSE),"")</f>
        <v/>
      </c>
      <c r="G495" t="s">
        <v>0</v>
      </c>
    </row>
    <row r="496" spans="1:7" x14ac:dyDescent="0.3">
      <c r="A496" s="5">
        <v>16175083</v>
      </c>
      <c r="B496" t="s">
        <v>777</v>
      </c>
      <c r="C496" t="s">
        <v>2510</v>
      </c>
      <c r="D496" t="s">
        <v>2510</v>
      </c>
      <c r="E496" t="str">
        <f>IFERROR(VLOOKUP(B496,Signal_detection!$A$1:$C$22,2,FALSE),"")</f>
        <v/>
      </c>
      <c r="F496" t="str">
        <f>IFERROR(VLOOKUP(B496,Signal_detection!$A$1:$C$22,3,FALSE),"")</f>
        <v/>
      </c>
      <c r="G496" t="s">
        <v>0</v>
      </c>
    </row>
    <row r="497" spans="1:7" x14ac:dyDescent="0.3">
      <c r="A497" s="5">
        <v>16183172</v>
      </c>
      <c r="B497" t="s">
        <v>1482</v>
      </c>
      <c r="C497" t="s">
        <v>2510</v>
      </c>
      <c r="D497" t="s">
        <v>2510</v>
      </c>
      <c r="E497" t="str">
        <f>IFERROR(VLOOKUP(B497,Signal_detection!$A$1:$C$22,2,FALSE),"")</f>
        <v/>
      </c>
      <c r="F497" t="str">
        <f>IFERROR(VLOOKUP(B497,Signal_detection!$A$1:$C$22,3,FALSE),"")</f>
        <v/>
      </c>
      <c r="G497" t="s">
        <v>0</v>
      </c>
    </row>
    <row r="498" spans="1:7" x14ac:dyDescent="0.3">
      <c r="A498" s="5">
        <v>16184982</v>
      </c>
      <c r="B498" t="s">
        <v>361</v>
      </c>
      <c r="C498" t="s">
        <v>2510</v>
      </c>
      <c r="D498" t="s">
        <v>2510</v>
      </c>
      <c r="E498" t="str">
        <f>IFERROR(VLOOKUP(B498,Signal_detection!$A$1:$C$22,2,FALSE),"")</f>
        <v/>
      </c>
      <c r="F498" t="str">
        <f>IFERROR(VLOOKUP(B498,Signal_detection!$A$1:$C$22,3,FALSE),"")</f>
        <v/>
      </c>
      <c r="G498" t="s">
        <v>125</v>
      </c>
    </row>
    <row r="499" spans="1:7" x14ac:dyDescent="0.3">
      <c r="A499" s="5">
        <v>16217447</v>
      </c>
      <c r="B499" t="s">
        <v>159</v>
      </c>
      <c r="C499" t="s">
        <v>159</v>
      </c>
      <c r="D499" t="s">
        <v>2499</v>
      </c>
      <c r="E499" t="str">
        <f>IFERROR(VLOOKUP(B499,Signal_detection!$A$1:$C$22,2,FALSE),"")</f>
        <v>Possible</v>
      </c>
      <c r="F499" t="str">
        <f>IFERROR(VLOOKUP(B499,Signal_detection!$A$1:$C$22,3,FALSE),"")</f>
        <v>Non-serious ADR</v>
      </c>
      <c r="G499" t="s">
        <v>125</v>
      </c>
    </row>
    <row r="500" spans="1:7" x14ac:dyDescent="0.3">
      <c r="A500" s="5">
        <v>16222884</v>
      </c>
      <c r="B500" t="s">
        <v>972</v>
      </c>
      <c r="C500" t="s">
        <v>2510</v>
      </c>
      <c r="D500" t="s">
        <v>2510</v>
      </c>
      <c r="E500" t="str">
        <f>IFERROR(VLOOKUP(B500,Signal_detection!$A$1:$C$22,2,FALSE),"")</f>
        <v/>
      </c>
      <c r="F500" t="str">
        <f>IFERROR(VLOOKUP(B500,Signal_detection!$A$1:$C$22,3,FALSE),"")</f>
        <v/>
      </c>
      <c r="G500" t="s">
        <v>125</v>
      </c>
    </row>
    <row r="501" spans="1:7" x14ac:dyDescent="0.3">
      <c r="A501" s="5">
        <v>16240261</v>
      </c>
      <c r="B501" t="s">
        <v>551</v>
      </c>
      <c r="C501" t="s">
        <v>2510</v>
      </c>
      <c r="D501" t="s">
        <v>2510</v>
      </c>
      <c r="E501" t="str">
        <f>IFERROR(VLOOKUP(B501,Signal_detection!$A$1:$C$22,2,FALSE),"")</f>
        <v/>
      </c>
      <c r="F501" t="str">
        <f>IFERROR(VLOOKUP(B501,Signal_detection!$A$1:$C$22,3,FALSE),"")</f>
        <v/>
      </c>
      <c r="G501" t="s">
        <v>0</v>
      </c>
    </row>
    <row r="502" spans="1:7" x14ac:dyDescent="0.3">
      <c r="A502" s="5">
        <v>16241174</v>
      </c>
      <c r="B502" t="s">
        <v>610</v>
      </c>
      <c r="C502" t="s">
        <v>2510</v>
      </c>
      <c r="D502" t="s">
        <v>2510</v>
      </c>
      <c r="E502" t="str">
        <f>IFERROR(VLOOKUP(B502,Signal_detection!$A$1:$C$22,2,FALSE),"")</f>
        <v/>
      </c>
      <c r="F502" t="str">
        <f>IFERROR(VLOOKUP(B502,Signal_detection!$A$1:$C$22,3,FALSE),"")</f>
        <v/>
      </c>
      <c r="G502" t="s">
        <v>0</v>
      </c>
    </row>
    <row r="503" spans="1:7" x14ac:dyDescent="0.3">
      <c r="A503" s="5">
        <v>16250701</v>
      </c>
      <c r="B503" t="s">
        <v>1263</v>
      </c>
      <c r="C503" t="s">
        <v>2510</v>
      </c>
      <c r="D503" t="s">
        <v>2510</v>
      </c>
      <c r="E503" t="str">
        <f>IFERROR(VLOOKUP(B503,Signal_detection!$A$1:$C$22,2,FALSE),"")</f>
        <v/>
      </c>
      <c r="F503" t="str">
        <f>IFERROR(VLOOKUP(B503,Signal_detection!$A$1:$C$22,3,FALSE),"")</f>
        <v/>
      </c>
      <c r="G503" t="s">
        <v>0</v>
      </c>
    </row>
    <row r="504" spans="1:7" x14ac:dyDescent="0.3">
      <c r="A504" s="5">
        <v>16256117</v>
      </c>
      <c r="B504" t="s">
        <v>234</v>
      </c>
      <c r="C504" t="s">
        <v>2510</v>
      </c>
      <c r="D504" t="s">
        <v>2510</v>
      </c>
      <c r="E504" t="str">
        <f>IFERROR(VLOOKUP(B504,Signal_detection!$A$1:$C$22,2,FALSE),"")</f>
        <v/>
      </c>
      <c r="F504" t="str">
        <f>IFERROR(VLOOKUP(B504,Signal_detection!$A$1:$C$22,3,FALSE),"")</f>
        <v/>
      </c>
      <c r="G504" t="s">
        <v>0</v>
      </c>
    </row>
    <row r="505" spans="1:7" x14ac:dyDescent="0.3">
      <c r="A505" s="5">
        <v>16257597</v>
      </c>
      <c r="B505" t="s">
        <v>1275</v>
      </c>
      <c r="C505" t="s">
        <v>2510</v>
      </c>
      <c r="D505" t="s">
        <v>2510</v>
      </c>
      <c r="E505" t="str">
        <f>IFERROR(VLOOKUP(B505,Signal_detection!$A$1:$C$22,2,FALSE),"")</f>
        <v/>
      </c>
      <c r="F505" t="str">
        <f>IFERROR(VLOOKUP(B505,Signal_detection!$A$1:$C$22,3,FALSE),"")</f>
        <v/>
      </c>
      <c r="G505" t="s">
        <v>0</v>
      </c>
    </row>
    <row r="506" spans="1:7" x14ac:dyDescent="0.3">
      <c r="A506" s="5">
        <v>16262599</v>
      </c>
      <c r="B506" t="s">
        <v>180</v>
      </c>
      <c r="C506" t="s">
        <v>2510</v>
      </c>
      <c r="D506" t="s">
        <v>2510</v>
      </c>
      <c r="E506" t="str">
        <f>IFERROR(VLOOKUP(B506,Signal_detection!$A$1:$C$22,2,FALSE),"")</f>
        <v/>
      </c>
      <c r="F506" t="str">
        <f>IFERROR(VLOOKUP(B506,Signal_detection!$A$1:$C$22,3,FALSE),"")</f>
        <v/>
      </c>
      <c r="G506" t="s">
        <v>0</v>
      </c>
    </row>
    <row r="507" spans="1:7" x14ac:dyDescent="0.3">
      <c r="A507" s="5">
        <v>16277363</v>
      </c>
      <c r="B507" t="s">
        <v>278</v>
      </c>
      <c r="C507" t="s">
        <v>278</v>
      </c>
      <c r="D507" t="s">
        <v>2500</v>
      </c>
      <c r="E507" t="str">
        <f>IFERROR(VLOOKUP(B507,Signal_detection!$A$1:$C$22,2,FALSE),"")</f>
        <v>Probable</v>
      </c>
      <c r="F507" t="str">
        <f>IFERROR(VLOOKUP(B507,Signal_detection!$A$1:$C$22,3,FALSE),"")</f>
        <v>Hematologic signal</v>
      </c>
      <c r="G507" t="s">
        <v>0</v>
      </c>
    </row>
    <row r="508" spans="1:7" x14ac:dyDescent="0.3">
      <c r="A508" s="5">
        <v>16277580</v>
      </c>
      <c r="B508" t="s">
        <v>613</v>
      </c>
      <c r="C508" t="s">
        <v>2510</v>
      </c>
      <c r="D508" t="s">
        <v>2510</v>
      </c>
      <c r="E508" t="str">
        <f>IFERROR(VLOOKUP(B508,Signal_detection!$A$1:$C$22,2,FALSE),"")</f>
        <v/>
      </c>
      <c r="F508" t="str">
        <f>IFERROR(VLOOKUP(B508,Signal_detection!$A$1:$C$22,3,FALSE),"")</f>
        <v/>
      </c>
      <c r="G508" t="s">
        <v>0</v>
      </c>
    </row>
    <row r="509" spans="1:7" x14ac:dyDescent="0.3">
      <c r="A509" s="5">
        <v>16277920</v>
      </c>
      <c r="B509" t="s">
        <v>278</v>
      </c>
      <c r="C509" t="s">
        <v>278</v>
      </c>
      <c r="D509" t="s">
        <v>2500</v>
      </c>
      <c r="E509" t="str">
        <f>IFERROR(VLOOKUP(B509,Signal_detection!$A$1:$C$22,2,FALSE),"")</f>
        <v>Probable</v>
      </c>
      <c r="F509" t="str">
        <f>IFERROR(VLOOKUP(B509,Signal_detection!$A$1:$C$22,3,FALSE),"")</f>
        <v>Hematologic signal</v>
      </c>
      <c r="G509" t="s">
        <v>0</v>
      </c>
    </row>
    <row r="510" spans="1:7" x14ac:dyDescent="0.3">
      <c r="A510" s="5">
        <v>16280584</v>
      </c>
      <c r="B510" t="s">
        <v>50</v>
      </c>
      <c r="C510" t="s">
        <v>50</v>
      </c>
      <c r="D510" t="s">
        <v>2497</v>
      </c>
      <c r="E510" t="str">
        <f>IFERROR(VLOOKUP(B510,Signal_detection!$A$1:$C$22,2,FALSE),"")</f>
        <v/>
      </c>
      <c r="F510" t="str">
        <f>IFERROR(VLOOKUP(B510,Signal_detection!$A$1:$C$22,3,FALSE),"")</f>
        <v/>
      </c>
      <c r="G510" t="s">
        <v>0</v>
      </c>
    </row>
    <row r="511" spans="1:7" x14ac:dyDescent="0.3">
      <c r="A511" s="5">
        <v>16281364</v>
      </c>
      <c r="B511" t="s">
        <v>1020</v>
      </c>
      <c r="C511" t="s">
        <v>2510</v>
      </c>
      <c r="D511" t="s">
        <v>2510</v>
      </c>
      <c r="E511" t="str">
        <f>IFERROR(VLOOKUP(B511,Signal_detection!$A$1:$C$22,2,FALSE),"")</f>
        <v/>
      </c>
      <c r="F511" t="str">
        <f>IFERROR(VLOOKUP(B511,Signal_detection!$A$1:$C$22,3,FALSE),"")</f>
        <v/>
      </c>
      <c r="G511" t="s">
        <v>0</v>
      </c>
    </row>
    <row r="512" spans="1:7" x14ac:dyDescent="0.3">
      <c r="A512" s="5">
        <v>16281382</v>
      </c>
      <c r="B512" t="s">
        <v>107</v>
      </c>
      <c r="C512" t="s">
        <v>2510</v>
      </c>
      <c r="D512" t="s">
        <v>2510</v>
      </c>
      <c r="E512" t="str">
        <f>IFERROR(VLOOKUP(B512,Signal_detection!$A$1:$C$22,2,FALSE),"")</f>
        <v/>
      </c>
      <c r="F512" t="str">
        <f>IFERROR(VLOOKUP(B512,Signal_detection!$A$1:$C$22,3,FALSE),"")</f>
        <v/>
      </c>
      <c r="G512" t="s">
        <v>0</v>
      </c>
    </row>
    <row r="513" spans="1:7" x14ac:dyDescent="0.3">
      <c r="A513" s="5">
        <v>16289757</v>
      </c>
      <c r="B513" t="s">
        <v>1534</v>
      </c>
      <c r="C513" t="s">
        <v>2510</v>
      </c>
      <c r="D513" t="s">
        <v>2510</v>
      </c>
      <c r="E513" t="str">
        <f>IFERROR(VLOOKUP(B513,Signal_detection!$A$1:$C$22,2,FALSE),"")</f>
        <v/>
      </c>
      <c r="F513" t="str">
        <f>IFERROR(VLOOKUP(B513,Signal_detection!$A$1:$C$22,3,FALSE),"")</f>
        <v/>
      </c>
      <c r="G513" t="s">
        <v>0</v>
      </c>
    </row>
    <row r="514" spans="1:7" x14ac:dyDescent="0.3">
      <c r="A514" s="5">
        <v>16290816</v>
      </c>
      <c r="B514" t="s">
        <v>126</v>
      </c>
      <c r="C514" t="s">
        <v>126</v>
      </c>
      <c r="D514" t="s">
        <v>2497</v>
      </c>
      <c r="E514" t="str">
        <f>IFERROR(VLOOKUP(B514,Signal_detection!$A$1:$C$22,2,FALSE),"")</f>
        <v>Unlikely</v>
      </c>
      <c r="F514" t="str">
        <f>IFERROR(VLOOKUP(B514,Signal_detection!$A$1:$C$22,3,FALSE),"")</f>
        <v>Non-ADR</v>
      </c>
      <c r="G514" t="s">
        <v>125</v>
      </c>
    </row>
    <row r="515" spans="1:7" x14ac:dyDescent="0.3">
      <c r="A515" s="5">
        <v>16298190</v>
      </c>
      <c r="B515" t="s">
        <v>755</v>
      </c>
      <c r="C515" t="s">
        <v>2510</v>
      </c>
      <c r="D515" t="s">
        <v>2510</v>
      </c>
      <c r="E515" t="str">
        <f>IFERROR(VLOOKUP(B515,Signal_detection!$A$1:$C$22,2,FALSE),"")</f>
        <v/>
      </c>
      <c r="F515" t="str">
        <f>IFERROR(VLOOKUP(B515,Signal_detection!$A$1:$C$22,3,FALSE),"")</f>
        <v/>
      </c>
      <c r="G515" t="s">
        <v>0</v>
      </c>
    </row>
    <row r="516" spans="1:7" x14ac:dyDescent="0.3">
      <c r="A516" s="5">
        <v>16316314</v>
      </c>
      <c r="B516" t="s">
        <v>1740</v>
      </c>
      <c r="C516" t="s">
        <v>1740</v>
      </c>
      <c r="D516" t="s">
        <v>2494</v>
      </c>
      <c r="E516" t="str">
        <f>IFERROR(VLOOKUP(B516,Signal_detection!$A$1:$C$22,2,FALSE),"")</f>
        <v/>
      </c>
      <c r="F516" t="str">
        <f>IFERROR(VLOOKUP(B516,Signal_detection!$A$1:$C$22,3,FALSE),"")</f>
        <v/>
      </c>
      <c r="G516" t="s">
        <v>0</v>
      </c>
    </row>
    <row r="517" spans="1:7" x14ac:dyDescent="0.3">
      <c r="A517" s="5">
        <v>16320317</v>
      </c>
      <c r="B517" t="s">
        <v>929</v>
      </c>
      <c r="C517" t="s">
        <v>2510</v>
      </c>
      <c r="D517" t="s">
        <v>2510</v>
      </c>
      <c r="E517" t="str">
        <f>IFERROR(VLOOKUP(B517,Signal_detection!$A$1:$C$22,2,FALSE),"")</f>
        <v/>
      </c>
      <c r="F517" t="str">
        <f>IFERROR(VLOOKUP(B517,Signal_detection!$A$1:$C$22,3,FALSE),"")</f>
        <v/>
      </c>
      <c r="G517" t="s">
        <v>0</v>
      </c>
    </row>
    <row r="518" spans="1:7" x14ac:dyDescent="0.3">
      <c r="A518" s="5">
        <v>16342992</v>
      </c>
      <c r="B518" t="s">
        <v>459</v>
      </c>
      <c r="C518" t="s">
        <v>459</v>
      </c>
      <c r="D518" t="s">
        <v>2503</v>
      </c>
      <c r="E518" t="str">
        <f>IFERROR(VLOOKUP(B518,Signal_detection!$A$1:$C$22,2,FALSE),"")</f>
        <v>Probable</v>
      </c>
      <c r="F518" t="str">
        <f>IFERROR(VLOOKUP(B518,Signal_detection!$A$1:$C$22,3,FALSE),"")</f>
        <v>Neurological signal</v>
      </c>
      <c r="G518" t="s">
        <v>0</v>
      </c>
    </row>
    <row r="519" spans="1:7" x14ac:dyDescent="0.3">
      <c r="A519" s="5">
        <v>16344202</v>
      </c>
      <c r="B519" t="s">
        <v>274</v>
      </c>
      <c r="C519" t="s">
        <v>274</v>
      </c>
      <c r="D519" t="s">
        <v>2494</v>
      </c>
      <c r="E519" t="str">
        <f>IFERROR(VLOOKUP(B519,Signal_detection!$A$1:$C$22,2,FALSE),"")</f>
        <v/>
      </c>
      <c r="F519" t="str">
        <f>IFERROR(VLOOKUP(B519,Signal_detection!$A$1:$C$22,3,FALSE),"")</f>
        <v/>
      </c>
      <c r="G519" t="s">
        <v>0</v>
      </c>
    </row>
    <row r="520" spans="1:7" x14ac:dyDescent="0.3">
      <c r="A520" s="5">
        <v>16345153</v>
      </c>
      <c r="B520" t="s">
        <v>740</v>
      </c>
      <c r="C520" t="s">
        <v>2510</v>
      </c>
      <c r="D520" t="s">
        <v>2510</v>
      </c>
      <c r="E520" t="str">
        <f>IFERROR(VLOOKUP(B520,Signal_detection!$A$1:$C$22,2,FALSE),"")</f>
        <v/>
      </c>
      <c r="F520" t="str">
        <f>IFERROR(VLOOKUP(B520,Signal_detection!$A$1:$C$22,3,FALSE),"")</f>
        <v/>
      </c>
      <c r="G520" t="s">
        <v>0</v>
      </c>
    </row>
    <row r="521" spans="1:7" x14ac:dyDescent="0.3">
      <c r="A521" s="5">
        <v>16345333</v>
      </c>
      <c r="B521" t="s">
        <v>740</v>
      </c>
      <c r="C521" t="s">
        <v>2510</v>
      </c>
      <c r="D521" t="s">
        <v>2510</v>
      </c>
      <c r="E521" t="str">
        <f>IFERROR(VLOOKUP(B521,Signal_detection!$A$1:$C$22,2,FALSE),"")</f>
        <v/>
      </c>
      <c r="F521" t="str">
        <f>IFERROR(VLOOKUP(B521,Signal_detection!$A$1:$C$22,3,FALSE),"")</f>
        <v/>
      </c>
      <c r="G521" t="s">
        <v>0</v>
      </c>
    </row>
    <row r="522" spans="1:7" x14ac:dyDescent="0.3">
      <c r="A522" s="5">
        <v>16345426</v>
      </c>
      <c r="B522" t="s">
        <v>740</v>
      </c>
      <c r="C522" t="s">
        <v>2510</v>
      </c>
      <c r="D522" t="s">
        <v>2510</v>
      </c>
      <c r="E522" t="str">
        <f>IFERROR(VLOOKUP(B522,Signal_detection!$A$1:$C$22,2,FALSE),"")</f>
        <v/>
      </c>
      <c r="F522" t="str">
        <f>IFERROR(VLOOKUP(B522,Signal_detection!$A$1:$C$22,3,FALSE),"")</f>
        <v/>
      </c>
      <c r="G522" t="s">
        <v>0</v>
      </c>
    </row>
    <row r="523" spans="1:7" x14ac:dyDescent="0.3">
      <c r="A523" s="5">
        <v>16345438</v>
      </c>
      <c r="B523" t="s">
        <v>740</v>
      </c>
      <c r="C523" t="s">
        <v>2510</v>
      </c>
      <c r="D523" t="s">
        <v>2510</v>
      </c>
      <c r="E523" t="str">
        <f>IFERROR(VLOOKUP(B523,Signal_detection!$A$1:$C$22,2,FALSE),"")</f>
        <v/>
      </c>
      <c r="F523" t="str">
        <f>IFERROR(VLOOKUP(B523,Signal_detection!$A$1:$C$22,3,FALSE),"")</f>
        <v/>
      </c>
      <c r="G523" t="s">
        <v>0</v>
      </c>
    </row>
    <row r="524" spans="1:7" x14ac:dyDescent="0.3">
      <c r="A524" s="5">
        <v>16361903</v>
      </c>
      <c r="B524" t="s">
        <v>1007</v>
      </c>
      <c r="C524" t="s">
        <v>2510</v>
      </c>
      <c r="D524" t="s">
        <v>2510</v>
      </c>
      <c r="E524" t="str">
        <f>IFERROR(VLOOKUP(B524,Signal_detection!$A$1:$C$22,2,FALSE),"")</f>
        <v/>
      </c>
      <c r="F524" t="str">
        <f>IFERROR(VLOOKUP(B524,Signal_detection!$A$1:$C$22,3,FALSE),"")</f>
        <v/>
      </c>
      <c r="G524" t="s">
        <v>0</v>
      </c>
    </row>
    <row r="525" spans="1:7" x14ac:dyDescent="0.3">
      <c r="A525" s="5">
        <v>16370073</v>
      </c>
      <c r="B525" t="s">
        <v>1235</v>
      </c>
      <c r="C525" t="s">
        <v>2510</v>
      </c>
      <c r="D525" t="s">
        <v>2510</v>
      </c>
      <c r="E525" t="str">
        <f>IFERROR(VLOOKUP(B525,Signal_detection!$A$1:$C$22,2,FALSE),"")</f>
        <v/>
      </c>
      <c r="F525" t="str">
        <f>IFERROR(VLOOKUP(B525,Signal_detection!$A$1:$C$22,3,FALSE),"")</f>
        <v/>
      </c>
      <c r="G525" t="s">
        <v>0</v>
      </c>
    </row>
    <row r="526" spans="1:7" x14ac:dyDescent="0.3">
      <c r="A526" s="5">
        <v>16372387</v>
      </c>
      <c r="B526" t="s">
        <v>2015</v>
      </c>
      <c r="C526" t="s">
        <v>2510</v>
      </c>
      <c r="D526" t="s">
        <v>2510</v>
      </c>
      <c r="E526" t="str">
        <f>IFERROR(VLOOKUP(B526,Signal_detection!$A$1:$C$22,2,FALSE),"")</f>
        <v/>
      </c>
      <c r="F526" t="str">
        <f>IFERROR(VLOOKUP(B526,Signal_detection!$A$1:$C$22,3,FALSE),"")</f>
        <v/>
      </c>
      <c r="G526" t="s">
        <v>0</v>
      </c>
    </row>
    <row r="527" spans="1:7" x14ac:dyDescent="0.3">
      <c r="A527" s="5">
        <v>16375984</v>
      </c>
      <c r="B527" t="s">
        <v>62</v>
      </c>
      <c r="C527" t="s">
        <v>62</v>
      </c>
      <c r="D527" t="s">
        <v>2508</v>
      </c>
      <c r="E527" t="str">
        <f>IFERROR(VLOOKUP(B527,Signal_detection!$A$1:$C$22,2,FALSE),"")</f>
        <v>Possible</v>
      </c>
      <c r="F527" t="str">
        <f>IFERROR(VLOOKUP(B527,Signal_detection!$A$1:$C$22,3,FALSE),"")</f>
        <v>Respiratory ADR</v>
      </c>
      <c r="G527" t="s">
        <v>0</v>
      </c>
    </row>
    <row r="528" spans="1:7" x14ac:dyDescent="0.3">
      <c r="A528" s="5">
        <v>16380151</v>
      </c>
      <c r="B528" t="s">
        <v>332</v>
      </c>
      <c r="C528" t="s">
        <v>332</v>
      </c>
      <c r="D528" t="s">
        <v>2507</v>
      </c>
      <c r="E528" t="str">
        <f>IFERROR(VLOOKUP(B528,Signal_detection!$A$1:$C$22,2,FALSE),"")</f>
        <v>Possible</v>
      </c>
      <c r="F528" t="str">
        <f>IFERROR(VLOOKUP(B528,Signal_detection!$A$1:$C$22,3,FALSE),"")</f>
        <v>GI ADR</v>
      </c>
      <c r="G528" t="s">
        <v>0</v>
      </c>
    </row>
    <row r="529" spans="1:7" x14ac:dyDescent="0.3">
      <c r="A529" s="5">
        <v>16383457</v>
      </c>
      <c r="B529" t="s">
        <v>1363</v>
      </c>
      <c r="C529" t="s">
        <v>2510</v>
      </c>
      <c r="D529" t="s">
        <v>2510</v>
      </c>
      <c r="E529" t="str">
        <f>IFERROR(VLOOKUP(B529,Signal_detection!$A$1:$C$22,2,FALSE),"")</f>
        <v/>
      </c>
      <c r="F529" t="str">
        <f>IFERROR(VLOOKUP(B529,Signal_detection!$A$1:$C$22,3,FALSE),"")</f>
        <v/>
      </c>
      <c r="G529" t="s">
        <v>0</v>
      </c>
    </row>
    <row r="530" spans="1:7" x14ac:dyDescent="0.3">
      <c r="A530" s="5">
        <v>16393846</v>
      </c>
      <c r="B530" t="s">
        <v>192</v>
      </c>
      <c r="C530" t="s">
        <v>192</v>
      </c>
      <c r="D530" t="s">
        <v>2495</v>
      </c>
      <c r="E530" t="str">
        <f>IFERROR(VLOOKUP(B530,Signal_detection!$A$1:$C$22,2,FALSE),"")</f>
        <v>Probable</v>
      </c>
      <c r="F530" t="str">
        <f>IFERROR(VLOOKUP(B530,Signal_detection!$A$1:$C$22,3,FALSE),"")</f>
        <v>Hypersensitivity signal</v>
      </c>
      <c r="G530" t="s">
        <v>125</v>
      </c>
    </row>
    <row r="531" spans="1:7" x14ac:dyDescent="0.3">
      <c r="A531" s="5">
        <v>16404293</v>
      </c>
      <c r="B531" t="s">
        <v>126</v>
      </c>
      <c r="C531" t="s">
        <v>126</v>
      </c>
      <c r="D531" t="s">
        <v>2497</v>
      </c>
      <c r="E531" t="str">
        <f>IFERROR(VLOOKUP(B531,Signal_detection!$A$1:$C$22,2,FALSE),"")</f>
        <v>Unlikely</v>
      </c>
      <c r="F531" t="str">
        <f>IFERROR(VLOOKUP(B531,Signal_detection!$A$1:$C$22,3,FALSE),"")</f>
        <v>Non-ADR</v>
      </c>
      <c r="G531" t="s">
        <v>125</v>
      </c>
    </row>
    <row r="532" spans="1:7" x14ac:dyDescent="0.3">
      <c r="A532" s="5">
        <v>16412830</v>
      </c>
      <c r="B532" t="s">
        <v>726</v>
      </c>
      <c r="C532" t="s">
        <v>2510</v>
      </c>
      <c r="D532" t="s">
        <v>2510</v>
      </c>
      <c r="E532" t="str">
        <f>IFERROR(VLOOKUP(B532,Signal_detection!$A$1:$C$22,2,FALSE),"")</f>
        <v/>
      </c>
      <c r="F532" t="str">
        <f>IFERROR(VLOOKUP(B532,Signal_detection!$A$1:$C$22,3,FALSE),"")</f>
        <v/>
      </c>
      <c r="G532" t="s">
        <v>0</v>
      </c>
    </row>
    <row r="533" spans="1:7" x14ac:dyDescent="0.3">
      <c r="A533" s="5">
        <v>16416738</v>
      </c>
      <c r="B533" t="s">
        <v>971</v>
      </c>
      <c r="C533" t="s">
        <v>2510</v>
      </c>
      <c r="D533" t="s">
        <v>2510</v>
      </c>
      <c r="E533" t="str">
        <f>IFERROR(VLOOKUP(B533,Signal_detection!$A$1:$C$22,2,FALSE),"")</f>
        <v/>
      </c>
      <c r="F533" t="str">
        <f>IFERROR(VLOOKUP(B533,Signal_detection!$A$1:$C$22,3,FALSE),"")</f>
        <v/>
      </c>
      <c r="G533" t="s">
        <v>0</v>
      </c>
    </row>
    <row r="534" spans="1:7" x14ac:dyDescent="0.3">
      <c r="A534" s="5">
        <v>16420425</v>
      </c>
      <c r="B534" t="s">
        <v>715</v>
      </c>
      <c r="C534" t="s">
        <v>2510</v>
      </c>
      <c r="D534" t="s">
        <v>2510</v>
      </c>
      <c r="E534" t="str">
        <f>IFERROR(VLOOKUP(B534,Signal_detection!$A$1:$C$22,2,FALSE),"")</f>
        <v/>
      </c>
      <c r="F534" t="str">
        <f>IFERROR(VLOOKUP(B534,Signal_detection!$A$1:$C$22,3,FALSE),"")</f>
        <v/>
      </c>
      <c r="G534" t="s">
        <v>0</v>
      </c>
    </row>
    <row r="535" spans="1:7" x14ac:dyDescent="0.3">
      <c r="A535" s="5">
        <v>16423216</v>
      </c>
      <c r="B535" t="s">
        <v>505</v>
      </c>
      <c r="C535" t="s">
        <v>2510</v>
      </c>
      <c r="D535" t="s">
        <v>2510</v>
      </c>
      <c r="E535" t="str">
        <f>IFERROR(VLOOKUP(B535,Signal_detection!$A$1:$C$22,2,FALSE),"")</f>
        <v/>
      </c>
      <c r="F535" t="str">
        <f>IFERROR(VLOOKUP(B535,Signal_detection!$A$1:$C$22,3,FALSE),"")</f>
        <v/>
      </c>
      <c r="G535" t="s">
        <v>0</v>
      </c>
    </row>
    <row r="536" spans="1:7" x14ac:dyDescent="0.3">
      <c r="A536" s="5">
        <v>16425796</v>
      </c>
      <c r="B536" t="s">
        <v>545</v>
      </c>
      <c r="C536" t="s">
        <v>545</v>
      </c>
      <c r="D536" t="s">
        <v>2504</v>
      </c>
      <c r="E536" t="str">
        <f>IFERROR(VLOOKUP(B536,Signal_detection!$A$1:$C$22,2,FALSE),"")</f>
        <v/>
      </c>
      <c r="F536" t="str">
        <f>IFERROR(VLOOKUP(B536,Signal_detection!$A$1:$C$22,3,FALSE),"")</f>
        <v/>
      </c>
      <c r="G536" t="s">
        <v>0</v>
      </c>
    </row>
    <row r="537" spans="1:7" x14ac:dyDescent="0.3">
      <c r="A537" s="5">
        <v>16436943</v>
      </c>
      <c r="B537" t="s">
        <v>1156</v>
      </c>
      <c r="C537" t="s">
        <v>2510</v>
      </c>
      <c r="D537" t="s">
        <v>2510</v>
      </c>
      <c r="E537" t="str">
        <f>IFERROR(VLOOKUP(B537,Signal_detection!$A$1:$C$22,2,FALSE),"")</f>
        <v/>
      </c>
      <c r="F537" t="str">
        <f>IFERROR(VLOOKUP(B537,Signal_detection!$A$1:$C$22,3,FALSE),"")</f>
        <v/>
      </c>
      <c r="G537" t="s">
        <v>0</v>
      </c>
    </row>
    <row r="538" spans="1:7" x14ac:dyDescent="0.3">
      <c r="A538" s="5">
        <v>16443526</v>
      </c>
      <c r="B538" t="s">
        <v>757</v>
      </c>
      <c r="C538" t="s">
        <v>2510</v>
      </c>
      <c r="D538" t="s">
        <v>2510</v>
      </c>
      <c r="E538" t="str">
        <f>IFERROR(VLOOKUP(B538,Signal_detection!$A$1:$C$22,2,FALSE),"")</f>
        <v/>
      </c>
      <c r="F538" t="str">
        <f>IFERROR(VLOOKUP(B538,Signal_detection!$A$1:$C$22,3,FALSE),"")</f>
        <v/>
      </c>
      <c r="G538" t="s">
        <v>125</v>
      </c>
    </row>
    <row r="539" spans="1:7" x14ac:dyDescent="0.3">
      <c r="A539" s="5">
        <v>16455277</v>
      </c>
      <c r="B539" t="s">
        <v>1272</v>
      </c>
      <c r="C539" t="s">
        <v>2510</v>
      </c>
      <c r="D539" t="s">
        <v>2510</v>
      </c>
      <c r="E539" t="str">
        <f>IFERROR(VLOOKUP(B539,Signal_detection!$A$1:$C$22,2,FALSE),"")</f>
        <v/>
      </c>
      <c r="F539" t="str">
        <f>IFERROR(VLOOKUP(B539,Signal_detection!$A$1:$C$22,3,FALSE),"")</f>
        <v/>
      </c>
      <c r="G539" t="s">
        <v>0</v>
      </c>
    </row>
    <row r="540" spans="1:7" x14ac:dyDescent="0.3">
      <c r="A540" s="5">
        <v>16456221</v>
      </c>
      <c r="B540" t="s">
        <v>2030</v>
      </c>
      <c r="C540" t="s">
        <v>2510</v>
      </c>
      <c r="D540" t="s">
        <v>2510</v>
      </c>
      <c r="E540" t="str">
        <f>IFERROR(VLOOKUP(B540,Signal_detection!$A$1:$C$22,2,FALSE),"")</f>
        <v/>
      </c>
      <c r="F540" t="str">
        <f>IFERROR(VLOOKUP(B540,Signal_detection!$A$1:$C$22,3,FALSE),"")</f>
        <v/>
      </c>
      <c r="G540" t="s">
        <v>0</v>
      </c>
    </row>
    <row r="541" spans="1:7" x14ac:dyDescent="0.3">
      <c r="A541" s="5">
        <v>16468869</v>
      </c>
      <c r="B541" t="s">
        <v>526</v>
      </c>
      <c r="C541" t="s">
        <v>2510</v>
      </c>
      <c r="D541" t="s">
        <v>2510</v>
      </c>
      <c r="E541" t="str">
        <f>IFERROR(VLOOKUP(B541,Signal_detection!$A$1:$C$22,2,FALSE),"")</f>
        <v/>
      </c>
      <c r="F541" t="str">
        <f>IFERROR(VLOOKUP(B541,Signal_detection!$A$1:$C$22,3,FALSE),"")</f>
        <v/>
      </c>
      <c r="G541" t="s">
        <v>125</v>
      </c>
    </row>
    <row r="542" spans="1:7" x14ac:dyDescent="0.3">
      <c r="A542" s="5">
        <v>16523093</v>
      </c>
      <c r="B542" t="s">
        <v>648</v>
      </c>
      <c r="C542" t="s">
        <v>2510</v>
      </c>
      <c r="D542" t="s">
        <v>2510</v>
      </c>
      <c r="E542" t="str">
        <f>IFERROR(VLOOKUP(B542,Signal_detection!$A$1:$C$22,2,FALSE),"")</f>
        <v/>
      </c>
      <c r="F542" t="str">
        <f>IFERROR(VLOOKUP(B542,Signal_detection!$A$1:$C$22,3,FALSE),"")</f>
        <v/>
      </c>
      <c r="G542" t="s">
        <v>0</v>
      </c>
    </row>
    <row r="543" spans="1:7" x14ac:dyDescent="0.3">
      <c r="A543" s="5">
        <v>16523964</v>
      </c>
      <c r="B543" t="s">
        <v>1259</v>
      </c>
      <c r="C543" t="s">
        <v>2510</v>
      </c>
      <c r="D543" t="s">
        <v>2510</v>
      </c>
      <c r="E543" t="str">
        <f>IFERROR(VLOOKUP(B543,Signal_detection!$A$1:$C$22,2,FALSE),"")</f>
        <v/>
      </c>
      <c r="F543" t="str">
        <f>IFERROR(VLOOKUP(B543,Signal_detection!$A$1:$C$22,3,FALSE),"")</f>
        <v/>
      </c>
      <c r="G543" t="s">
        <v>125</v>
      </c>
    </row>
    <row r="544" spans="1:7" x14ac:dyDescent="0.3">
      <c r="A544" s="5">
        <v>16529950</v>
      </c>
      <c r="B544" t="s">
        <v>814</v>
      </c>
      <c r="C544" t="s">
        <v>2510</v>
      </c>
      <c r="D544" t="s">
        <v>2510</v>
      </c>
      <c r="E544" t="str">
        <f>IFERROR(VLOOKUP(B544,Signal_detection!$A$1:$C$22,2,FALSE),"")</f>
        <v/>
      </c>
      <c r="F544" t="str">
        <f>IFERROR(VLOOKUP(B544,Signal_detection!$A$1:$C$22,3,FALSE),"")</f>
        <v/>
      </c>
      <c r="G544" t="s">
        <v>0</v>
      </c>
    </row>
    <row r="545" spans="1:7" x14ac:dyDescent="0.3">
      <c r="A545" s="5">
        <v>16562380</v>
      </c>
      <c r="B545" t="s">
        <v>859</v>
      </c>
      <c r="C545" t="s">
        <v>2510</v>
      </c>
      <c r="D545" t="s">
        <v>2510</v>
      </c>
      <c r="E545" t="str">
        <f>IFERROR(VLOOKUP(B545,Signal_detection!$A$1:$C$22,2,FALSE),"")</f>
        <v/>
      </c>
      <c r="F545" t="str">
        <f>IFERROR(VLOOKUP(B545,Signal_detection!$A$1:$C$22,3,FALSE),"")</f>
        <v/>
      </c>
      <c r="G545" t="s">
        <v>0</v>
      </c>
    </row>
    <row r="546" spans="1:7" x14ac:dyDescent="0.3">
      <c r="A546" s="5">
        <v>16564335</v>
      </c>
      <c r="B546" t="s">
        <v>2036</v>
      </c>
      <c r="C546" t="s">
        <v>2510</v>
      </c>
      <c r="D546" t="s">
        <v>2510</v>
      </c>
      <c r="E546" t="str">
        <f>IFERROR(VLOOKUP(B546,Signal_detection!$A$1:$C$22,2,FALSE),"")</f>
        <v/>
      </c>
      <c r="F546" t="str">
        <f>IFERROR(VLOOKUP(B546,Signal_detection!$A$1:$C$22,3,FALSE),"")</f>
        <v/>
      </c>
      <c r="G546" t="s">
        <v>0</v>
      </c>
    </row>
    <row r="547" spans="1:7" x14ac:dyDescent="0.3">
      <c r="A547" s="5">
        <v>16571758</v>
      </c>
      <c r="B547" t="s">
        <v>417</v>
      </c>
      <c r="C547" t="s">
        <v>2510</v>
      </c>
      <c r="D547" t="s">
        <v>2510</v>
      </c>
      <c r="E547" t="str">
        <f>IFERROR(VLOOKUP(B547,Signal_detection!$A$1:$C$22,2,FALSE),"")</f>
        <v/>
      </c>
      <c r="F547" t="str">
        <f>IFERROR(VLOOKUP(B547,Signal_detection!$A$1:$C$22,3,FALSE),"")</f>
        <v/>
      </c>
      <c r="G547" t="s">
        <v>125</v>
      </c>
    </row>
    <row r="548" spans="1:7" x14ac:dyDescent="0.3">
      <c r="A548" s="5">
        <v>16600082</v>
      </c>
      <c r="B548" t="s">
        <v>990</v>
      </c>
      <c r="C548" t="s">
        <v>2510</v>
      </c>
      <c r="D548" t="s">
        <v>2510</v>
      </c>
      <c r="E548" t="str">
        <f>IFERROR(VLOOKUP(B548,Signal_detection!$A$1:$C$22,2,FALSE),"")</f>
        <v/>
      </c>
      <c r="F548" t="str">
        <f>IFERROR(VLOOKUP(B548,Signal_detection!$A$1:$C$22,3,FALSE),"")</f>
        <v/>
      </c>
      <c r="G548" t="s">
        <v>0</v>
      </c>
    </row>
    <row r="549" spans="1:7" x14ac:dyDescent="0.3">
      <c r="A549" s="5">
        <v>16601747</v>
      </c>
      <c r="B549" t="s">
        <v>62</v>
      </c>
      <c r="C549" t="s">
        <v>62</v>
      </c>
      <c r="D549" t="s">
        <v>2508</v>
      </c>
      <c r="E549" t="str">
        <f>IFERROR(VLOOKUP(B549,Signal_detection!$A$1:$C$22,2,FALSE),"")</f>
        <v>Possible</v>
      </c>
      <c r="F549" t="str">
        <f>IFERROR(VLOOKUP(B549,Signal_detection!$A$1:$C$22,3,FALSE),"")</f>
        <v>Respiratory ADR</v>
      </c>
      <c r="G549" t="s">
        <v>0</v>
      </c>
    </row>
    <row r="550" spans="1:7" x14ac:dyDescent="0.3">
      <c r="A550" s="5">
        <v>16601852</v>
      </c>
      <c r="B550" t="s">
        <v>1401</v>
      </c>
      <c r="C550" t="s">
        <v>2510</v>
      </c>
      <c r="D550" t="s">
        <v>2510</v>
      </c>
      <c r="E550" t="str">
        <f>IFERROR(VLOOKUP(B550,Signal_detection!$A$1:$C$22,2,FALSE),"")</f>
        <v/>
      </c>
      <c r="F550" t="str">
        <f>IFERROR(VLOOKUP(B550,Signal_detection!$A$1:$C$22,3,FALSE),"")</f>
        <v/>
      </c>
      <c r="G550" t="s">
        <v>0</v>
      </c>
    </row>
    <row r="551" spans="1:7" x14ac:dyDescent="0.3">
      <c r="A551" s="5">
        <v>16616363</v>
      </c>
      <c r="B551" t="s">
        <v>599</v>
      </c>
      <c r="C551" t="s">
        <v>2510</v>
      </c>
      <c r="D551" t="s">
        <v>2510</v>
      </c>
      <c r="E551" t="str">
        <f>IFERROR(VLOOKUP(B551,Signal_detection!$A$1:$C$22,2,FALSE),"")</f>
        <v/>
      </c>
      <c r="F551" t="str">
        <f>IFERROR(VLOOKUP(B551,Signal_detection!$A$1:$C$22,3,FALSE),"")</f>
        <v/>
      </c>
      <c r="G551" t="s">
        <v>125</v>
      </c>
    </row>
    <row r="552" spans="1:7" x14ac:dyDescent="0.3">
      <c r="A552" s="5">
        <v>16617135</v>
      </c>
      <c r="B552" t="s">
        <v>856</v>
      </c>
      <c r="C552" t="s">
        <v>2510</v>
      </c>
      <c r="D552" t="s">
        <v>2510</v>
      </c>
      <c r="E552" t="str">
        <f>IFERROR(VLOOKUP(B552,Signal_detection!$A$1:$C$22,2,FALSE),"")</f>
        <v/>
      </c>
      <c r="F552" t="str">
        <f>IFERROR(VLOOKUP(B552,Signal_detection!$A$1:$C$22,3,FALSE),"")</f>
        <v/>
      </c>
      <c r="G552" t="s">
        <v>0</v>
      </c>
    </row>
    <row r="553" spans="1:7" x14ac:dyDescent="0.3">
      <c r="A553" s="5">
        <v>16623347</v>
      </c>
      <c r="B553" t="s">
        <v>712</v>
      </c>
      <c r="C553" t="s">
        <v>2510</v>
      </c>
      <c r="D553" t="s">
        <v>2510</v>
      </c>
      <c r="E553" t="str">
        <f>IFERROR(VLOOKUP(B553,Signal_detection!$A$1:$C$22,2,FALSE),"")</f>
        <v/>
      </c>
      <c r="F553" t="str">
        <f>IFERROR(VLOOKUP(B553,Signal_detection!$A$1:$C$22,3,FALSE),"")</f>
        <v/>
      </c>
      <c r="G553" t="s">
        <v>0</v>
      </c>
    </row>
    <row r="554" spans="1:7" x14ac:dyDescent="0.3">
      <c r="A554" s="5">
        <v>16624523</v>
      </c>
      <c r="B554" t="s">
        <v>682</v>
      </c>
      <c r="C554" t="s">
        <v>682</v>
      </c>
      <c r="D554" t="s">
        <v>2496</v>
      </c>
      <c r="E554" t="str">
        <f>IFERROR(VLOOKUP(B554,Signal_detection!$A$1:$C$22,2,FALSE),"")</f>
        <v>Possible</v>
      </c>
      <c r="F554" t="str">
        <f>IFERROR(VLOOKUP(B554,Signal_detection!$A$1:$C$22,3,FALSE),"")</f>
        <v>Infection-related event</v>
      </c>
      <c r="G554" t="s">
        <v>125</v>
      </c>
    </row>
    <row r="555" spans="1:7" x14ac:dyDescent="0.3">
      <c r="A555" s="5">
        <v>16630995</v>
      </c>
      <c r="B555" t="s">
        <v>545</v>
      </c>
      <c r="C555" t="s">
        <v>545</v>
      </c>
      <c r="D555" t="s">
        <v>2504</v>
      </c>
      <c r="E555" t="str">
        <f>IFERROR(VLOOKUP(B555,Signal_detection!$A$1:$C$22,2,FALSE),"")</f>
        <v/>
      </c>
      <c r="F555" t="str">
        <f>IFERROR(VLOOKUP(B555,Signal_detection!$A$1:$C$22,3,FALSE),"")</f>
        <v/>
      </c>
      <c r="G555" t="s">
        <v>0</v>
      </c>
    </row>
    <row r="556" spans="1:7" x14ac:dyDescent="0.3">
      <c r="A556" s="5">
        <v>16642696</v>
      </c>
      <c r="B556" t="s">
        <v>1398</v>
      </c>
      <c r="C556" t="s">
        <v>2510</v>
      </c>
      <c r="D556" t="s">
        <v>2510</v>
      </c>
      <c r="E556" t="str">
        <f>IFERROR(VLOOKUP(B556,Signal_detection!$A$1:$C$22,2,FALSE),"")</f>
        <v/>
      </c>
      <c r="F556" t="str">
        <f>IFERROR(VLOOKUP(B556,Signal_detection!$A$1:$C$22,3,FALSE),"")</f>
        <v/>
      </c>
      <c r="G556" t="s">
        <v>125</v>
      </c>
    </row>
    <row r="557" spans="1:7" x14ac:dyDescent="0.3">
      <c r="A557" s="5">
        <v>16653223</v>
      </c>
      <c r="B557" t="s">
        <v>1367</v>
      </c>
      <c r="C557" t="s">
        <v>2510</v>
      </c>
      <c r="D557" t="s">
        <v>2510</v>
      </c>
      <c r="E557" t="str">
        <f>IFERROR(VLOOKUP(B557,Signal_detection!$A$1:$C$22,2,FALSE),"")</f>
        <v/>
      </c>
      <c r="F557" t="str">
        <f>IFERROR(VLOOKUP(B557,Signal_detection!$A$1:$C$22,3,FALSE),"")</f>
        <v/>
      </c>
      <c r="G557" t="s">
        <v>0</v>
      </c>
    </row>
    <row r="558" spans="1:7" x14ac:dyDescent="0.3">
      <c r="A558" s="5">
        <v>16668244</v>
      </c>
      <c r="B558" t="s">
        <v>655</v>
      </c>
      <c r="C558" t="s">
        <v>2510</v>
      </c>
      <c r="D558" t="s">
        <v>2510</v>
      </c>
      <c r="E558" t="str">
        <f>IFERROR(VLOOKUP(B558,Signal_detection!$A$1:$C$22,2,FALSE),"")</f>
        <v/>
      </c>
      <c r="F558" t="str">
        <f>IFERROR(VLOOKUP(B558,Signal_detection!$A$1:$C$22,3,FALSE),"")</f>
        <v/>
      </c>
      <c r="G558" t="s">
        <v>125</v>
      </c>
    </row>
    <row r="559" spans="1:7" x14ac:dyDescent="0.3">
      <c r="A559" s="5">
        <v>16671337</v>
      </c>
      <c r="B559" t="s">
        <v>206</v>
      </c>
      <c r="C559" t="s">
        <v>206</v>
      </c>
      <c r="D559" t="s">
        <v>2496</v>
      </c>
      <c r="E559" t="str">
        <f>IFERROR(VLOOKUP(B559,Signal_detection!$A$1:$C$22,2,FALSE),"")</f>
        <v>Probable</v>
      </c>
      <c r="F559" t="str">
        <f>IFERROR(VLOOKUP(B559,Signal_detection!$A$1:$C$22,3,FALSE),"")</f>
        <v>Infection signal</v>
      </c>
      <c r="G559" t="s">
        <v>0</v>
      </c>
    </row>
    <row r="560" spans="1:7" x14ac:dyDescent="0.3">
      <c r="A560" s="5">
        <v>16675687</v>
      </c>
      <c r="B560" t="s">
        <v>255</v>
      </c>
      <c r="C560" t="s">
        <v>2510</v>
      </c>
      <c r="D560" t="s">
        <v>2510</v>
      </c>
      <c r="E560" t="str">
        <f>IFERROR(VLOOKUP(B560,Signal_detection!$A$1:$C$22,2,FALSE),"")</f>
        <v>Probable</v>
      </c>
      <c r="F560" t="str">
        <f>IFERROR(VLOOKUP(B560,Signal_detection!$A$1:$C$22,3,FALSE),"")</f>
        <v>Infection signal</v>
      </c>
      <c r="G560" t="s">
        <v>0</v>
      </c>
    </row>
    <row r="561" spans="1:7" x14ac:dyDescent="0.3">
      <c r="A561" s="5">
        <v>16714308</v>
      </c>
      <c r="B561" t="s">
        <v>2050</v>
      </c>
      <c r="C561" t="s">
        <v>2510</v>
      </c>
      <c r="D561" t="s">
        <v>2510</v>
      </c>
      <c r="E561" t="str">
        <f>IFERROR(VLOOKUP(B561,Signal_detection!$A$1:$C$22,2,FALSE),"")</f>
        <v/>
      </c>
      <c r="F561" t="str">
        <f>IFERROR(VLOOKUP(B561,Signal_detection!$A$1:$C$22,3,FALSE),"")</f>
        <v/>
      </c>
      <c r="G561" t="s">
        <v>0</v>
      </c>
    </row>
    <row r="562" spans="1:7" x14ac:dyDescent="0.3">
      <c r="A562" s="5">
        <v>16717048</v>
      </c>
      <c r="B562" t="s">
        <v>1310</v>
      </c>
      <c r="C562" t="s">
        <v>2510</v>
      </c>
      <c r="D562" t="s">
        <v>2510</v>
      </c>
      <c r="E562" t="str">
        <f>IFERROR(VLOOKUP(B562,Signal_detection!$A$1:$C$22,2,FALSE),"")</f>
        <v/>
      </c>
      <c r="F562" t="str">
        <f>IFERROR(VLOOKUP(B562,Signal_detection!$A$1:$C$22,3,FALSE),"")</f>
        <v/>
      </c>
      <c r="G562" t="s">
        <v>0</v>
      </c>
    </row>
    <row r="563" spans="1:7" x14ac:dyDescent="0.3">
      <c r="A563" s="5">
        <v>16720556</v>
      </c>
      <c r="B563" t="s">
        <v>2053</v>
      </c>
      <c r="C563" t="s">
        <v>2510</v>
      </c>
      <c r="D563" t="s">
        <v>2510</v>
      </c>
      <c r="E563" t="str">
        <f>IFERROR(VLOOKUP(B563,Signal_detection!$A$1:$C$22,2,FALSE),"")</f>
        <v/>
      </c>
      <c r="F563" t="str">
        <f>IFERROR(VLOOKUP(B563,Signal_detection!$A$1:$C$22,3,FALSE),"")</f>
        <v/>
      </c>
      <c r="G563" t="s">
        <v>0</v>
      </c>
    </row>
    <row r="564" spans="1:7" x14ac:dyDescent="0.3">
      <c r="A564" s="5">
        <v>16725164</v>
      </c>
      <c r="B564" t="s">
        <v>895</v>
      </c>
      <c r="C564" t="s">
        <v>2510</v>
      </c>
      <c r="D564" t="s">
        <v>2510</v>
      </c>
      <c r="E564" t="str">
        <f>IFERROR(VLOOKUP(B564,Signal_detection!$A$1:$C$22,2,FALSE),"")</f>
        <v/>
      </c>
      <c r="F564" t="str">
        <f>IFERROR(VLOOKUP(B564,Signal_detection!$A$1:$C$22,3,FALSE),"")</f>
        <v/>
      </c>
      <c r="G564" t="s">
        <v>0</v>
      </c>
    </row>
    <row r="565" spans="1:7" x14ac:dyDescent="0.3">
      <c r="A565" s="5">
        <v>16728419</v>
      </c>
      <c r="B565" t="s">
        <v>1218</v>
      </c>
      <c r="C565" t="s">
        <v>2510</v>
      </c>
      <c r="D565" t="s">
        <v>2510</v>
      </c>
      <c r="E565" t="str">
        <f>IFERROR(VLOOKUP(B565,Signal_detection!$A$1:$C$22,2,FALSE),"")</f>
        <v/>
      </c>
      <c r="F565" t="str">
        <f>IFERROR(VLOOKUP(B565,Signal_detection!$A$1:$C$22,3,FALSE),"")</f>
        <v/>
      </c>
      <c r="G565" t="s">
        <v>0</v>
      </c>
    </row>
    <row r="566" spans="1:7" x14ac:dyDescent="0.3">
      <c r="A566" s="5">
        <v>16738036</v>
      </c>
      <c r="B566" t="s">
        <v>760</v>
      </c>
      <c r="C566" t="s">
        <v>2510</v>
      </c>
      <c r="D566" t="s">
        <v>2510</v>
      </c>
      <c r="E566" t="str">
        <f>IFERROR(VLOOKUP(B566,Signal_detection!$A$1:$C$22,2,FALSE),"")</f>
        <v/>
      </c>
      <c r="F566" t="str">
        <f>IFERROR(VLOOKUP(B566,Signal_detection!$A$1:$C$22,3,FALSE),"")</f>
        <v/>
      </c>
      <c r="G566" t="s">
        <v>0</v>
      </c>
    </row>
    <row r="567" spans="1:7" x14ac:dyDescent="0.3">
      <c r="A567" s="5">
        <v>16744689</v>
      </c>
      <c r="B567" t="s">
        <v>448</v>
      </c>
      <c r="C567" t="s">
        <v>2510</v>
      </c>
      <c r="D567" t="s">
        <v>2510</v>
      </c>
      <c r="E567" t="str">
        <f>IFERROR(VLOOKUP(B567,Signal_detection!$A$1:$C$22,2,FALSE),"")</f>
        <v/>
      </c>
      <c r="F567" t="str">
        <f>IFERROR(VLOOKUP(B567,Signal_detection!$A$1:$C$22,3,FALSE),"")</f>
        <v/>
      </c>
      <c r="G567" t="s">
        <v>0</v>
      </c>
    </row>
    <row r="568" spans="1:7" x14ac:dyDescent="0.3">
      <c r="A568" s="5">
        <v>16745888</v>
      </c>
      <c r="B568" t="s">
        <v>216</v>
      </c>
      <c r="C568" t="s">
        <v>216</v>
      </c>
      <c r="D568" t="s">
        <v>2495</v>
      </c>
      <c r="E568" t="str">
        <f>IFERROR(VLOOKUP(B568,Signal_detection!$A$1:$C$22,2,FALSE),"")</f>
        <v>Probable</v>
      </c>
      <c r="F568" t="str">
        <f>IFERROR(VLOOKUP(B568,Signal_detection!$A$1:$C$22,3,FALSE),"")</f>
        <v>Severe hypersensitivity</v>
      </c>
      <c r="G568" t="s">
        <v>0</v>
      </c>
    </row>
    <row r="569" spans="1:7" x14ac:dyDescent="0.3">
      <c r="A569" s="5">
        <v>16752868</v>
      </c>
      <c r="B569" t="s">
        <v>217</v>
      </c>
      <c r="C569" t="s">
        <v>217</v>
      </c>
      <c r="D569" t="s">
        <v>2502</v>
      </c>
      <c r="E569" t="str">
        <f>IFERROR(VLOOKUP(B569,Signal_detection!$A$1:$C$22,2,FALSE),"")</f>
        <v>Unlikely</v>
      </c>
      <c r="F569" t="str">
        <f>IFERROR(VLOOKUP(B569,Signal_detection!$A$1:$C$22,3,FALSE),"")</f>
        <v>Administrative</v>
      </c>
      <c r="G569" t="s">
        <v>0</v>
      </c>
    </row>
    <row r="570" spans="1:7" x14ac:dyDescent="0.3">
      <c r="A570" s="5">
        <v>16758904</v>
      </c>
      <c r="B570" t="s">
        <v>276</v>
      </c>
      <c r="C570" t="s">
        <v>2510</v>
      </c>
      <c r="D570" t="s">
        <v>2510</v>
      </c>
      <c r="E570" t="str">
        <f>IFERROR(VLOOKUP(B570,Signal_detection!$A$1:$C$22,2,FALSE),"")</f>
        <v/>
      </c>
      <c r="F570" t="str">
        <f>IFERROR(VLOOKUP(B570,Signal_detection!$A$1:$C$22,3,FALSE),"")</f>
        <v/>
      </c>
      <c r="G570" t="s">
        <v>0</v>
      </c>
    </row>
    <row r="571" spans="1:7" x14ac:dyDescent="0.3">
      <c r="A571" s="5">
        <v>16759302</v>
      </c>
      <c r="B571" t="s">
        <v>51</v>
      </c>
      <c r="C571" t="s">
        <v>2510</v>
      </c>
      <c r="D571" t="s">
        <v>2510</v>
      </c>
      <c r="E571" t="str">
        <f>IFERROR(VLOOKUP(B571,Signal_detection!$A$1:$C$22,2,FALSE),"")</f>
        <v/>
      </c>
      <c r="F571" t="str">
        <f>IFERROR(VLOOKUP(B571,Signal_detection!$A$1:$C$22,3,FALSE),"")</f>
        <v/>
      </c>
      <c r="G571" t="s">
        <v>0</v>
      </c>
    </row>
    <row r="572" spans="1:7" x14ac:dyDescent="0.3">
      <c r="A572" s="5">
        <v>16760310</v>
      </c>
      <c r="B572" t="s">
        <v>192</v>
      </c>
      <c r="C572" t="s">
        <v>192</v>
      </c>
      <c r="D572" t="s">
        <v>2495</v>
      </c>
      <c r="E572" t="str">
        <f>IFERROR(VLOOKUP(B572,Signal_detection!$A$1:$C$22,2,FALSE),"")</f>
        <v>Probable</v>
      </c>
      <c r="F572" t="str">
        <f>IFERROR(VLOOKUP(B572,Signal_detection!$A$1:$C$22,3,FALSE),"")</f>
        <v>Hypersensitivity signal</v>
      </c>
      <c r="G572" t="s">
        <v>0</v>
      </c>
    </row>
    <row r="573" spans="1:7" x14ac:dyDescent="0.3">
      <c r="A573" s="5">
        <v>16760430</v>
      </c>
      <c r="B573" t="s">
        <v>192</v>
      </c>
      <c r="C573" t="s">
        <v>192</v>
      </c>
      <c r="D573" t="s">
        <v>2495</v>
      </c>
      <c r="E573" t="str">
        <f>IFERROR(VLOOKUP(B573,Signal_detection!$A$1:$C$22,2,FALSE),"")</f>
        <v>Probable</v>
      </c>
      <c r="F573" t="str">
        <f>IFERROR(VLOOKUP(B573,Signal_detection!$A$1:$C$22,3,FALSE),"")</f>
        <v>Hypersensitivity signal</v>
      </c>
      <c r="G573" t="s">
        <v>125</v>
      </c>
    </row>
    <row r="574" spans="1:7" x14ac:dyDescent="0.3">
      <c r="A574" s="5">
        <v>16761502</v>
      </c>
      <c r="B574" t="s">
        <v>385</v>
      </c>
      <c r="C574" t="s">
        <v>2510</v>
      </c>
      <c r="D574" t="s">
        <v>2510</v>
      </c>
      <c r="E574" t="str">
        <f>IFERROR(VLOOKUP(B574,Signal_detection!$A$1:$C$22,2,FALSE),"")</f>
        <v/>
      </c>
      <c r="F574" t="str">
        <f>IFERROR(VLOOKUP(B574,Signal_detection!$A$1:$C$22,3,FALSE),"")</f>
        <v/>
      </c>
      <c r="G574" t="s">
        <v>0</v>
      </c>
    </row>
    <row r="575" spans="1:7" x14ac:dyDescent="0.3">
      <c r="A575" s="5">
        <v>16770699</v>
      </c>
      <c r="B575" t="s">
        <v>165</v>
      </c>
      <c r="C575" t="s">
        <v>165</v>
      </c>
      <c r="D575" t="s">
        <v>2496</v>
      </c>
      <c r="E575" t="str">
        <f>IFERROR(VLOOKUP(B575,Signal_detection!$A$1:$C$22,2,FALSE),"")</f>
        <v/>
      </c>
      <c r="F575" t="str">
        <f>IFERROR(VLOOKUP(B575,Signal_detection!$A$1:$C$22,3,FALSE),"")</f>
        <v/>
      </c>
      <c r="G575" t="s">
        <v>0</v>
      </c>
    </row>
    <row r="576" spans="1:7" x14ac:dyDescent="0.3">
      <c r="A576" s="5">
        <v>16771035</v>
      </c>
      <c r="B576" t="s">
        <v>420</v>
      </c>
      <c r="C576" t="s">
        <v>2510</v>
      </c>
      <c r="D576" t="s">
        <v>2510</v>
      </c>
      <c r="E576" t="str">
        <f>IFERROR(VLOOKUP(B576,Signal_detection!$A$1:$C$22,2,FALSE),"")</f>
        <v/>
      </c>
      <c r="F576" t="str">
        <f>IFERROR(VLOOKUP(B576,Signal_detection!$A$1:$C$22,3,FALSE),"")</f>
        <v/>
      </c>
      <c r="G576" t="s">
        <v>0</v>
      </c>
    </row>
    <row r="577" spans="1:7" x14ac:dyDescent="0.3">
      <c r="A577" s="5">
        <v>16775052</v>
      </c>
      <c r="B577" t="s">
        <v>434</v>
      </c>
      <c r="C577" t="s">
        <v>2510</v>
      </c>
      <c r="D577" t="s">
        <v>2510</v>
      </c>
      <c r="E577" t="str">
        <f>IFERROR(VLOOKUP(B577,Signal_detection!$A$1:$C$22,2,FALSE),"")</f>
        <v/>
      </c>
      <c r="F577" t="str">
        <f>IFERROR(VLOOKUP(B577,Signal_detection!$A$1:$C$22,3,FALSE),"")</f>
        <v/>
      </c>
      <c r="G577" t="s">
        <v>0</v>
      </c>
    </row>
    <row r="578" spans="1:7" x14ac:dyDescent="0.3">
      <c r="A578" s="5">
        <v>16777963</v>
      </c>
      <c r="B578" t="s">
        <v>859</v>
      </c>
      <c r="C578" t="s">
        <v>2510</v>
      </c>
      <c r="D578" t="s">
        <v>2510</v>
      </c>
      <c r="E578" t="str">
        <f>IFERROR(VLOOKUP(B578,Signal_detection!$A$1:$C$22,2,FALSE),"")</f>
        <v/>
      </c>
      <c r="F578" t="str">
        <f>IFERROR(VLOOKUP(B578,Signal_detection!$A$1:$C$22,3,FALSE),"")</f>
        <v/>
      </c>
      <c r="G578" t="s">
        <v>0</v>
      </c>
    </row>
    <row r="579" spans="1:7" x14ac:dyDescent="0.3">
      <c r="A579" s="5">
        <v>16792639</v>
      </c>
      <c r="B579" t="s">
        <v>670</v>
      </c>
      <c r="C579" t="s">
        <v>2510</v>
      </c>
      <c r="D579" t="s">
        <v>2510</v>
      </c>
      <c r="E579" t="str">
        <f>IFERROR(VLOOKUP(B579,Signal_detection!$A$1:$C$22,2,FALSE),"")</f>
        <v/>
      </c>
      <c r="F579" t="str">
        <f>IFERROR(VLOOKUP(B579,Signal_detection!$A$1:$C$22,3,FALSE),"")</f>
        <v/>
      </c>
      <c r="G579" t="s">
        <v>0</v>
      </c>
    </row>
    <row r="580" spans="1:7" x14ac:dyDescent="0.3">
      <c r="A580" s="5">
        <v>16796307</v>
      </c>
      <c r="B580" t="s">
        <v>206</v>
      </c>
      <c r="C580" t="s">
        <v>206</v>
      </c>
      <c r="D580" t="s">
        <v>2496</v>
      </c>
      <c r="E580" t="str">
        <f>IFERROR(VLOOKUP(B580,Signal_detection!$A$1:$C$22,2,FALSE),"")</f>
        <v>Probable</v>
      </c>
      <c r="F580" t="str">
        <f>IFERROR(VLOOKUP(B580,Signal_detection!$A$1:$C$22,3,FALSE),"")</f>
        <v>Infection signal</v>
      </c>
      <c r="G580" t="s">
        <v>0</v>
      </c>
    </row>
    <row r="581" spans="1:7" x14ac:dyDescent="0.3">
      <c r="A581" s="5">
        <v>16797030</v>
      </c>
      <c r="B581" t="s">
        <v>435</v>
      </c>
      <c r="C581" t="s">
        <v>2510</v>
      </c>
      <c r="D581" t="s">
        <v>2510</v>
      </c>
      <c r="E581" t="str">
        <f>IFERROR(VLOOKUP(B581,Signal_detection!$A$1:$C$22,2,FALSE),"")</f>
        <v/>
      </c>
      <c r="F581" t="str">
        <f>IFERROR(VLOOKUP(B581,Signal_detection!$A$1:$C$22,3,FALSE),"")</f>
        <v/>
      </c>
      <c r="G581" t="s">
        <v>0</v>
      </c>
    </row>
    <row r="582" spans="1:7" x14ac:dyDescent="0.3">
      <c r="A582" s="5">
        <v>16797741</v>
      </c>
      <c r="B582" t="s">
        <v>994</v>
      </c>
      <c r="C582" t="s">
        <v>2510</v>
      </c>
      <c r="D582" t="s">
        <v>2510</v>
      </c>
      <c r="E582" t="str">
        <f>IFERROR(VLOOKUP(B582,Signal_detection!$A$1:$C$22,2,FALSE),"")</f>
        <v/>
      </c>
      <c r="F582" t="str">
        <f>IFERROR(VLOOKUP(B582,Signal_detection!$A$1:$C$22,3,FALSE),"")</f>
        <v/>
      </c>
      <c r="G582" t="s">
        <v>0</v>
      </c>
    </row>
    <row r="583" spans="1:7" x14ac:dyDescent="0.3">
      <c r="A583" s="5">
        <v>16802324</v>
      </c>
      <c r="B583" t="s">
        <v>978</v>
      </c>
      <c r="C583" t="s">
        <v>2510</v>
      </c>
      <c r="D583" t="s">
        <v>2510</v>
      </c>
      <c r="E583" t="str">
        <f>IFERROR(VLOOKUP(B583,Signal_detection!$A$1:$C$22,2,FALSE),"")</f>
        <v/>
      </c>
      <c r="F583" t="str">
        <f>IFERROR(VLOOKUP(B583,Signal_detection!$A$1:$C$22,3,FALSE),"")</f>
        <v/>
      </c>
      <c r="G583" t="s">
        <v>0</v>
      </c>
    </row>
    <row r="584" spans="1:7" x14ac:dyDescent="0.3">
      <c r="A584" s="5">
        <v>16808635</v>
      </c>
      <c r="B584" t="s">
        <v>754</v>
      </c>
      <c r="C584" t="s">
        <v>2510</v>
      </c>
      <c r="D584" t="s">
        <v>2510</v>
      </c>
      <c r="E584" t="str">
        <f>IFERROR(VLOOKUP(B584,Signal_detection!$A$1:$C$22,2,FALSE),"")</f>
        <v/>
      </c>
      <c r="F584" t="str">
        <f>IFERROR(VLOOKUP(B584,Signal_detection!$A$1:$C$22,3,FALSE),"")</f>
        <v/>
      </c>
      <c r="G584" t="s">
        <v>0</v>
      </c>
    </row>
    <row r="585" spans="1:7" x14ac:dyDescent="0.3">
      <c r="A585" s="5">
        <v>16810065</v>
      </c>
      <c r="B585" t="s">
        <v>1144</v>
      </c>
      <c r="C585" t="s">
        <v>2510</v>
      </c>
      <c r="D585" t="s">
        <v>2510</v>
      </c>
      <c r="E585" t="str">
        <f>IFERROR(VLOOKUP(B585,Signal_detection!$A$1:$C$22,2,FALSE),"")</f>
        <v/>
      </c>
      <c r="F585" t="str">
        <f>IFERROR(VLOOKUP(B585,Signal_detection!$A$1:$C$22,3,FALSE),"")</f>
        <v/>
      </c>
      <c r="G585" t="s">
        <v>0</v>
      </c>
    </row>
    <row r="586" spans="1:7" x14ac:dyDescent="0.3">
      <c r="A586" s="5">
        <v>16815223</v>
      </c>
      <c r="B586" t="s">
        <v>206</v>
      </c>
      <c r="C586" t="s">
        <v>206</v>
      </c>
      <c r="D586" t="s">
        <v>2496</v>
      </c>
      <c r="E586" t="str">
        <f>IFERROR(VLOOKUP(B586,Signal_detection!$A$1:$C$22,2,FALSE),"")</f>
        <v>Probable</v>
      </c>
      <c r="F586" t="str">
        <f>IFERROR(VLOOKUP(B586,Signal_detection!$A$1:$C$22,3,FALSE),"")</f>
        <v>Infection signal</v>
      </c>
      <c r="G586" t="s">
        <v>0</v>
      </c>
    </row>
    <row r="587" spans="1:7" x14ac:dyDescent="0.3">
      <c r="A587" s="5">
        <v>16816349</v>
      </c>
      <c r="B587" t="s">
        <v>1520</v>
      </c>
      <c r="C587" t="s">
        <v>2510</v>
      </c>
      <c r="D587" t="s">
        <v>2510</v>
      </c>
      <c r="E587" t="str">
        <f>IFERROR(VLOOKUP(B587,Signal_detection!$A$1:$C$22,2,FALSE),"")</f>
        <v/>
      </c>
      <c r="F587" t="str">
        <f>IFERROR(VLOOKUP(B587,Signal_detection!$A$1:$C$22,3,FALSE),"")</f>
        <v/>
      </c>
      <c r="G587" t="s">
        <v>0</v>
      </c>
    </row>
    <row r="588" spans="1:7" x14ac:dyDescent="0.3">
      <c r="A588" s="5">
        <v>16817550</v>
      </c>
      <c r="B588" t="s">
        <v>863</v>
      </c>
      <c r="C588" t="s">
        <v>2510</v>
      </c>
      <c r="D588" t="s">
        <v>2510</v>
      </c>
      <c r="E588" t="str">
        <f>IFERROR(VLOOKUP(B588,Signal_detection!$A$1:$C$22,2,FALSE),"")</f>
        <v/>
      </c>
      <c r="F588" t="str">
        <f>IFERROR(VLOOKUP(B588,Signal_detection!$A$1:$C$22,3,FALSE),"")</f>
        <v/>
      </c>
      <c r="G588" t="s">
        <v>0</v>
      </c>
    </row>
    <row r="589" spans="1:7" x14ac:dyDescent="0.3">
      <c r="A589" s="5">
        <v>16826790</v>
      </c>
      <c r="B589" t="s">
        <v>720</v>
      </c>
      <c r="C589" t="s">
        <v>2510</v>
      </c>
      <c r="D589" t="s">
        <v>2510</v>
      </c>
      <c r="E589" t="str">
        <f>IFERROR(VLOOKUP(B589,Signal_detection!$A$1:$C$22,2,FALSE),"")</f>
        <v/>
      </c>
      <c r="F589" t="str">
        <f>IFERROR(VLOOKUP(B589,Signal_detection!$A$1:$C$22,3,FALSE),"")</f>
        <v/>
      </c>
      <c r="G589" t="s">
        <v>0</v>
      </c>
    </row>
    <row r="590" spans="1:7" x14ac:dyDescent="0.3">
      <c r="A590" s="5">
        <v>16846778</v>
      </c>
      <c r="B590" t="s">
        <v>1418</v>
      </c>
      <c r="C590" t="s">
        <v>2510</v>
      </c>
      <c r="D590" t="s">
        <v>2510</v>
      </c>
      <c r="E590" t="str">
        <f>IFERROR(VLOOKUP(B590,Signal_detection!$A$1:$C$22,2,FALSE),"")</f>
        <v/>
      </c>
      <c r="F590" t="str">
        <f>IFERROR(VLOOKUP(B590,Signal_detection!$A$1:$C$22,3,FALSE),"")</f>
        <v/>
      </c>
      <c r="G590" t="s">
        <v>0</v>
      </c>
    </row>
    <row r="591" spans="1:7" x14ac:dyDescent="0.3">
      <c r="A591" s="5">
        <v>16855357</v>
      </c>
      <c r="B591" t="s">
        <v>41</v>
      </c>
      <c r="C591" t="s">
        <v>2510</v>
      </c>
      <c r="D591" t="s">
        <v>2510</v>
      </c>
      <c r="E591" t="str">
        <f>IFERROR(VLOOKUP(B591,Signal_detection!$A$1:$C$22,2,FALSE),"")</f>
        <v/>
      </c>
      <c r="F591" t="str">
        <f>IFERROR(VLOOKUP(B591,Signal_detection!$A$1:$C$22,3,FALSE),"")</f>
        <v/>
      </c>
      <c r="G591" t="s">
        <v>0</v>
      </c>
    </row>
    <row r="592" spans="1:7" x14ac:dyDescent="0.3">
      <c r="A592" s="5">
        <v>16858258</v>
      </c>
      <c r="B592" t="s">
        <v>50</v>
      </c>
      <c r="C592" t="s">
        <v>50</v>
      </c>
      <c r="D592" t="s">
        <v>2497</v>
      </c>
      <c r="E592" t="str">
        <f>IFERROR(VLOOKUP(B592,Signal_detection!$A$1:$C$22,2,FALSE),"")</f>
        <v/>
      </c>
      <c r="F592" t="str">
        <f>IFERROR(VLOOKUP(B592,Signal_detection!$A$1:$C$22,3,FALSE),"")</f>
        <v/>
      </c>
      <c r="G592" t="s">
        <v>0</v>
      </c>
    </row>
    <row r="593" spans="1:7" x14ac:dyDescent="0.3">
      <c r="A593" s="5">
        <v>16858270</v>
      </c>
      <c r="B593" t="s">
        <v>274</v>
      </c>
      <c r="C593" t="s">
        <v>274</v>
      </c>
      <c r="D593" t="s">
        <v>2494</v>
      </c>
      <c r="E593" t="str">
        <f>IFERROR(VLOOKUP(B593,Signal_detection!$A$1:$C$22,2,FALSE),"")</f>
        <v/>
      </c>
      <c r="F593" t="str">
        <f>IFERROR(VLOOKUP(B593,Signal_detection!$A$1:$C$22,3,FALSE),"")</f>
        <v/>
      </c>
      <c r="G593" t="s">
        <v>0</v>
      </c>
    </row>
    <row r="594" spans="1:7" x14ac:dyDescent="0.3">
      <c r="A594" s="5">
        <v>16861463</v>
      </c>
      <c r="B594" t="s">
        <v>1441</v>
      </c>
      <c r="C594" t="s">
        <v>2510</v>
      </c>
      <c r="D594" t="s">
        <v>2510</v>
      </c>
      <c r="E594" t="str">
        <f>IFERROR(VLOOKUP(B594,Signal_detection!$A$1:$C$22,2,FALSE),"")</f>
        <v/>
      </c>
      <c r="F594" t="str">
        <f>IFERROR(VLOOKUP(B594,Signal_detection!$A$1:$C$22,3,FALSE),"")</f>
        <v/>
      </c>
      <c r="G594" t="s">
        <v>0</v>
      </c>
    </row>
    <row r="595" spans="1:7" x14ac:dyDescent="0.3">
      <c r="A595" s="5">
        <v>16861684</v>
      </c>
      <c r="B595" t="s">
        <v>1309</v>
      </c>
      <c r="C595" t="s">
        <v>2510</v>
      </c>
      <c r="D595" t="s">
        <v>2510</v>
      </c>
      <c r="E595" t="str">
        <f>IFERROR(VLOOKUP(B595,Signal_detection!$A$1:$C$22,2,FALSE),"")</f>
        <v/>
      </c>
      <c r="F595" t="str">
        <f>IFERROR(VLOOKUP(B595,Signal_detection!$A$1:$C$22,3,FALSE),"")</f>
        <v/>
      </c>
      <c r="G595" t="s">
        <v>125</v>
      </c>
    </row>
    <row r="596" spans="1:7" x14ac:dyDescent="0.3">
      <c r="A596" s="5">
        <v>16863482</v>
      </c>
      <c r="B596" t="s">
        <v>1465</v>
      </c>
      <c r="C596" t="s">
        <v>2510</v>
      </c>
      <c r="D596" t="s">
        <v>2510</v>
      </c>
      <c r="E596" t="str">
        <f>IFERROR(VLOOKUP(B596,Signal_detection!$A$1:$C$22,2,FALSE),"")</f>
        <v/>
      </c>
      <c r="F596" t="str">
        <f>IFERROR(VLOOKUP(B596,Signal_detection!$A$1:$C$22,3,FALSE),"")</f>
        <v/>
      </c>
      <c r="G596" t="s">
        <v>0</v>
      </c>
    </row>
    <row r="597" spans="1:7" x14ac:dyDescent="0.3">
      <c r="A597" s="5">
        <v>16863745</v>
      </c>
      <c r="B597" t="s">
        <v>2084</v>
      </c>
      <c r="C597" t="s">
        <v>2510</v>
      </c>
      <c r="D597" t="s">
        <v>2510</v>
      </c>
      <c r="E597" t="str">
        <f>IFERROR(VLOOKUP(B597,Signal_detection!$A$1:$C$22,2,FALSE),"")</f>
        <v/>
      </c>
      <c r="F597" t="str">
        <f>IFERROR(VLOOKUP(B597,Signal_detection!$A$1:$C$22,3,FALSE),"")</f>
        <v/>
      </c>
      <c r="G597" t="s">
        <v>0</v>
      </c>
    </row>
    <row r="598" spans="1:7" x14ac:dyDescent="0.3">
      <c r="A598" s="5">
        <v>16863785</v>
      </c>
      <c r="B598" t="s">
        <v>2086</v>
      </c>
      <c r="C598" t="s">
        <v>2510</v>
      </c>
      <c r="D598" t="s">
        <v>2510</v>
      </c>
      <c r="E598" t="str">
        <f>IFERROR(VLOOKUP(B598,Signal_detection!$A$1:$C$22,2,FALSE),"")</f>
        <v/>
      </c>
      <c r="F598" t="str">
        <f>IFERROR(VLOOKUP(B598,Signal_detection!$A$1:$C$22,3,FALSE),"")</f>
        <v/>
      </c>
      <c r="G598" t="s">
        <v>0</v>
      </c>
    </row>
    <row r="599" spans="1:7" x14ac:dyDescent="0.3">
      <c r="A599" s="5">
        <v>16864856</v>
      </c>
      <c r="B599" t="s">
        <v>2088</v>
      </c>
      <c r="C599" t="s">
        <v>2510</v>
      </c>
      <c r="D599" t="s">
        <v>2510</v>
      </c>
      <c r="E599" t="str">
        <f>IFERROR(VLOOKUP(B599,Signal_detection!$A$1:$C$22,2,FALSE),"")</f>
        <v/>
      </c>
      <c r="F599" t="str">
        <f>IFERROR(VLOOKUP(B599,Signal_detection!$A$1:$C$22,3,FALSE),"")</f>
        <v/>
      </c>
      <c r="G599" t="s">
        <v>0</v>
      </c>
    </row>
    <row r="600" spans="1:7" x14ac:dyDescent="0.3">
      <c r="A600" s="5">
        <v>16865540</v>
      </c>
      <c r="B600" t="s">
        <v>262</v>
      </c>
      <c r="C600" t="s">
        <v>2510</v>
      </c>
      <c r="D600" t="s">
        <v>2510</v>
      </c>
      <c r="E600" t="str">
        <f>IFERROR(VLOOKUP(B600,Signal_detection!$A$1:$C$22,2,FALSE),"")</f>
        <v/>
      </c>
      <c r="F600" t="str">
        <f>IFERROR(VLOOKUP(B600,Signal_detection!$A$1:$C$22,3,FALSE),"")</f>
        <v/>
      </c>
      <c r="G600" t="s">
        <v>0</v>
      </c>
    </row>
    <row r="601" spans="1:7" x14ac:dyDescent="0.3">
      <c r="A601" s="5">
        <v>16872990</v>
      </c>
      <c r="B601" t="s">
        <v>962</v>
      </c>
      <c r="C601" t="s">
        <v>2510</v>
      </c>
      <c r="D601" t="s">
        <v>2510</v>
      </c>
      <c r="E601" t="str">
        <f>IFERROR(VLOOKUP(B601,Signal_detection!$A$1:$C$22,2,FALSE),"")</f>
        <v/>
      </c>
      <c r="F601" t="str">
        <f>IFERROR(VLOOKUP(B601,Signal_detection!$A$1:$C$22,3,FALSE),"")</f>
        <v/>
      </c>
      <c r="G601" t="s">
        <v>0</v>
      </c>
    </row>
    <row r="602" spans="1:7" x14ac:dyDescent="0.3">
      <c r="A602" s="5">
        <v>16873616</v>
      </c>
      <c r="B602" t="s">
        <v>1576</v>
      </c>
      <c r="C602" t="s">
        <v>2510</v>
      </c>
      <c r="D602" t="s">
        <v>2510</v>
      </c>
      <c r="E602" t="str">
        <f>IFERROR(VLOOKUP(B602,Signal_detection!$A$1:$C$22,2,FALSE),"")</f>
        <v/>
      </c>
      <c r="F602" t="str">
        <f>IFERROR(VLOOKUP(B602,Signal_detection!$A$1:$C$22,3,FALSE),"")</f>
        <v/>
      </c>
      <c r="G602" t="s">
        <v>0</v>
      </c>
    </row>
    <row r="603" spans="1:7" x14ac:dyDescent="0.3">
      <c r="A603" s="5">
        <v>16878045</v>
      </c>
      <c r="B603" t="s">
        <v>152</v>
      </c>
      <c r="C603" t="s">
        <v>2510</v>
      </c>
      <c r="D603" t="s">
        <v>2510</v>
      </c>
      <c r="E603" t="str">
        <f>IFERROR(VLOOKUP(B603,Signal_detection!$A$1:$C$22,2,FALSE),"")</f>
        <v/>
      </c>
      <c r="F603" t="str">
        <f>IFERROR(VLOOKUP(B603,Signal_detection!$A$1:$C$22,3,FALSE),"")</f>
        <v/>
      </c>
      <c r="G603" t="s">
        <v>0</v>
      </c>
    </row>
    <row r="604" spans="1:7" x14ac:dyDescent="0.3">
      <c r="A604" s="5">
        <v>16878338</v>
      </c>
      <c r="B604" t="s">
        <v>206</v>
      </c>
      <c r="C604" t="s">
        <v>206</v>
      </c>
      <c r="D604" t="s">
        <v>2496</v>
      </c>
      <c r="E604" t="str">
        <f>IFERROR(VLOOKUP(B604,Signal_detection!$A$1:$C$22,2,FALSE),"")</f>
        <v>Probable</v>
      </c>
      <c r="F604" t="str">
        <f>IFERROR(VLOOKUP(B604,Signal_detection!$A$1:$C$22,3,FALSE),"")</f>
        <v>Infection signal</v>
      </c>
      <c r="G604" t="s">
        <v>0</v>
      </c>
    </row>
    <row r="605" spans="1:7" x14ac:dyDescent="0.3">
      <c r="A605" s="5">
        <v>16879312</v>
      </c>
      <c r="B605" t="s">
        <v>439</v>
      </c>
      <c r="C605" t="s">
        <v>2510</v>
      </c>
      <c r="D605" t="s">
        <v>2510</v>
      </c>
      <c r="E605" t="str">
        <f>IFERROR(VLOOKUP(B605,Signal_detection!$A$1:$C$22,2,FALSE),"")</f>
        <v/>
      </c>
      <c r="F605" t="str">
        <f>IFERROR(VLOOKUP(B605,Signal_detection!$A$1:$C$22,3,FALSE),"")</f>
        <v/>
      </c>
      <c r="G605" t="s">
        <v>0</v>
      </c>
    </row>
    <row r="606" spans="1:7" x14ac:dyDescent="0.3">
      <c r="A606" s="5">
        <v>16882798</v>
      </c>
      <c r="B606" t="s">
        <v>41</v>
      </c>
      <c r="C606" t="s">
        <v>2510</v>
      </c>
      <c r="D606" t="s">
        <v>2510</v>
      </c>
      <c r="E606" t="str">
        <f>IFERROR(VLOOKUP(B606,Signal_detection!$A$1:$C$22,2,FALSE),"")</f>
        <v/>
      </c>
      <c r="F606" t="str">
        <f>IFERROR(VLOOKUP(B606,Signal_detection!$A$1:$C$22,3,FALSE),"")</f>
        <v/>
      </c>
      <c r="G606" t="s">
        <v>0</v>
      </c>
    </row>
    <row r="607" spans="1:7" x14ac:dyDescent="0.3">
      <c r="A607" s="5">
        <v>16882803</v>
      </c>
      <c r="B607" t="s">
        <v>216</v>
      </c>
      <c r="C607" t="s">
        <v>216</v>
      </c>
      <c r="D607" t="s">
        <v>2495</v>
      </c>
      <c r="E607" t="str">
        <f>IFERROR(VLOOKUP(B607,Signal_detection!$A$1:$C$22,2,FALSE),"")</f>
        <v>Probable</v>
      </c>
      <c r="F607" t="str">
        <f>IFERROR(VLOOKUP(B607,Signal_detection!$A$1:$C$22,3,FALSE),"")</f>
        <v>Severe hypersensitivity</v>
      </c>
      <c r="G607" t="s">
        <v>0</v>
      </c>
    </row>
    <row r="608" spans="1:7" x14ac:dyDescent="0.3">
      <c r="A608" s="5">
        <v>16884748</v>
      </c>
      <c r="B608" t="s">
        <v>1227</v>
      </c>
      <c r="C608" t="s">
        <v>2510</v>
      </c>
      <c r="D608" t="s">
        <v>2510</v>
      </c>
      <c r="E608" t="str">
        <f>IFERROR(VLOOKUP(B608,Signal_detection!$A$1:$C$22,2,FALSE),"")</f>
        <v/>
      </c>
      <c r="F608" t="str">
        <f>IFERROR(VLOOKUP(B608,Signal_detection!$A$1:$C$22,3,FALSE),"")</f>
        <v/>
      </c>
      <c r="G608" t="s">
        <v>0</v>
      </c>
    </row>
    <row r="609" spans="1:7" x14ac:dyDescent="0.3">
      <c r="A609" s="5">
        <v>16886750</v>
      </c>
      <c r="B609" t="s">
        <v>806</v>
      </c>
      <c r="C609" t="s">
        <v>2510</v>
      </c>
      <c r="D609" t="s">
        <v>2510</v>
      </c>
      <c r="E609" t="str">
        <f>IFERROR(VLOOKUP(B609,Signal_detection!$A$1:$C$22,2,FALSE),"")</f>
        <v/>
      </c>
      <c r="F609" t="str">
        <f>IFERROR(VLOOKUP(B609,Signal_detection!$A$1:$C$22,3,FALSE),"")</f>
        <v/>
      </c>
      <c r="G609" t="s">
        <v>0</v>
      </c>
    </row>
    <row r="610" spans="1:7" x14ac:dyDescent="0.3">
      <c r="A610" s="5">
        <v>16892050</v>
      </c>
      <c r="B610" t="s">
        <v>76</v>
      </c>
      <c r="C610" t="s">
        <v>2510</v>
      </c>
      <c r="D610" t="s">
        <v>2510</v>
      </c>
      <c r="E610" t="str">
        <f>IFERROR(VLOOKUP(B610,Signal_detection!$A$1:$C$22,2,FALSE),"")</f>
        <v/>
      </c>
      <c r="F610" t="str">
        <f>IFERROR(VLOOKUP(B610,Signal_detection!$A$1:$C$22,3,FALSE),"")</f>
        <v/>
      </c>
      <c r="G610" t="s">
        <v>0</v>
      </c>
    </row>
    <row r="611" spans="1:7" x14ac:dyDescent="0.3">
      <c r="A611" s="5">
        <v>16909030</v>
      </c>
      <c r="B611" t="s">
        <v>839</v>
      </c>
      <c r="C611" t="s">
        <v>2510</v>
      </c>
      <c r="D611" t="s">
        <v>2510</v>
      </c>
      <c r="E611" t="str">
        <f>IFERROR(VLOOKUP(B611,Signal_detection!$A$1:$C$22,2,FALSE),"")</f>
        <v/>
      </c>
      <c r="F611" t="str">
        <f>IFERROR(VLOOKUP(B611,Signal_detection!$A$1:$C$22,3,FALSE),"")</f>
        <v/>
      </c>
      <c r="G611" t="s">
        <v>125</v>
      </c>
    </row>
    <row r="612" spans="1:7" x14ac:dyDescent="0.3">
      <c r="A612" s="5">
        <v>16910479</v>
      </c>
      <c r="B612" t="s">
        <v>857</v>
      </c>
      <c r="C612" t="s">
        <v>2510</v>
      </c>
      <c r="D612" t="s">
        <v>2510</v>
      </c>
      <c r="E612" t="str">
        <f>IFERROR(VLOOKUP(B612,Signal_detection!$A$1:$C$22,2,FALSE),"")</f>
        <v/>
      </c>
      <c r="F612" t="str">
        <f>IFERROR(VLOOKUP(B612,Signal_detection!$A$1:$C$22,3,FALSE),"")</f>
        <v/>
      </c>
      <c r="G612" t="s">
        <v>0</v>
      </c>
    </row>
    <row r="613" spans="1:7" x14ac:dyDescent="0.3">
      <c r="A613" s="5">
        <v>16910655</v>
      </c>
      <c r="B613" t="s">
        <v>50</v>
      </c>
      <c r="C613" t="s">
        <v>50</v>
      </c>
      <c r="D613" t="s">
        <v>2497</v>
      </c>
      <c r="E613" t="str">
        <f>IFERROR(VLOOKUP(B613,Signal_detection!$A$1:$C$22,2,FALSE),"")</f>
        <v/>
      </c>
      <c r="F613" t="str">
        <f>IFERROR(VLOOKUP(B613,Signal_detection!$A$1:$C$22,3,FALSE),"")</f>
        <v/>
      </c>
      <c r="G613" t="s">
        <v>0</v>
      </c>
    </row>
    <row r="614" spans="1:7" x14ac:dyDescent="0.3">
      <c r="A614" s="5">
        <v>16913973</v>
      </c>
      <c r="B614" t="s">
        <v>515</v>
      </c>
      <c r="C614" t="s">
        <v>2510</v>
      </c>
      <c r="D614" t="s">
        <v>2510</v>
      </c>
      <c r="E614" t="str">
        <f>IFERROR(VLOOKUP(B614,Signal_detection!$A$1:$C$22,2,FALSE),"")</f>
        <v/>
      </c>
      <c r="F614" t="str">
        <f>IFERROR(VLOOKUP(B614,Signal_detection!$A$1:$C$22,3,FALSE),"")</f>
        <v/>
      </c>
      <c r="G614" t="s">
        <v>0</v>
      </c>
    </row>
    <row r="615" spans="1:7" x14ac:dyDescent="0.3">
      <c r="A615" s="5">
        <v>16914994</v>
      </c>
      <c r="B615" t="s">
        <v>838</v>
      </c>
      <c r="C615" t="s">
        <v>838</v>
      </c>
      <c r="D615" t="s">
        <v>2495</v>
      </c>
      <c r="E615" t="str">
        <f>IFERROR(VLOOKUP(B615,Signal_detection!$A$1:$C$22,2,FALSE),"")</f>
        <v>Probable</v>
      </c>
      <c r="F615" t="str">
        <f>IFERROR(VLOOKUP(B615,Signal_detection!$A$1:$C$22,3,FALSE),"")</f>
        <v>Serious allergy signal</v>
      </c>
      <c r="G615" t="s">
        <v>0</v>
      </c>
    </row>
    <row r="616" spans="1:7" x14ac:dyDescent="0.3">
      <c r="A616" s="5">
        <v>16923482</v>
      </c>
      <c r="B616" t="s">
        <v>642</v>
      </c>
      <c r="C616" t="s">
        <v>2510</v>
      </c>
      <c r="D616" t="s">
        <v>2510</v>
      </c>
      <c r="E616" t="str">
        <f>IFERROR(VLOOKUP(B616,Signal_detection!$A$1:$C$22,2,FALSE),"")</f>
        <v/>
      </c>
      <c r="F616" t="str">
        <f>IFERROR(VLOOKUP(B616,Signal_detection!$A$1:$C$22,3,FALSE),"")</f>
        <v/>
      </c>
      <c r="G616" t="s">
        <v>0</v>
      </c>
    </row>
    <row r="617" spans="1:7" x14ac:dyDescent="0.3">
      <c r="A617" s="5">
        <v>16930445</v>
      </c>
      <c r="B617" t="s">
        <v>2102</v>
      </c>
      <c r="C617" t="s">
        <v>2510</v>
      </c>
      <c r="D617" t="s">
        <v>2510</v>
      </c>
      <c r="E617" t="str">
        <f>IFERROR(VLOOKUP(B617,Signal_detection!$A$1:$C$22,2,FALSE),"")</f>
        <v/>
      </c>
      <c r="F617" t="str">
        <f>IFERROR(VLOOKUP(B617,Signal_detection!$A$1:$C$22,3,FALSE),"")</f>
        <v/>
      </c>
      <c r="G617" t="s">
        <v>0</v>
      </c>
    </row>
    <row r="618" spans="1:7" x14ac:dyDescent="0.3">
      <c r="A618" s="5">
        <v>16933662</v>
      </c>
      <c r="B618" t="s">
        <v>957</v>
      </c>
      <c r="C618" t="s">
        <v>2510</v>
      </c>
      <c r="D618" t="s">
        <v>2510</v>
      </c>
      <c r="E618" t="str">
        <f>IFERROR(VLOOKUP(B618,Signal_detection!$A$1:$C$22,2,FALSE),"")</f>
        <v/>
      </c>
      <c r="F618" t="str">
        <f>IFERROR(VLOOKUP(B618,Signal_detection!$A$1:$C$22,3,FALSE),"")</f>
        <v/>
      </c>
      <c r="G618" t="s">
        <v>125</v>
      </c>
    </row>
    <row r="619" spans="1:7" x14ac:dyDescent="0.3">
      <c r="A619" s="5">
        <v>16941431</v>
      </c>
      <c r="B619" t="s">
        <v>300</v>
      </c>
      <c r="C619" t="s">
        <v>2510</v>
      </c>
      <c r="D619" t="s">
        <v>2510</v>
      </c>
      <c r="E619" t="str">
        <f>IFERROR(VLOOKUP(B619,Signal_detection!$A$1:$C$22,2,FALSE),"")</f>
        <v/>
      </c>
      <c r="F619" t="str">
        <f>IFERROR(VLOOKUP(B619,Signal_detection!$A$1:$C$22,3,FALSE),"")</f>
        <v/>
      </c>
      <c r="G619" t="s">
        <v>0</v>
      </c>
    </row>
    <row r="620" spans="1:7" x14ac:dyDescent="0.3">
      <c r="A620" s="5">
        <v>16942308</v>
      </c>
      <c r="B620" t="s">
        <v>308</v>
      </c>
      <c r="C620" t="s">
        <v>308</v>
      </c>
      <c r="D620" t="s">
        <v>2497</v>
      </c>
      <c r="E620" t="str">
        <f>IFERROR(VLOOKUP(B620,Signal_detection!$A$1:$C$22,2,FALSE),"")</f>
        <v/>
      </c>
      <c r="F620" t="str">
        <f>IFERROR(VLOOKUP(B620,Signal_detection!$A$1:$C$22,3,FALSE),"")</f>
        <v/>
      </c>
      <c r="G620" t="s">
        <v>125</v>
      </c>
    </row>
    <row r="621" spans="1:7" x14ac:dyDescent="0.3">
      <c r="A621" s="5">
        <v>16943184</v>
      </c>
      <c r="B621" t="s">
        <v>767</v>
      </c>
      <c r="C621" t="s">
        <v>2510</v>
      </c>
      <c r="D621" t="s">
        <v>2510</v>
      </c>
      <c r="E621" t="str">
        <f>IFERROR(VLOOKUP(B621,Signal_detection!$A$1:$C$22,2,FALSE),"")</f>
        <v/>
      </c>
      <c r="F621" t="str">
        <f>IFERROR(VLOOKUP(B621,Signal_detection!$A$1:$C$22,3,FALSE),"")</f>
        <v/>
      </c>
      <c r="G621" t="s">
        <v>125</v>
      </c>
    </row>
    <row r="622" spans="1:7" x14ac:dyDescent="0.3">
      <c r="A622" s="5">
        <v>16945553</v>
      </c>
      <c r="B622" t="s">
        <v>1740</v>
      </c>
      <c r="C622" t="s">
        <v>1740</v>
      </c>
      <c r="D622" t="s">
        <v>2494</v>
      </c>
      <c r="E622" t="str">
        <f>IFERROR(VLOOKUP(B622,Signal_detection!$A$1:$C$22,2,FALSE),"")</f>
        <v/>
      </c>
      <c r="F622" t="str">
        <f>IFERROR(VLOOKUP(B622,Signal_detection!$A$1:$C$22,3,FALSE),"")</f>
        <v/>
      </c>
      <c r="G622" t="s">
        <v>0</v>
      </c>
    </row>
    <row r="623" spans="1:7" x14ac:dyDescent="0.3">
      <c r="A623" s="5">
        <v>16955660</v>
      </c>
      <c r="B623" t="s">
        <v>1185</v>
      </c>
      <c r="C623" t="s">
        <v>2510</v>
      </c>
      <c r="D623" t="s">
        <v>2510</v>
      </c>
      <c r="E623" t="str">
        <f>IFERROR(VLOOKUP(B623,Signal_detection!$A$1:$C$22,2,FALSE),"")</f>
        <v/>
      </c>
      <c r="F623" t="str">
        <f>IFERROR(VLOOKUP(B623,Signal_detection!$A$1:$C$22,3,FALSE),"")</f>
        <v/>
      </c>
      <c r="G623" t="s">
        <v>0</v>
      </c>
    </row>
    <row r="624" spans="1:7" x14ac:dyDescent="0.3">
      <c r="A624" s="5">
        <v>16962951</v>
      </c>
      <c r="B624" t="s">
        <v>920</v>
      </c>
      <c r="C624" t="s">
        <v>2510</v>
      </c>
      <c r="D624" t="s">
        <v>2510</v>
      </c>
      <c r="E624" t="str">
        <f>IFERROR(VLOOKUP(B624,Signal_detection!$A$1:$C$22,2,FALSE),"")</f>
        <v/>
      </c>
      <c r="F624" t="str">
        <f>IFERROR(VLOOKUP(B624,Signal_detection!$A$1:$C$22,3,FALSE),"")</f>
        <v/>
      </c>
      <c r="G624" t="s">
        <v>0</v>
      </c>
    </row>
    <row r="625" spans="1:7" x14ac:dyDescent="0.3">
      <c r="A625" s="5">
        <v>16974752</v>
      </c>
      <c r="B625" t="s">
        <v>432</v>
      </c>
      <c r="C625" t="s">
        <v>2510</v>
      </c>
      <c r="D625" t="s">
        <v>2510</v>
      </c>
      <c r="E625" t="str">
        <f>IFERROR(VLOOKUP(B625,Signal_detection!$A$1:$C$22,2,FALSE),"")</f>
        <v/>
      </c>
      <c r="F625" t="str">
        <f>IFERROR(VLOOKUP(B625,Signal_detection!$A$1:$C$22,3,FALSE),"")</f>
        <v/>
      </c>
      <c r="G625" t="s">
        <v>0</v>
      </c>
    </row>
    <row r="626" spans="1:7" x14ac:dyDescent="0.3">
      <c r="A626" s="5">
        <v>16979305</v>
      </c>
      <c r="B626" t="s">
        <v>928</v>
      </c>
      <c r="C626" t="s">
        <v>2510</v>
      </c>
      <c r="D626" t="s">
        <v>2510</v>
      </c>
      <c r="E626" t="str">
        <f>IFERROR(VLOOKUP(B626,Signal_detection!$A$1:$C$22,2,FALSE),"")</f>
        <v/>
      </c>
      <c r="F626" t="str">
        <f>IFERROR(VLOOKUP(B626,Signal_detection!$A$1:$C$22,3,FALSE),"")</f>
        <v/>
      </c>
      <c r="G626" t="s">
        <v>0</v>
      </c>
    </row>
    <row r="627" spans="1:7" x14ac:dyDescent="0.3">
      <c r="A627" s="5">
        <v>16982183</v>
      </c>
      <c r="B627" t="s">
        <v>893</v>
      </c>
      <c r="C627" t="s">
        <v>2510</v>
      </c>
      <c r="D627" t="s">
        <v>2510</v>
      </c>
      <c r="E627" t="str">
        <f>IFERROR(VLOOKUP(B627,Signal_detection!$A$1:$C$22,2,FALSE),"")</f>
        <v/>
      </c>
      <c r="F627" t="str">
        <f>IFERROR(VLOOKUP(B627,Signal_detection!$A$1:$C$22,3,FALSE),"")</f>
        <v/>
      </c>
      <c r="G627" t="s">
        <v>0</v>
      </c>
    </row>
    <row r="628" spans="1:7" x14ac:dyDescent="0.3">
      <c r="A628" s="5">
        <v>16985756</v>
      </c>
      <c r="B628" t="s">
        <v>2111</v>
      </c>
      <c r="C628" t="s">
        <v>2510</v>
      </c>
      <c r="D628" t="s">
        <v>2510</v>
      </c>
      <c r="E628" t="str">
        <f>IFERROR(VLOOKUP(B628,Signal_detection!$A$1:$C$22,2,FALSE),"")</f>
        <v/>
      </c>
      <c r="F628" t="str">
        <f>IFERROR(VLOOKUP(B628,Signal_detection!$A$1:$C$22,3,FALSE),"")</f>
        <v/>
      </c>
      <c r="G628" t="s">
        <v>0</v>
      </c>
    </row>
    <row r="629" spans="1:7" x14ac:dyDescent="0.3">
      <c r="A629" s="5">
        <v>16991364</v>
      </c>
      <c r="B629" t="s">
        <v>310</v>
      </c>
      <c r="C629" t="s">
        <v>2510</v>
      </c>
      <c r="D629" t="s">
        <v>2510</v>
      </c>
      <c r="E629" t="str">
        <f>IFERROR(VLOOKUP(B629,Signal_detection!$A$1:$C$22,2,FALSE),"")</f>
        <v/>
      </c>
      <c r="F629" t="str">
        <f>IFERROR(VLOOKUP(B629,Signal_detection!$A$1:$C$22,3,FALSE),"")</f>
        <v/>
      </c>
      <c r="G629" t="s">
        <v>0</v>
      </c>
    </row>
    <row r="630" spans="1:7" x14ac:dyDescent="0.3">
      <c r="A630" s="5">
        <v>16997292</v>
      </c>
      <c r="B630" t="s">
        <v>159</v>
      </c>
      <c r="C630" t="s">
        <v>159</v>
      </c>
      <c r="D630" t="s">
        <v>2499</v>
      </c>
      <c r="E630" t="str">
        <f>IFERROR(VLOOKUP(B630,Signal_detection!$A$1:$C$22,2,FALSE),"")</f>
        <v>Possible</v>
      </c>
      <c r="F630" t="str">
        <f>IFERROR(VLOOKUP(B630,Signal_detection!$A$1:$C$22,3,FALSE),"")</f>
        <v>Non-serious ADR</v>
      </c>
      <c r="G630" t="s">
        <v>0</v>
      </c>
    </row>
    <row r="631" spans="1:7" x14ac:dyDescent="0.3">
      <c r="A631" s="5">
        <v>17000073</v>
      </c>
      <c r="B631" t="s">
        <v>1326</v>
      </c>
      <c r="C631" t="s">
        <v>2510</v>
      </c>
      <c r="D631" t="s">
        <v>2510</v>
      </c>
      <c r="E631" t="str">
        <f>IFERROR(VLOOKUP(B631,Signal_detection!$A$1:$C$22,2,FALSE),"")</f>
        <v/>
      </c>
      <c r="F631" t="str">
        <f>IFERROR(VLOOKUP(B631,Signal_detection!$A$1:$C$22,3,FALSE),"")</f>
        <v/>
      </c>
      <c r="G631" t="s">
        <v>0</v>
      </c>
    </row>
    <row r="632" spans="1:7" x14ac:dyDescent="0.3">
      <c r="A632" s="5">
        <v>17003466</v>
      </c>
      <c r="B632" t="s">
        <v>964</v>
      </c>
      <c r="C632" t="s">
        <v>2510</v>
      </c>
      <c r="D632" t="s">
        <v>2510</v>
      </c>
      <c r="E632" t="str">
        <f>IFERROR(VLOOKUP(B632,Signal_detection!$A$1:$C$22,2,FALSE),"")</f>
        <v/>
      </c>
      <c r="F632" t="str">
        <f>IFERROR(VLOOKUP(B632,Signal_detection!$A$1:$C$22,3,FALSE),"")</f>
        <v/>
      </c>
      <c r="G632" t="s">
        <v>0</v>
      </c>
    </row>
    <row r="633" spans="1:7" x14ac:dyDescent="0.3">
      <c r="A633" s="5">
        <v>17004308</v>
      </c>
      <c r="B633" t="s">
        <v>1373</v>
      </c>
      <c r="C633" t="s">
        <v>2510</v>
      </c>
      <c r="D633" t="s">
        <v>2510</v>
      </c>
      <c r="E633" t="str">
        <f>IFERROR(VLOOKUP(B633,Signal_detection!$A$1:$C$22,2,FALSE),"")</f>
        <v/>
      </c>
      <c r="F633" t="str">
        <f>IFERROR(VLOOKUP(B633,Signal_detection!$A$1:$C$22,3,FALSE),"")</f>
        <v/>
      </c>
      <c r="G633" t="s">
        <v>0</v>
      </c>
    </row>
    <row r="634" spans="1:7" x14ac:dyDescent="0.3">
      <c r="A634" s="5">
        <v>17010273</v>
      </c>
      <c r="B634" t="s">
        <v>1516</v>
      </c>
      <c r="C634" t="s">
        <v>2510</v>
      </c>
      <c r="D634" t="s">
        <v>2510</v>
      </c>
      <c r="E634" t="str">
        <f>IFERROR(VLOOKUP(B634,Signal_detection!$A$1:$C$22,2,FALSE),"")</f>
        <v/>
      </c>
      <c r="F634" t="str">
        <f>IFERROR(VLOOKUP(B634,Signal_detection!$A$1:$C$22,3,FALSE),"")</f>
        <v/>
      </c>
      <c r="G634" t="s">
        <v>125</v>
      </c>
    </row>
    <row r="635" spans="1:7" x14ac:dyDescent="0.3">
      <c r="A635" s="5">
        <v>17021321</v>
      </c>
      <c r="B635" t="s">
        <v>1042</v>
      </c>
      <c r="C635" t="s">
        <v>2510</v>
      </c>
      <c r="D635" t="s">
        <v>2510</v>
      </c>
      <c r="E635" t="str">
        <f>IFERROR(VLOOKUP(B635,Signal_detection!$A$1:$C$22,2,FALSE),"")</f>
        <v/>
      </c>
      <c r="F635" t="str">
        <f>IFERROR(VLOOKUP(B635,Signal_detection!$A$1:$C$22,3,FALSE),"")</f>
        <v/>
      </c>
      <c r="G635" t="s">
        <v>125</v>
      </c>
    </row>
    <row r="636" spans="1:7" x14ac:dyDescent="0.3">
      <c r="A636" s="5">
        <v>17029598</v>
      </c>
      <c r="B636" t="s">
        <v>982</v>
      </c>
      <c r="C636" t="s">
        <v>2510</v>
      </c>
      <c r="D636" t="s">
        <v>2510</v>
      </c>
      <c r="E636" t="str">
        <f>IFERROR(VLOOKUP(B636,Signal_detection!$A$1:$C$22,2,FALSE),"")</f>
        <v/>
      </c>
      <c r="F636" t="str">
        <f>IFERROR(VLOOKUP(B636,Signal_detection!$A$1:$C$22,3,FALSE),"")</f>
        <v/>
      </c>
      <c r="G636" t="s">
        <v>0</v>
      </c>
    </row>
    <row r="637" spans="1:7" x14ac:dyDescent="0.3">
      <c r="A637" s="5">
        <v>17032859</v>
      </c>
      <c r="B637" t="s">
        <v>159</v>
      </c>
      <c r="C637" t="s">
        <v>159</v>
      </c>
      <c r="D637" t="s">
        <v>2499</v>
      </c>
      <c r="E637" t="str">
        <f>IFERROR(VLOOKUP(B637,Signal_detection!$A$1:$C$22,2,FALSE),"")</f>
        <v>Possible</v>
      </c>
      <c r="F637" t="str">
        <f>IFERROR(VLOOKUP(B637,Signal_detection!$A$1:$C$22,3,FALSE),"")</f>
        <v>Non-serious ADR</v>
      </c>
      <c r="G637" t="s">
        <v>125</v>
      </c>
    </row>
    <row r="638" spans="1:7" x14ac:dyDescent="0.3">
      <c r="A638" s="5">
        <v>17033791</v>
      </c>
      <c r="B638" t="s">
        <v>2121</v>
      </c>
      <c r="C638" t="s">
        <v>2510</v>
      </c>
      <c r="D638" t="s">
        <v>2510</v>
      </c>
      <c r="E638" t="str">
        <f>IFERROR(VLOOKUP(B638,Signal_detection!$A$1:$C$22,2,FALSE),"")</f>
        <v/>
      </c>
      <c r="F638" t="str">
        <f>IFERROR(VLOOKUP(B638,Signal_detection!$A$1:$C$22,3,FALSE),"")</f>
        <v/>
      </c>
      <c r="G638" t="s">
        <v>0</v>
      </c>
    </row>
    <row r="639" spans="1:7" x14ac:dyDescent="0.3">
      <c r="A639" s="5">
        <v>17034359</v>
      </c>
      <c r="B639" t="s">
        <v>535</v>
      </c>
      <c r="C639" t="s">
        <v>2510</v>
      </c>
      <c r="D639" t="s">
        <v>2510</v>
      </c>
      <c r="E639" t="str">
        <f>IFERROR(VLOOKUP(B639,Signal_detection!$A$1:$C$22,2,FALSE),"")</f>
        <v/>
      </c>
      <c r="F639" t="str">
        <f>IFERROR(VLOOKUP(B639,Signal_detection!$A$1:$C$22,3,FALSE),"")</f>
        <v/>
      </c>
      <c r="G639" t="s">
        <v>0</v>
      </c>
    </row>
    <row r="640" spans="1:7" x14ac:dyDescent="0.3">
      <c r="A640" s="5">
        <v>17036460</v>
      </c>
      <c r="B640" t="s">
        <v>448</v>
      </c>
      <c r="C640" t="s">
        <v>2510</v>
      </c>
      <c r="D640" t="s">
        <v>2510</v>
      </c>
      <c r="E640" t="str">
        <f>IFERROR(VLOOKUP(B640,Signal_detection!$A$1:$C$22,2,FALSE),"")</f>
        <v/>
      </c>
      <c r="F640" t="str">
        <f>IFERROR(VLOOKUP(B640,Signal_detection!$A$1:$C$22,3,FALSE),"")</f>
        <v/>
      </c>
      <c r="G640" t="s">
        <v>0</v>
      </c>
    </row>
    <row r="641" spans="1:7" x14ac:dyDescent="0.3">
      <c r="A641" s="5">
        <v>17043134</v>
      </c>
      <c r="B641" t="s">
        <v>900</v>
      </c>
      <c r="C641" t="s">
        <v>2510</v>
      </c>
      <c r="D641" t="s">
        <v>2510</v>
      </c>
      <c r="E641" t="str">
        <f>IFERROR(VLOOKUP(B641,Signal_detection!$A$1:$C$22,2,FALSE),"")</f>
        <v/>
      </c>
      <c r="F641" t="str">
        <f>IFERROR(VLOOKUP(B641,Signal_detection!$A$1:$C$22,3,FALSE),"")</f>
        <v/>
      </c>
      <c r="G641" t="s">
        <v>0</v>
      </c>
    </row>
    <row r="642" spans="1:7" x14ac:dyDescent="0.3">
      <c r="A642" s="5">
        <v>17045252</v>
      </c>
      <c r="B642" t="s">
        <v>1044</v>
      </c>
      <c r="C642" t="s">
        <v>2510</v>
      </c>
      <c r="D642" t="s">
        <v>2510</v>
      </c>
      <c r="E642" t="str">
        <f>IFERROR(VLOOKUP(B642,Signal_detection!$A$1:$C$22,2,FALSE),"")</f>
        <v/>
      </c>
      <c r="F642" t="str">
        <f>IFERROR(VLOOKUP(B642,Signal_detection!$A$1:$C$22,3,FALSE),"")</f>
        <v/>
      </c>
      <c r="G642" t="s">
        <v>0</v>
      </c>
    </row>
    <row r="643" spans="1:7" x14ac:dyDescent="0.3">
      <c r="A643" s="5">
        <v>17050955</v>
      </c>
      <c r="B643" t="s">
        <v>882</v>
      </c>
      <c r="C643" t="s">
        <v>2510</v>
      </c>
      <c r="D643" t="s">
        <v>2510</v>
      </c>
      <c r="E643" t="str">
        <f>IFERROR(VLOOKUP(B643,Signal_detection!$A$1:$C$22,2,FALSE),"")</f>
        <v/>
      </c>
      <c r="F643" t="str">
        <f>IFERROR(VLOOKUP(B643,Signal_detection!$A$1:$C$22,3,FALSE),"")</f>
        <v/>
      </c>
      <c r="G643" t="s">
        <v>0</v>
      </c>
    </row>
    <row r="644" spans="1:7" x14ac:dyDescent="0.3">
      <c r="A644" s="5">
        <v>17062836</v>
      </c>
      <c r="B644" t="s">
        <v>516</v>
      </c>
      <c r="C644" t="s">
        <v>2510</v>
      </c>
      <c r="D644" t="s">
        <v>2510</v>
      </c>
      <c r="E644" t="str">
        <f>IFERROR(VLOOKUP(B644,Signal_detection!$A$1:$C$22,2,FALSE),"")</f>
        <v/>
      </c>
      <c r="F644" t="str">
        <f>IFERROR(VLOOKUP(B644,Signal_detection!$A$1:$C$22,3,FALSE),"")</f>
        <v/>
      </c>
      <c r="G644" t="s">
        <v>125</v>
      </c>
    </row>
    <row r="645" spans="1:7" x14ac:dyDescent="0.3">
      <c r="A645" s="5">
        <v>17064245</v>
      </c>
      <c r="B645" t="s">
        <v>779</v>
      </c>
      <c r="C645" t="s">
        <v>2510</v>
      </c>
      <c r="D645" t="s">
        <v>2510</v>
      </c>
      <c r="E645" t="str">
        <f>IFERROR(VLOOKUP(B645,Signal_detection!$A$1:$C$22,2,FALSE),"")</f>
        <v/>
      </c>
      <c r="F645" t="str">
        <f>IFERROR(VLOOKUP(B645,Signal_detection!$A$1:$C$22,3,FALSE),"")</f>
        <v/>
      </c>
      <c r="G645" t="s">
        <v>0</v>
      </c>
    </row>
    <row r="646" spans="1:7" x14ac:dyDescent="0.3">
      <c r="A646" s="5">
        <v>17064396</v>
      </c>
      <c r="B646" t="s">
        <v>779</v>
      </c>
      <c r="C646" t="s">
        <v>2510</v>
      </c>
      <c r="D646" t="s">
        <v>2510</v>
      </c>
      <c r="E646" t="str">
        <f>IFERROR(VLOOKUP(B646,Signal_detection!$A$1:$C$22,2,FALSE),"")</f>
        <v/>
      </c>
      <c r="F646" t="str">
        <f>IFERROR(VLOOKUP(B646,Signal_detection!$A$1:$C$22,3,FALSE),"")</f>
        <v/>
      </c>
      <c r="G646" t="s">
        <v>0</v>
      </c>
    </row>
    <row r="647" spans="1:7" x14ac:dyDescent="0.3">
      <c r="A647" s="5">
        <v>17064508</v>
      </c>
      <c r="B647" t="s">
        <v>779</v>
      </c>
      <c r="C647" t="s">
        <v>2510</v>
      </c>
      <c r="D647" t="s">
        <v>2510</v>
      </c>
      <c r="E647" t="str">
        <f>IFERROR(VLOOKUP(B647,Signal_detection!$A$1:$C$22,2,FALSE),"")</f>
        <v/>
      </c>
      <c r="F647" t="str">
        <f>IFERROR(VLOOKUP(B647,Signal_detection!$A$1:$C$22,3,FALSE),"")</f>
        <v/>
      </c>
      <c r="G647" t="s">
        <v>0</v>
      </c>
    </row>
    <row r="648" spans="1:7" x14ac:dyDescent="0.3">
      <c r="A648" s="5">
        <v>17066957</v>
      </c>
      <c r="B648" t="s">
        <v>2036</v>
      </c>
      <c r="C648" t="s">
        <v>2510</v>
      </c>
      <c r="D648" t="s">
        <v>2510</v>
      </c>
      <c r="E648" t="str">
        <f>IFERROR(VLOOKUP(B648,Signal_detection!$A$1:$C$22,2,FALSE),"")</f>
        <v/>
      </c>
      <c r="F648" t="str">
        <f>IFERROR(VLOOKUP(B648,Signal_detection!$A$1:$C$22,3,FALSE),"")</f>
        <v/>
      </c>
      <c r="G648" t="s">
        <v>0</v>
      </c>
    </row>
    <row r="649" spans="1:7" x14ac:dyDescent="0.3">
      <c r="A649" s="5">
        <v>17071489</v>
      </c>
      <c r="B649" t="s">
        <v>720</v>
      </c>
      <c r="C649" t="s">
        <v>2510</v>
      </c>
      <c r="D649" t="s">
        <v>2510</v>
      </c>
      <c r="E649" t="str">
        <f>IFERROR(VLOOKUP(B649,Signal_detection!$A$1:$C$22,2,FALSE),"")</f>
        <v/>
      </c>
      <c r="F649" t="str">
        <f>IFERROR(VLOOKUP(B649,Signal_detection!$A$1:$C$22,3,FALSE),"")</f>
        <v/>
      </c>
      <c r="G649" t="s">
        <v>0</v>
      </c>
    </row>
    <row r="650" spans="1:7" x14ac:dyDescent="0.3">
      <c r="A650" s="5">
        <v>17082396</v>
      </c>
      <c r="B650" t="s">
        <v>192</v>
      </c>
      <c r="C650" t="s">
        <v>192</v>
      </c>
      <c r="D650" t="s">
        <v>2495</v>
      </c>
      <c r="E650" t="str">
        <f>IFERROR(VLOOKUP(B650,Signal_detection!$A$1:$C$22,2,FALSE),"")</f>
        <v>Probable</v>
      </c>
      <c r="F650" t="str">
        <f>IFERROR(VLOOKUP(B650,Signal_detection!$A$1:$C$22,3,FALSE),"")</f>
        <v>Hypersensitivity signal</v>
      </c>
      <c r="G650" t="s">
        <v>125</v>
      </c>
    </row>
    <row r="651" spans="1:7" x14ac:dyDescent="0.3">
      <c r="A651" s="5">
        <v>17094063</v>
      </c>
      <c r="B651" t="s">
        <v>1426</v>
      </c>
      <c r="C651" t="s">
        <v>2510</v>
      </c>
      <c r="D651" t="s">
        <v>2510</v>
      </c>
      <c r="E651" t="str">
        <f>IFERROR(VLOOKUP(B651,Signal_detection!$A$1:$C$22,2,FALSE),"")</f>
        <v/>
      </c>
      <c r="F651" t="str">
        <f>IFERROR(VLOOKUP(B651,Signal_detection!$A$1:$C$22,3,FALSE),"")</f>
        <v/>
      </c>
      <c r="G651" t="s">
        <v>0</v>
      </c>
    </row>
    <row r="652" spans="1:7" x14ac:dyDescent="0.3">
      <c r="A652" s="5">
        <v>17095186</v>
      </c>
      <c r="B652" t="s">
        <v>477</v>
      </c>
      <c r="C652" t="s">
        <v>2510</v>
      </c>
      <c r="D652" t="s">
        <v>2510</v>
      </c>
      <c r="E652" t="str">
        <f>IFERROR(VLOOKUP(B652,Signal_detection!$A$1:$C$22,2,FALSE),"")</f>
        <v/>
      </c>
      <c r="F652" t="str">
        <f>IFERROR(VLOOKUP(B652,Signal_detection!$A$1:$C$22,3,FALSE),"")</f>
        <v/>
      </c>
      <c r="G652" t="s">
        <v>0</v>
      </c>
    </row>
    <row r="653" spans="1:7" x14ac:dyDescent="0.3">
      <c r="A653" s="5">
        <v>17099237</v>
      </c>
      <c r="B653" t="s">
        <v>546</v>
      </c>
      <c r="C653" t="s">
        <v>2510</v>
      </c>
      <c r="D653" t="s">
        <v>2510</v>
      </c>
      <c r="E653" t="str">
        <f>IFERROR(VLOOKUP(B653,Signal_detection!$A$1:$C$22,2,FALSE),"")</f>
        <v/>
      </c>
      <c r="F653" t="str">
        <f>IFERROR(VLOOKUP(B653,Signal_detection!$A$1:$C$22,3,FALSE),"")</f>
        <v/>
      </c>
      <c r="G653" t="s">
        <v>125</v>
      </c>
    </row>
    <row r="654" spans="1:7" x14ac:dyDescent="0.3">
      <c r="A654" s="5">
        <v>17103122</v>
      </c>
      <c r="B654" t="s">
        <v>339</v>
      </c>
      <c r="C654" t="s">
        <v>2510</v>
      </c>
      <c r="D654" t="s">
        <v>2510</v>
      </c>
      <c r="E654" t="str">
        <f>IFERROR(VLOOKUP(B654,Signal_detection!$A$1:$C$22,2,FALSE),"")</f>
        <v/>
      </c>
      <c r="F654" t="str">
        <f>IFERROR(VLOOKUP(B654,Signal_detection!$A$1:$C$22,3,FALSE),"")</f>
        <v/>
      </c>
      <c r="G654" t="s">
        <v>0</v>
      </c>
    </row>
    <row r="655" spans="1:7" x14ac:dyDescent="0.3">
      <c r="A655" s="5">
        <v>17105605</v>
      </c>
      <c r="B655" t="s">
        <v>842</v>
      </c>
      <c r="C655" t="s">
        <v>2510</v>
      </c>
      <c r="D655" t="s">
        <v>2510</v>
      </c>
      <c r="E655" t="str">
        <f>IFERROR(VLOOKUP(B655,Signal_detection!$A$1:$C$22,2,FALSE),"")</f>
        <v/>
      </c>
      <c r="F655" t="str">
        <f>IFERROR(VLOOKUP(B655,Signal_detection!$A$1:$C$22,3,FALSE),"")</f>
        <v/>
      </c>
      <c r="G655" t="s">
        <v>0</v>
      </c>
    </row>
    <row r="656" spans="1:7" x14ac:dyDescent="0.3">
      <c r="A656" s="5">
        <v>17129901</v>
      </c>
      <c r="B656" t="s">
        <v>1254</v>
      </c>
      <c r="C656" t="s">
        <v>2510</v>
      </c>
      <c r="D656" t="s">
        <v>2510</v>
      </c>
      <c r="E656" t="str">
        <f>IFERROR(VLOOKUP(B656,Signal_detection!$A$1:$C$22,2,FALSE),"")</f>
        <v/>
      </c>
      <c r="F656" t="str">
        <f>IFERROR(VLOOKUP(B656,Signal_detection!$A$1:$C$22,3,FALSE),"")</f>
        <v/>
      </c>
      <c r="G656" t="s">
        <v>0</v>
      </c>
    </row>
    <row r="657" spans="1:7" x14ac:dyDescent="0.3">
      <c r="A657" s="5">
        <v>17133367</v>
      </c>
      <c r="B657" t="s">
        <v>2135</v>
      </c>
      <c r="C657" t="s">
        <v>2510</v>
      </c>
      <c r="D657" t="s">
        <v>2510</v>
      </c>
      <c r="E657" t="str">
        <f>IFERROR(VLOOKUP(B657,Signal_detection!$A$1:$C$22,2,FALSE),"")</f>
        <v/>
      </c>
      <c r="F657" t="str">
        <f>IFERROR(VLOOKUP(B657,Signal_detection!$A$1:$C$22,3,FALSE),"")</f>
        <v/>
      </c>
      <c r="G657" t="s">
        <v>0</v>
      </c>
    </row>
    <row r="658" spans="1:7" x14ac:dyDescent="0.3">
      <c r="A658" s="5">
        <v>17133368</v>
      </c>
      <c r="B658" t="s">
        <v>883</v>
      </c>
      <c r="C658" t="s">
        <v>883</v>
      </c>
      <c r="D658" t="s">
        <v>2509</v>
      </c>
      <c r="E658" t="str">
        <f>IFERROR(VLOOKUP(B658,Signal_detection!$A$1:$C$22,2,FALSE),"")</f>
        <v/>
      </c>
      <c r="F658" t="str">
        <f>IFERROR(VLOOKUP(B658,Signal_detection!$A$1:$C$22,3,FALSE),"")</f>
        <v/>
      </c>
      <c r="G658" t="s">
        <v>0</v>
      </c>
    </row>
    <row r="659" spans="1:7" x14ac:dyDescent="0.3">
      <c r="A659" s="5">
        <v>17143115</v>
      </c>
      <c r="B659" t="s">
        <v>736</v>
      </c>
      <c r="C659" t="s">
        <v>2510</v>
      </c>
      <c r="D659" t="s">
        <v>2510</v>
      </c>
      <c r="E659" t="str">
        <f>IFERROR(VLOOKUP(B659,Signal_detection!$A$1:$C$22,2,FALSE),"")</f>
        <v/>
      </c>
      <c r="F659" t="str">
        <f>IFERROR(VLOOKUP(B659,Signal_detection!$A$1:$C$22,3,FALSE),"")</f>
        <v/>
      </c>
      <c r="G659" t="s">
        <v>0</v>
      </c>
    </row>
    <row r="660" spans="1:7" x14ac:dyDescent="0.3">
      <c r="A660" s="5">
        <v>17147225</v>
      </c>
      <c r="B660" t="s">
        <v>206</v>
      </c>
      <c r="C660" t="s">
        <v>206</v>
      </c>
      <c r="D660" t="s">
        <v>2496</v>
      </c>
      <c r="E660" t="str">
        <f>IFERROR(VLOOKUP(B660,Signal_detection!$A$1:$C$22,2,FALSE),"")</f>
        <v>Probable</v>
      </c>
      <c r="F660" t="str">
        <f>IFERROR(VLOOKUP(B660,Signal_detection!$A$1:$C$22,3,FALSE),"")</f>
        <v>Infection signal</v>
      </c>
      <c r="G660" t="s">
        <v>0</v>
      </c>
    </row>
    <row r="661" spans="1:7" x14ac:dyDescent="0.3">
      <c r="A661" s="5">
        <v>17157448</v>
      </c>
      <c r="B661" t="s">
        <v>244</v>
      </c>
      <c r="C661" t="s">
        <v>244</v>
      </c>
      <c r="D661" t="s">
        <v>2497</v>
      </c>
      <c r="E661" t="str">
        <f>IFERROR(VLOOKUP(B661,Signal_detection!$A$1:$C$22,2,FALSE),"")</f>
        <v>Possible</v>
      </c>
      <c r="F661" t="str">
        <f>IFERROR(VLOOKUP(B661,Signal_detection!$A$1:$C$22,3,FALSE),"")</f>
        <v>General ADR</v>
      </c>
      <c r="G661" t="s">
        <v>0</v>
      </c>
    </row>
    <row r="662" spans="1:7" x14ac:dyDescent="0.3">
      <c r="A662" s="5">
        <v>17159111</v>
      </c>
      <c r="B662" t="s">
        <v>533</v>
      </c>
      <c r="C662" t="s">
        <v>2510</v>
      </c>
      <c r="D662" t="s">
        <v>2510</v>
      </c>
      <c r="E662" t="str">
        <f>IFERROR(VLOOKUP(B662,Signal_detection!$A$1:$C$22,2,FALSE),"")</f>
        <v/>
      </c>
      <c r="F662" t="str">
        <f>IFERROR(VLOOKUP(B662,Signal_detection!$A$1:$C$22,3,FALSE),"")</f>
        <v/>
      </c>
      <c r="G662" t="s">
        <v>0</v>
      </c>
    </row>
    <row r="663" spans="1:7" x14ac:dyDescent="0.3">
      <c r="A663" s="5">
        <v>17160484</v>
      </c>
      <c r="B663" t="s">
        <v>428</v>
      </c>
      <c r="C663" t="s">
        <v>2510</v>
      </c>
      <c r="D663" t="s">
        <v>2510</v>
      </c>
      <c r="E663" t="str">
        <f>IFERROR(VLOOKUP(B663,Signal_detection!$A$1:$C$22,2,FALSE),"")</f>
        <v/>
      </c>
      <c r="F663" t="str">
        <f>IFERROR(VLOOKUP(B663,Signal_detection!$A$1:$C$22,3,FALSE),"")</f>
        <v/>
      </c>
      <c r="G663" t="s">
        <v>0</v>
      </c>
    </row>
    <row r="664" spans="1:7" x14ac:dyDescent="0.3">
      <c r="A664" s="5">
        <v>17174041</v>
      </c>
      <c r="B664" t="s">
        <v>971</v>
      </c>
      <c r="C664" t="s">
        <v>2510</v>
      </c>
      <c r="D664" t="s">
        <v>2510</v>
      </c>
      <c r="E664" t="str">
        <f>IFERROR(VLOOKUP(B664,Signal_detection!$A$1:$C$22,2,FALSE),"")</f>
        <v/>
      </c>
      <c r="F664" t="str">
        <f>IFERROR(VLOOKUP(B664,Signal_detection!$A$1:$C$22,3,FALSE),"")</f>
        <v/>
      </c>
      <c r="G664" t="s">
        <v>0</v>
      </c>
    </row>
    <row r="665" spans="1:7" x14ac:dyDescent="0.3">
      <c r="A665" s="5">
        <v>17176773</v>
      </c>
      <c r="B665" t="s">
        <v>647</v>
      </c>
      <c r="C665" t="s">
        <v>2510</v>
      </c>
      <c r="D665" t="s">
        <v>2510</v>
      </c>
      <c r="E665" t="str">
        <f>IFERROR(VLOOKUP(B665,Signal_detection!$A$1:$C$22,2,FALSE),"")</f>
        <v/>
      </c>
      <c r="F665" t="str">
        <f>IFERROR(VLOOKUP(B665,Signal_detection!$A$1:$C$22,3,FALSE),"")</f>
        <v/>
      </c>
      <c r="G665" t="s">
        <v>0</v>
      </c>
    </row>
    <row r="666" spans="1:7" x14ac:dyDescent="0.3">
      <c r="A666" s="5">
        <v>17182235</v>
      </c>
      <c r="B666" t="s">
        <v>439</v>
      </c>
      <c r="C666" t="s">
        <v>2510</v>
      </c>
      <c r="D666" t="s">
        <v>2510</v>
      </c>
      <c r="E666" t="str">
        <f>IFERROR(VLOOKUP(B666,Signal_detection!$A$1:$C$22,2,FALSE),"")</f>
        <v/>
      </c>
      <c r="F666" t="str">
        <f>IFERROR(VLOOKUP(B666,Signal_detection!$A$1:$C$22,3,FALSE),"")</f>
        <v/>
      </c>
      <c r="G666" t="s">
        <v>0</v>
      </c>
    </row>
    <row r="667" spans="1:7" x14ac:dyDescent="0.3">
      <c r="A667" s="5">
        <v>17186977</v>
      </c>
      <c r="B667" t="s">
        <v>1213</v>
      </c>
      <c r="C667" t="s">
        <v>2510</v>
      </c>
      <c r="D667" t="s">
        <v>2510</v>
      </c>
      <c r="E667" t="str">
        <f>IFERROR(VLOOKUP(B667,Signal_detection!$A$1:$C$22,2,FALSE),"")</f>
        <v/>
      </c>
      <c r="F667" t="str">
        <f>IFERROR(VLOOKUP(B667,Signal_detection!$A$1:$C$22,3,FALSE),"")</f>
        <v/>
      </c>
      <c r="G667" t="s">
        <v>0</v>
      </c>
    </row>
    <row r="668" spans="1:7" x14ac:dyDescent="0.3">
      <c r="A668" s="5">
        <v>17195653</v>
      </c>
      <c r="B668" t="s">
        <v>2147</v>
      </c>
      <c r="C668" t="s">
        <v>2510</v>
      </c>
      <c r="D668" t="s">
        <v>2510</v>
      </c>
      <c r="E668" t="str">
        <f>IFERROR(VLOOKUP(B668,Signal_detection!$A$1:$C$22,2,FALSE),"")</f>
        <v/>
      </c>
      <c r="F668" t="str">
        <f>IFERROR(VLOOKUP(B668,Signal_detection!$A$1:$C$22,3,FALSE),"")</f>
        <v/>
      </c>
      <c r="G668" t="s">
        <v>0</v>
      </c>
    </row>
    <row r="669" spans="1:7" x14ac:dyDescent="0.3">
      <c r="A669" s="5">
        <v>17196061</v>
      </c>
      <c r="B669" t="s">
        <v>1394</v>
      </c>
      <c r="C669" t="s">
        <v>2510</v>
      </c>
      <c r="D669" t="s">
        <v>2510</v>
      </c>
      <c r="E669" t="str">
        <f>IFERROR(VLOOKUP(B669,Signal_detection!$A$1:$C$22,2,FALSE),"")</f>
        <v/>
      </c>
      <c r="F669" t="str">
        <f>IFERROR(VLOOKUP(B669,Signal_detection!$A$1:$C$22,3,FALSE),"")</f>
        <v/>
      </c>
      <c r="G669" t="s">
        <v>0</v>
      </c>
    </row>
    <row r="670" spans="1:7" x14ac:dyDescent="0.3">
      <c r="A670" s="5">
        <v>17210544</v>
      </c>
      <c r="B670" t="s">
        <v>717</v>
      </c>
      <c r="C670" t="s">
        <v>717</v>
      </c>
      <c r="D670" t="s">
        <v>2505</v>
      </c>
      <c r="E670" t="str">
        <f>IFERROR(VLOOKUP(B670,Signal_detection!$A$1:$C$22,2,FALSE),"")</f>
        <v/>
      </c>
      <c r="F670" t="str">
        <f>IFERROR(VLOOKUP(B670,Signal_detection!$A$1:$C$22,3,FALSE),"")</f>
        <v/>
      </c>
      <c r="G670" t="s">
        <v>125</v>
      </c>
    </row>
    <row r="671" spans="1:7" x14ac:dyDescent="0.3">
      <c r="A671" s="5">
        <v>17214768</v>
      </c>
      <c r="B671" t="s">
        <v>2150</v>
      </c>
      <c r="C671" t="s">
        <v>2510</v>
      </c>
      <c r="D671" t="s">
        <v>2510</v>
      </c>
      <c r="E671" t="str">
        <f>IFERROR(VLOOKUP(B671,Signal_detection!$A$1:$C$22,2,FALSE),"")</f>
        <v/>
      </c>
      <c r="F671" t="str">
        <f>IFERROR(VLOOKUP(B671,Signal_detection!$A$1:$C$22,3,FALSE),"")</f>
        <v/>
      </c>
      <c r="G671" t="s">
        <v>0</v>
      </c>
    </row>
    <row r="672" spans="1:7" x14ac:dyDescent="0.3">
      <c r="A672" s="5">
        <v>17215800</v>
      </c>
      <c r="B672" t="s">
        <v>1404</v>
      </c>
      <c r="C672" t="s">
        <v>2510</v>
      </c>
      <c r="D672" t="s">
        <v>2510</v>
      </c>
      <c r="E672" t="str">
        <f>IFERROR(VLOOKUP(B672,Signal_detection!$A$1:$C$22,2,FALSE),"")</f>
        <v/>
      </c>
      <c r="F672" t="str">
        <f>IFERROR(VLOOKUP(B672,Signal_detection!$A$1:$C$22,3,FALSE),"")</f>
        <v/>
      </c>
      <c r="G672" t="s">
        <v>0</v>
      </c>
    </row>
    <row r="673" spans="1:7" x14ac:dyDescent="0.3">
      <c r="A673" s="5">
        <v>17220619</v>
      </c>
      <c r="B673" t="s">
        <v>296</v>
      </c>
      <c r="C673" t="s">
        <v>2510</v>
      </c>
      <c r="D673" t="s">
        <v>2510</v>
      </c>
      <c r="E673" t="str">
        <f>IFERROR(VLOOKUP(B673,Signal_detection!$A$1:$C$22,2,FALSE),"")</f>
        <v/>
      </c>
      <c r="F673" t="str">
        <f>IFERROR(VLOOKUP(B673,Signal_detection!$A$1:$C$22,3,FALSE),"")</f>
        <v/>
      </c>
      <c r="G673" t="s">
        <v>0</v>
      </c>
    </row>
    <row r="674" spans="1:7" x14ac:dyDescent="0.3">
      <c r="A674" s="5">
        <v>17223076</v>
      </c>
      <c r="B674" t="s">
        <v>708</v>
      </c>
      <c r="C674" t="s">
        <v>708</v>
      </c>
      <c r="D674" t="s">
        <v>2501</v>
      </c>
      <c r="E674" t="str">
        <f>IFERROR(VLOOKUP(B674,Signal_detection!$A$1:$C$22,2,FALSE),"")</f>
        <v/>
      </c>
      <c r="F674" t="str">
        <f>IFERROR(VLOOKUP(B674,Signal_detection!$A$1:$C$22,3,FALSE),"")</f>
        <v/>
      </c>
      <c r="G674" t="s">
        <v>0</v>
      </c>
    </row>
    <row r="675" spans="1:7" x14ac:dyDescent="0.3">
      <c r="A675" s="5">
        <v>17224324</v>
      </c>
      <c r="B675" t="s">
        <v>713</v>
      </c>
      <c r="C675" t="s">
        <v>2510</v>
      </c>
      <c r="D675" t="s">
        <v>2510</v>
      </c>
      <c r="E675" t="str">
        <f>IFERROR(VLOOKUP(B675,Signal_detection!$A$1:$C$22,2,FALSE),"")</f>
        <v/>
      </c>
      <c r="F675" t="str">
        <f>IFERROR(VLOOKUP(B675,Signal_detection!$A$1:$C$22,3,FALSE),"")</f>
        <v/>
      </c>
      <c r="G675" t="s">
        <v>0</v>
      </c>
    </row>
    <row r="676" spans="1:7" x14ac:dyDescent="0.3">
      <c r="A676" s="5">
        <v>17224845</v>
      </c>
      <c r="B676" t="s">
        <v>466</v>
      </c>
      <c r="C676" t="s">
        <v>2510</v>
      </c>
      <c r="D676" t="s">
        <v>2510</v>
      </c>
      <c r="E676" t="str">
        <f>IFERROR(VLOOKUP(B676,Signal_detection!$A$1:$C$22,2,FALSE),"")</f>
        <v/>
      </c>
      <c r="F676" t="str">
        <f>IFERROR(VLOOKUP(B676,Signal_detection!$A$1:$C$22,3,FALSE),"")</f>
        <v/>
      </c>
      <c r="G676" t="s">
        <v>0</v>
      </c>
    </row>
    <row r="677" spans="1:7" x14ac:dyDescent="0.3">
      <c r="A677" s="5">
        <v>17225726</v>
      </c>
      <c r="B677" t="s">
        <v>463</v>
      </c>
      <c r="C677" t="s">
        <v>2510</v>
      </c>
      <c r="D677" t="s">
        <v>2510</v>
      </c>
      <c r="E677" t="str">
        <f>IFERROR(VLOOKUP(B677,Signal_detection!$A$1:$C$22,2,FALSE),"")</f>
        <v/>
      </c>
      <c r="F677" t="str">
        <f>IFERROR(VLOOKUP(B677,Signal_detection!$A$1:$C$22,3,FALSE),"")</f>
        <v/>
      </c>
      <c r="G677" t="s">
        <v>0</v>
      </c>
    </row>
    <row r="678" spans="1:7" x14ac:dyDescent="0.3">
      <c r="A678" s="5">
        <v>17226112</v>
      </c>
      <c r="B678" t="s">
        <v>1340</v>
      </c>
      <c r="C678" t="s">
        <v>2510</v>
      </c>
      <c r="D678" t="s">
        <v>2510</v>
      </c>
      <c r="E678" t="str">
        <f>IFERROR(VLOOKUP(B678,Signal_detection!$A$1:$C$22,2,FALSE),"")</f>
        <v/>
      </c>
      <c r="F678" t="str">
        <f>IFERROR(VLOOKUP(B678,Signal_detection!$A$1:$C$22,3,FALSE),"")</f>
        <v/>
      </c>
      <c r="G678" t="s">
        <v>0</v>
      </c>
    </row>
    <row r="679" spans="1:7" x14ac:dyDescent="0.3">
      <c r="A679" s="5">
        <v>17228732</v>
      </c>
      <c r="B679" t="s">
        <v>741</v>
      </c>
      <c r="C679" t="s">
        <v>741</v>
      </c>
      <c r="D679" t="s">
        <v>2505</v>
      </c>
      <c r="E679" t="str">
        <f>IFERROR(VLOOKUP(B679,Signal_detection!$A$1:$C$22,2,FALSE),"")</f>
        <v/>
      </c>
      <c r="F679" t="str">
        <f>IFERROR(VLOOKUP(B679,Signal_detection!$A$1:$C$22,3,FALSE),"")</f>
        <v/>
      </c>
      <c r="G679" t="s">
        <v>125</v>
      </c>
    </row>
    <row r="680" spans="1:7" x14ac:dyDescent="0.3">
      <c r="A680" s="5">
        <v>17231128</v>
      </c>
      <c r="B680" t="s">
        <v>580</v>
      </c>
      <c r="C680" t="s">
        <v>2510</v>
      </c>
      <c r="D680" t="s">
        <v>2510</v>
      </c>
      <c r="E680" t="str">
        <f>IFERROR(VLOOKUP(B680,Signal_detection!$A$1:$C$22,2,FALSE),"")</f>
        <v/>
      </c>
      <c r="F680" t="str">
        <f>IFERROR(VLOOKUP(B680,Signal_detection!$A$1:$C$22,3,FALSE),"")</f>
        <v/>
      </c>
      <c r="G680" t="s">
        <v>0</v>
      </c>
    </row>
    <row r="681" spans="1:7" x14ac:dyDescent="0.3">
      <c r="A681" s="5">
        <v>17232131</v>
      </c>
      <c r="B681" t="s">
        <v>401</v>
      </c>
      <c r="C681" t="s">
        <v>2510</v>
      </c>
      <c r="D681" t="s">
        <v>2510</v>
      </c>
      <c r="E681" t="str">
        <f>IFERROR(VLOOKUP(B681,Signal_detection!$A$1:$C$22,2,FALSE),"")</f>
        <v/>
      </c>
      <c r="F681" t="str">
        <f>IFERROR(VLOOKUP(B681,Signal_detection!$A$1:$C$22,3,FALSE),"")</f>
        <v/>
      </c>
      <c r="G681" t="s">
        <v>0</v>
      </c>
    </row>
    <row r="682" spans="1:7" x14ac:dyDescent="0.3">
      <c r="A682" s="5">
        <v>17240349</v>
      </c>
      <c r="B682" t="s">
        <v>997</v>
      </c>
      <c r="C682" t="s">
        <v>2510</v>
      </c>
      <c r="D682" t="s">
        <v>2510</v>
      </c>
      <c r="E682" t="str">
        <f>IFERROR(VLOOKUP(B682,Signal_detection!$A$1:$C$22,2,FALSE),"")</f>
        <v/>
      </c>
      <c r="F682" t="str">
        <f>IFERROR(VLOOKUP(B682,Signal_detection!$A$1:$C$22,3,FALSE),"")</f>
        <v/>
      </c>
      <c r="G682" t="s">
        <v>0</v>
      </c>
    </row>
    <row r="683" spans="1:7" x14ac:dyDescent="0.3">
      <c r="A683" s="5">
        <v>17240528</v>
      </c>
      <c r="B683" t="s">
        <v>267</v>
      </c>
      <c r="C683" t="s">
        <v>2510</v>
      </c>
      <c r="D683" t="s">
        <v>2510</v>
      </c>
      <c r="E683" t="str">
        <f>IFERROR(VLOOKUP(B683,Signal_detection!$A$1:$C$22,2,FALSE),"")</f>
        <v/>
      </c>
      <c r="F683" t="str">
        <f>IFERROR(VLOOKUP(B683,Signal_detection!$A$1:$C$22,3,FALSE),"")</f>
        <v/>
      </c>
      <c r="G683" t="s">
        <v>0</v>
      </c>
    </row>
    <row r="684" spans="1:7" x14ac:dyDescent="0.3">
      <c r="A684" s="5">
        <v>17246161</v>
      </c>
      <c r="B684" t="s">
        <v>192</v>
      </c>
      <c r="C684" t="s">
        <v>192</v>
      </c>
      <c r="D684" t="s">
        <v>2495</v>
      </c>
      <c r="E684" t="str">
        <f>IFERROR(VLOOKUP(B684,Signal_detection!$A$1:$C$22,2,FALSE),"")</f>
        <v>Probable</v>
      </c>
      <c r="F684" t="str">
        <f>IFERROR(VLOOKUP(B684,Signal_detection!$A$1:$C$22,3,FALSE),"")</f>
        <v>Hypersensitivity signal</v>
      </c>
      <c r="G684" t="s">
        <v>125</v>
      </c>
    </row>
    <row r="685" spans="1:7" x14ac:dyDescent="0.3">
      <c r="A685" s="5">
        <v>17250632</v>
      </c>
      <c r="B685" t="s">
        <v>431</v>
      </c>
      <c r="C685" t="s">
        <v>2510</v>
      </c>
      <c r="D685" t="s">
        <v>2510</v>
      </c>
      <c r="E685" t="str">
        <f>IFERROR(VLOOKUP(B685,Signal_detection!$A$1:$C$22,2,FALSE),"")</f>
        <v/>
      </c>
      <c r="F685" t="str">
        <f>IFERROR(VLOOKUP(B685,Signal_detection!$A$1:$C$22,3,FALSE),"")</f>
        <v/>
      </c>
      <c r="G685" t="s">
        <v>125</v>
      </c>
    </row>
    <row r="686" spans="1:7" x14ac:dyDescent="0.3">
      <c r="A686" s="5">
        <v>17252816</v>
      </c>
      <c r="B686" t="s">
        <v>736</v>
      </c>
      <c r="C686" t="s">
        <v>2510</v>
      </c>
      <c r="D686" t="s">
        <v>2510</v>
      </c>
      <c r="E686" t="str">
        <f>IFERROR(VLOOKUP(B686,Signal_detection!$A$1:$C$22,2,FALSE),"")</f>
        <v/>
      </c>
      <c r="F686" t="str">
        <f>IFERROR(VLOOKUP(B686,Signal_detection!$A$1:$C$22,3,FALSE),"")</f>
        <v/>
      </c>
      <c r="G686" t="s">
        <v>0</v>
      </c>
    </row>
    <row r="687" spans="1:7" x14ac:dyDescent="0.3">
      <c r="A687" s="5">
        <v>17257492</v>
      </c>
      <c r="B687" t="s">
        <v>1191</v>
      </c>
      <c r="C687" t="s">
        <v>2510</v>
      </c>
      <c r="D687" t="s">
        <v>2510</v>
      </c>
      <c r="E687" t="str">
        <f>IFERROR(VLOOKUP(B687,Signal_detection!$A$1:$C$22,2,FALSE),"")</f>
        <v/>
      </c>
      <c r="F687" t="str">
        <f>IFERROR(VLOOKUP(B687,Signal_detection!$A$1:$C$22,3,FALSE),"")</f>
        <v/>
      </c>
      <c r="G687" t="s">
        <v>0</v>
      </c>
    </row>
    <row r="688" spans="1:7" x14ac:dyDescent="0.3">
      <c r="A688" s="5">
        <v>17257908</v>
      </c>
      <c r="B688" t="s">
        <v>1122</v>
      </c>
      <c r="C688" t="s">
        <v>2510</v>
      </c>
      <c r="D688" t="s">
        <v>2510</v>
      </c>
      <c r="E688" t="str">
        <f>IFERROR(VLOOKUP(B688,Signal_detection!$A$1:$C$22,2,FALSE),"")</f>
        <v/>
      </c>
      <c r="F688" t="str">
        <f>IFERROR(VLOOKUP(B688,Signal_detection!$A$1:$C$22,3,FALSE),"")</f>
        <v/>
      </c>
      <c r="G688" t="s">
        <v>125</v>
      </c>
    </row>
    <row r="689" spans="1:7" x14ac:dyDescent="0.3">
      <c r="A689" s="5">
        <v>17264229</v>
      </c>
      <c r="B689" t="s">
        <v>1442</v>
      </c>
      <c r="C689" t="s">
        <v>2510</v>
      </c>
      <c r="D689" t="s">
        <v>2510</v>
      </c>
      <c r="E689" t="str">
        <f>IFERROR(VLOOKUP(B689,Signal_detection!$A$1:$C$22,2,FALSE),"")</f>
        <v/>
      </c>
      <c r="F689" t="str">
        <f>IFERROR(VLOOKUP(B689,Signal_detection!$A$1:$C$22,3,FALSE),"")</f>
        <v/>
      </c>
      <c r="G689" t="s">
        <v>0</v>
      </c>
    </row>
    <row r="690" spans="1:7" x14ac:dyDescent="0.3">
      <c r="A690" s="5">
        <v>17268356</v>
      </c>
      <c r="B690" t="s">
        <v>262</v>
      </c>
      <c r="C690" t="s">
        <v>2510</v>
      </c>
      <c r="D690" t="s">
        <v>2510</v>
      </c>
      <c r="E690" t="str">
        <f>IFERROR(VLOOKUP(B690,Signal_detection!$A$1:$C$22,2,FALSE),"")</f>
        <v/>
      </c>
      <c r="F690" t="str">
        <f>IFERROR(VLOOKUP(B690,Signal_detection!$A$1:$C$22,3,FALSE),"")</f>
        <v/>
      </c>
      <c r="G690" t="s">
        <v>0</v>
      </c>
    </row>
    <row r="691" spans="1:7" x14ac:dyDescent="0.3">
      <c r="A691" s="5">
        <v>17284583</v>
      </c>
      <c r="B691" t="s">
        <v>708</v>
      </c>
      <c r="C691" t="s">
        <v>708</v>
      </c>
      <c r="D691" t="s">
        <v>2501</v>
      </c>
      <c r="E691" t="str">
        <f>IFERROR(VLOOKUP(B691,Signal_detection!$A$1:$C$22,2,FALSE),"")</f>
        <v/>
      </c>
      <c r="F691" t="str">
        <f>IFERROR(VLOOKUP(B691,Signal_detection!$A$1:$C$22,3,FALSE),"")</f>
        <v/>
      </c>
      <c r="G691" t="s">
        <v>125</v>
      </c>
    </row>
    <row r="692" spans="1:7" x14ac:dyDescent="0.3">
      <c r="A692" s="5">
        <v>17285690</v>
      </c>
      <c r="B692" t="s">
        <v>735</v>
      </c>
      <c r="C692" t="s">
        <v>2510</v>
      </c>
      <c r="D692" t="s">
        <v>2510</v>
      </c>
      <c r="E692" t="str">
        <f>IFERROR(VLOOKUP(B692,Signal_detection!$A$1:$C$22,2,FALSE),"")</f>
        <v/>
      </c>
      <c r="F692" t="str">
        <f>IFERROR(VLOOKUP(B692,Signal_detection!$A$1:$C$22,3,FALSE),"")</f>
        <v/>
      </c>
      <c r="G692" t="s">
        <v>0</v>
      </c>
    </row>
    <row r="693" spans="1:7" x14ac:dyDescent="0.3">
      <c r="A693" s="5">
        <v>17287763</v>
      </c>
      <c r="B693" t="s">
        <v>546</v>
      </c>
      <c r="C693" t="s">
        <v>2510</v>
      </c>
      <c r="D693" t="s">
        <v>2510</v>
      </c>
      <c r="E693" t="str">
        <f>IFERROR(VLOOKUP(B693,Signal_detection!$A$1:$C$22,2,FALSE),"")</f>
        <v/>
      </c>
      <c r="F693" t="str">
        <f>IFERROR(VLOOKUP(B693,Signal_detection!$A$1:$C$22,3,FALSE),"")</f>
        <v/>
      </c>
      <c r="G693" t="s">
        <v>125</v>
      </c>
    </row>
    <row r="694" spans="1:7" x14ac:dyDescent="0.3">
      <c r="A694" s="5">
        <v>17289108</v>
      </c>
      <c r="B694" t="s">
        <v>1298</v>
      </c>
      <c r="C694" t="s">
        <v>2510</v>
      </c>
      <c r="D694" t="s">
        <v>2510</v>
      </c>
      <c r="E694" t="str">
        <f>IFERROR(VLOOKUP(B694,Signal_detection!$A$1:$C$22,2,FALSE),"")</f>
        <v/>
      </c>
      <c r="F694" t="str">
        <f>IFERROR(VLOOKUP(B694,Signal_detection!$A$1:$C$22,3,FALSE),"")</f>
        <v/>
      </c>
      <c r="G694" t="s">
        <v>0</v>
      </c>
    </row>
    <row r="695" spans="1:7" x14ac:dyDescent="0.3">
      <c r="A695" s="5">
        <v>17294907</v>
      </c>
      <c r="B695" t="s">
        <v>280</v>
      </c>
      <c r="C695" t="s">
        <v>2510</v>
      </c>
      <c r="D695" t="s">
        <v>2510</v>
      </c>
      <c r="E695" t="str">
        <f>IFERROR(VLOOKUP(B695,Signal_detection!$A$1:$C$22,2,FALSE),"")</f>
        <v/>
      </c>
      <c r="F695" t="str">
        <f>IFERROR(VLOOKUP(B695,Signal_detection!$A$1:$C$22,3,FALSE),"")</f>
        <v/>
      </c>
      <c r="G695" t="s">
        <v>0</v>
      </c>
    </row>
    <row r="696" spans="1:7" x14ac:dyDescent="0.3">
      <c r="A696" s="5">
        <v>17298908</v>
      </c>
      <c r="B696" t="s">
        <v>1007</v>
      </c>
      <c r="C696" t="s">
        <v>2510</v>
      </c>
      <c r="D696" t="s">
        <v>2510</v>
      </c>
      <c r="E696" t="str">
        <f>IFERROR(VLOOKUP(B696,Signal_detection!$A$1:$C$22,2,FALSE),"")</f>
        <v/>
      </c>
      <c r="F696" t="str">
        <f>IFERROR(VLOOKUP(B696,Signal_detection!$A$1:$C$22,3,FALSE),"")</f>
        <v/>
      </c>
      <c r="G696" t="s">
        <v>0</v>
      </c>
    </row>
    <row r="697" spans="1:7" x14ac:dyDescent="0.3">
      <c r="A697" s="5">
        <v>17304792</v>
      </c>
      <c r="B697" t="s">
        <v>2176</v>
      </c>
      <c r="C697" t="s">
        <v>2510</v>
      </c>
      <c r="D697" t="s">
        <v>2510</v>
      </c>
      <c r="E697" t="str">
        <f>IFERROR(VLOOKUP(B697,Signal_detection!$A$1:$C$22,2,FALSE),"")</f>
        <v/>
      </c>
      <c r="F697" t="str">
        <f>IFERROR(VLOOKUP(B697,Signal_detection!$A$1:$C$22,3,FALSE),"")</f>
        <v/>
      </c>
      <c r="G697" t="s">
        <v>0</v>
      </c>
    </row>
    <row r="698" spans="1:7" x14ac:dyDescent="0.3">
      <c r="A698" s="5">
        <v>17304810</v>
      </c>
      <c r="B698" t="s">
        <v>1740</v>
      </c>
      <c r="C698" t="s">
        <v>1740</v>
      </c>
      <c r="D698" t="s">
        <v>2494</v>
      </c>
      <c r="E698" t="str">
        <f>IFERROR(VLOOKUP(B698,Signal_detection!$A$1:$C$22,2,FALSE),"")</f>
        <v/>
      </c>
      <c r="F698" t="str">
        <f>IFERROR(VLOOKUP(B698,Signal_detection!$A$1:$C$22,3,FALSE),"")</f>
        <v/>
      </c>
      <c r="G698" t="s">
        <v>0</v>
      </c>
    </row>
    <row r="699" spans="1:7" x14ac:dyDescent="0.3">
      <c r="A699" s="5">
        <v>17305715</v>
      </c>
      <c r="B699" t="s">
        <v>1179</v>
      </c>
      <c r="C699" t="s">
        <v>2510</v>
      </c>
      <c r="D699" t="s">
        <v>2510</v>
      </c>
      <c r="E699" t="str">
        <f>IFERROR(VLOOKUP(B699,Signal_detection!$A$1:$C$22,2,FALSE),"")</f>
        <v/>
      </c>
      <c r="F699" t="str">
        <f>IFERROR(VLOOKUP(B699,Signal_detection!$A$1:$C$22,3,FALSE),"")</f>
        <v/>
      </c>
      <c r="G699" t="s">
        <v>0</v>
      </c>
    </row>
    <row r="700" spans="1:7" x14ac:dyDescent="0.3">
      <c r="A700" s="5">
        <v>17309502</v>
      </c>
      <c r="B700" t="s">
        <v>756</v>
      </c>
      <c r="C700" t="s">
        <v>756</v>
      </c>
      <c r="D700" t="s">
        <v>2506</v>
      </c>
      <c r="E700" t="str">
        <f>IFERROR(VLOOKUP(B700,Signal_detection!$A$1:$C$22,2,FALSE),"")</f>
        <v/>
      </c>
      <c r="F700" t="str">
        <f>IFERROR(VLOOKUP(B700,Signal_detection!$A$1:$C$22,3,FALSE),"")</f>
        <v/>
      </c>
      <c r="G700" t="s">
        <v>0</v>
      </c>
    </row>
    <row r="701" spans="1:7" x14ac:dyDescent="0.3">
      <c r="A701" s="5">
        <v>17331078</v>
      </c>
      <c r="B701" t="s">
        <v>1078</v>
      </c>
      <c r="C701" t="s">
        <v>2510</v>
      </c>
      <c r="D701" t="s">
        <v>2510</v>
      </c>
      <c r="E701" t="str">
        <f>IFERROR(VLOOKUP(B701,Signal_detection!$A$1:$C$22,2,FALSE),"")</f>
        <v/>
      </c>
      <c r="F701" t="str">
        <f>IFERROR(VLOOKUP(B701,Signal_detection!$A$1:$C$22,3,FALSE),"")</f>
        <v/>
      </c>
      <c r="G701" t="s">
        <v>125</v>
      </c>
    </row>
    <row r="702" spans="1:7" x14ac:dyDescent="0.3">
      <c r="A702" s="5">
        <v>17336752</v>
      </c>
      <c r="B702" t="s">
        <v>439</v>
      </c>
      <c r="C702" t="s">
        <v>2510</v>
      </c>
      <c r="D702" t="s">
        <v>2510</v>
      </c>
      <c r="E702" t="str">
        <f>IFERROR(VLOOKUP(B702,Signal_detection!$A$1:$C$22,2,FALSE),"")</f>
        <v/>
      </c>
      <c r="F702" t="str">
        <f>IFERROR(VLOOKUP(B702,Signal_detection!$A$1:$C$22,3,FALSE),"")</f>
        <v/>
      </c>
      <c r="G702" t="s">
        <v>0</v>
      </c>
    </row>
    <row r="703" spans="1:7" x14ac:dyDescent="0.3">
      <c r="A703" s="5">
        <v>17339265</v>
      </c>
      <c r="B703" t="s">
        <v>138</v>
      </c>
      <c r="C703" t="s">
        <v>2510</v>
      </c>
      <c r="D703" t="s">
        <v>2510</v>
      </c>
      <c r="E703" t="str">
        <f>IFERROR(VLOOKUP(B703,Signal_detection!$A$1:$C$22,2,FALSE),"")</f>
        <v/>
      </c>
      <c r="F703" t="str">
        <f>IFERROR(VLOOKUP(B703,Signal_detection!$A$1:$C$22,3,FALSE),"")</f>
        <v/>
      </c>
      <c r="G703" t="s">
        <v>125</v>
      </c>
    </row>
    <row r="704" spans="1:7" x14ac:dyDescent="0.3">
      <c r="A704" s="5">
        <v>17339300</v>
      </c>
      <c r="B704" t="s">
        <v>459</v>
      </c>
      <c r="C704" t="s">
        <v>459</v>
      </c>
      <c r="D704" t="s">
        <v>2503</v>
      </c>
      <c r="E704" t="str">
        <f>IFERROR(VLOOKUP(B704,Signal_detection!$A$1:$C$22,2,FALSE),"")</f>
        <v>Probable</v>
      </c>
      <c r="F704" t="str">
        <f>IFERROR(VLOOKUP(B704,Signal_detection!$A$1:$C$22,3,FALSE),"")</f>
        <v>Neurological signal</v>
      </c>
      <c r="G704" t="s">
        <v>0</v>
      </c>
    </row>
    <row r="705" spans="1:7" x14ac:dyDescent="0.3">
      <c r="A705" s="5">
        <v>17348213</v>
      </c>
      <c r="B705" t="s">
        <v>985</v>
      </c>
      <c r="C705" t="s">
        <v>2510</v>
      </c>
      <c r="D705" t="s">
        <v>2510</v>
      </c>
      <c r="E705" t="str">
        <f>IFERROR(VLOOKUP(B705,Signal_detection!$A$1:$C$22,2,FALSE),"")</f>
        <v/>
      </c>
      <c r="F705" t="str">
        <f>IFERROR(VLOOKUP(B705,Signal_detection!$A$1:$C$22,3,FALSE),"")</f>
        <v/>
      </c>
      <c r="G705" t="s">
        <v>0</v>
      </c>
    </row>
    <row r="706" spans="1:7" x14ac:dyDescent="0.3">
      <c r="A706" s="5">
        <v>17349706</v>
      </c>
      <c r="B706" t="s">
        <v>216</v>
      </c>
      <c r="C706" t="s">
        <v>216</v>
      </c>
      <c r="D706" t="s">
        <v>2495</v>
      </c>
      <c r="E706" t="str">
        <f>IFERROR(VLOOKUP(B706,Signal_detection!$A$1:$C$22,2,FALSE),"")</f>
        <v>Probable</v>
      </c>
      <c r="F706" t="str">
        <f>IFERROR(VLOOKUP(B706,Signal_detection!$A$1:$C$22,3,FALSE),"")</f>
        <v>Severe hypersensitivity</v>
      </c>
      <c r="G706" t="s">
        <v>0</v>
      </c>
    </row>
    <row r="707" spans="1:7" x14ac:dyDescent="0.3">
      <c r="A707" s="5">
        <v>17353462</v>
      </c>
      <c r="B707" t="s">
        <v>546</v>
      </c>
      <c r="C707" t="s">
        <v>2510</v>
      </c>
      <c r="D707" t="s">
        <v>2510</v>
      </c>
      <c r="E707" t="str">
        <f>IFERROR(VLOOKUP(B707,Signal_detection!$A$1:$C$22,2,FALSE),"")</f>
        <v/>
      </c>
      <c r="F707" t="str">
        <f>IFERROR(VLOOKUP(B707,Signal_detection!$A$1:$C$22,3,FALSE),"")</f>
        <v/>
      </c>
      <c r="G707" t="s">
        <v>125</v>
      </c>
    </row>
    <row r="708" spans="1:7" x14ac:dyDescent="0.3">
      <c r="A708" s="5">
        <v>17354106</v>
      </c>
      <c r="B708" t="s">
        <v>838</v>
      </c>
      <c r="C708" t="s">
        <v>838</v>
      </c>
      <c r="D708" t="s">
        <v>2495</v>
      </c>
      <c r="E708" t="str">
        <f>IFERROR(VLOOKUP(B708,Signal_detection!$A$1:$C$22,2,FALSE),"")</f>
        <v>Probable</v>
      </c>
      <c r="F708" t="str">
        <f>IFERROR(VLOOKUP(B708,Signal_detection!$A$1:$C$22,3,FALSE),"")</f>
        <v>Serious allergy signal</v>
      </c>
      <c r="G708" t="s">
        <v>0</v>
      </c>
    </row>
    <row r="709" spans="1:7" x14ac:dyDescent="0.3">
      <c r="A709" s="5">
        <v>17354416</v>
      </c>
      <c r="B709" t="s">
        <v>563</v>
      </c>
      <c r="C709" t="s">
        <v>2510</v>
      </c>
      <c r="D709" t="s">
        <v>2510</v>
      </c>
      <c r="E709" t="str">
        <f>IFERROR(VLOOKUP(B709,Signal_detection!$A$1:$C$22,2,FALSE),"")</f>
        <v/>
      </c>
      <c r="F709" t="str">
        <f>IFERROR(VLOOKUP(B709,Signal_detection!$A$1:$C$22,3,FALSE),"")</f>
        <v/>
      </c>
      <c r="G709" t="s">
        <v>0</v>
      </c>
    </row>
    <row r="710" spans="1:7" x14ac:dyDescent="0.3">
      <c r="A710" s="5">
        <v>17354834</v>
      </c>
      <c r="B710" t="s">
        <v>526</v>
      </c>
      <c r="C710" t="s">
        <v>2510</v>
      </c>
      <c r="D710" t="s">
        <v>2510</v>
      </c>
      <c r="E710" t="str">
        <f>IFERROR(VLOOKUP(B710,Signal_detection!$A$1:$C$22,2,FALSE),"")</f>
        <v/>
      </c>
      <c r="F710" t="str">
        <f>IFERROR(VLOOKUP(B710,Signal_detection!$A$1:$C$22,3,FALSE),"")</f>
        <v/>
      </c>
      <c r="G710" t="s">
        <v>125</v>
      </c>
    </row>
    <row r="711" spans="1:7" x14ac:dyDescent="0.3">
      <c r="A711" s="5">
        <v>17356215</v>
      </c>
      <c r="B711" t="s">
        <v>1385</v>
      </c>
      <c r="C711" t="s">
        <v>2510</v>
      </c>
      <c r="D711" t="s">
        <v>2510</v>
      </c>
      <c r="E711" t="str">
        <f>IFERROR(VLOOKUP(B711,Signal_detection!$A$1:$C$22,2,FALSE),"")</f>
        <v/>
      </c>
      <c r="F711" t="str">
        <f>IFERROR(VLOOKUP(B711,Signal_detection!$A$1:$C$22,3,FALSE),"")</f>
        <v/>
      </c>
      <c r="G711" t="s">
        <v>0</v>
      </c>
    </row>
    <row r="712" spans="1:7" x14ac:dyDescent="0.3">
      <c r="A712" s="5">
        <v>17366187</v>
      </c>
      <c r="B712" t="s">
        <v>62</v>
      </c>
      <c r="C712" t="s">
        <v>62</v>
      </c>
      <c r="D712" t="s">
        <v>2508</v>
      </c>
      <c r="E712" t="str">
        <f>IFERROR(VLOOKUP(B712,Signal_detection!$A$1:$C$22,2,FALSE),"")</f>
        <v>Possible</v>
      </c>
      <c r="F712" t="str">
        <f>IFERROR(VLOOKUP(B712,Signal_detection!$A$1:$C$22,3,FALSE),"")</f>
        <v>Respiratory ADR</v>
      </c>
      <c r="G712" t="s">
        <v>0</v>
      </c>
    </row>
    <row r="713" spans="1:7" x14ac:dyDescent="0.3">
      <c r="A713" s="5">
        <v>17366698</v>
      </c>
      <c r="B713" t="s">
        <v>206</v>
      </c>
      <c r="C713" t="s">
        <v>206</v>
      </c>
      <c r="D713" t="s">
        <v>2496</v>
      </c>
      <c r="E713" t="str">
        <f>IFERROR(VLOOKUP(B713,Signal_detection!$A$1:$C$22,2,FALSE),"")</f>
        <v>Probable</v>
      </c>
      <c r="F713" t="str">
        <f>IFERROR(VLOOKUP(B713,Signal_detection!$A$1:$C$22,3,FALSE),"")</f>
        <v>Infection signal</v>
      </c>
      <c r="G713" t="s">
        <v>0</v>
      </c>
    </row>
    <row r="714" spans="1:7" x14ac:dyDescent="0.3">
      <c r="A714" s="5">
        <v>17367452</v>
      </c>
      <c r="B714" t="s">
        <v>102</v>
      </c>
      <c r="C714" t="s">
        <v>102</v>
      </c>
      <c r="D714" t="s">
        <v>2498</v>
      </c>
      <c r="E714" t="str">
        <f>IFERROR(VLOOKUP(B714,Signal_detection!$A$1:$C$22,2,FALSE),"")</f>
        <v/>
      </c>
      <c r="F714" t="str">
        <f>IFERROR(VLOOKUP(B714,Signal_detection!$A$1:$C$22,3,FALSE),"")</f>
        <v/>
      </c>
      <c r="G714" t="s">
        <v>125</v>
      </c>
    </row>
    <row r="715" spans="1:7" x14ac:dyDescent="0.3">
      <c r="A715" s="5">
        <v>17369809</v>
      </c>
      <c r="B715" t="s">
        <v>54</v>
      </c>
      <c r="C715" t="s">
        <v>2510</v>
      </c>
      <c r="D715" t="s">
        <v>2510</v>
      </c>
      <c r="E715" t="str">
        <f>IFERROR(VLOOKUP(B715,Signal_detection!$A$1:$C$22,2,FALSE),"")</f>
        <v/>
      </c>
      <c r="F715" t="str">
        <f>IFERROR(VLOOKUP(B715,Signal_detection!$A$1:$C$22,3,FALSE),"")</f>
        <v/>
      </c>
      <c r="G715" t="s">
        <v>125</v>
      </c>
    </row>
    <row r="716" spans="1:7" x14ac:dyDescent="0.3">
      <c r="A716" s="5">
        <v>17374642</v>
      </c>
      <c r="B716" t="s">
        <v>1530</v>
      </c>
      <c r="C716" t="s">
        <v>2510</v>
      </c>
      <c r="D716" t="s">
        <v>2510</v>
      </c>
      <c r="E716" t="str">
        <f>IFERROR(VLOOKUP(B716,Signal_detection!$A$1:$C$22,2,FALSE),"")</f>
        <v/>
      </c>
      <c r="F716" t="str">
        <f>IFERROR(VLOOKUP(B716,Signal_detection!$A$1:$C$22,3,FALSE),"")</f>
        <v/>
      </c>
      <c r="G716" t="s">
        <v>125</v>
      </c>
    </row>
    <row r="717" spans="1:7" x14ac:dyDescent="0.3">
      <c r="A717" s="5">
        <v>17386672</v>
      </c>
      <c r="B717" t="s">
        <v>397</v>
      </c>
      <c r="C717" t="s">
        <v>2510</v>
      </c>
      <c r="D717" t="s">
        <v>2510</v>
      </c>
      <c r="E717" t="str">
        <f>IFERROR(VLOOKUP(B717,Signal_detection!$A$1:$C$22,2,FALSE),"")</f>
        <v/>
      </c>
      <c r="F717" t="str">
        <f>IFERROR(VLOOKUP(B717,Signal_detection!$A$1:$C$22,3,FALSE),"")</f>
        <v/>
      </c>
      <c r="G717" t="s">
        <v>0</v>
      </c>
    </row>
    <row r="718" spans="1:7" x14ac:dyDescent="0.3">
      <c r="A718" s="5">
        <v>17389619</v>
      </c>
      <c r="B718" t="s">
        <v>1019</v>
      </c>
      <c r="C718" t="s">
        <v>2510</v>
      </c>
      <c r="D718" t="s">
        <v>2510</v>
      </c>
      <c r="E718" t="str">
        <f>IFERROR(VLOOKUP(B718,Signal_detection!$A$1:$C$22,2,FALSE),"")</f>
        <v/>
      </c>
      <c r="F718" t="str">
        <f>IFERROR(VLOOKUP(B718,Signal_detection!$A$1:$C$22,3,FALSE),"")</f>
        <v/>
      </c>
      <c r="G718" t="s">
        <v>125</v>
      </c>
    </row>
    <row r="719" spans="1:7" x14ac:dyDescent="0.3">
      <c r="A719" s="5">
        <v>17390121</v>
      </c>
      <c r="B719" t="s">
        <v>1501</v>
      </c>
      <c r="C719" t="s">
        <v>2510</v>
      </c>
      <c r="D719" t="s">
        <v>2510</v>
      </c>
      <c r="E719" t="str">
        <f>IFERROR(VLOOKUP(B719,Signal_detection!$A$1:$C$22,2,FALSE),"")</f>
        <v/>
      </c>
      <c r="F719" t="str">
        <f>IFERROR(VLOOKUP(B719,Signal_detection!$A$1:$C$22,3,FALSE),"")</f>
        <v/>
      </c>
      <c r="G719" t="s">
        <v>0</v>
      </c>
    </row>
    <row r="720" spans="1:7" x14ac:dyDescent="0.3">
      <c r="A720" s="5">
        <v>17393179</v>
      </c>
      <c r="B720" t="s">
        <v>1578</v>
      </c>
      <c r="C720" t="s">
        <v>2510</v>
      </c>
      <c r="D720" t="s">
        <v>2510</v>
      </c>
      <c r="E720" t="str">
        <f>IFERROR(VLOOKUP(B720,Signal_detection!$A$1:$C$22,2,FALSE),"")</f>
        <v/>
      </c>
      <c r="F720" t="str">
        <f>IFERROR(VLOOKUP(B720,Signal_detection!$A$1:$C$22,3,FALSE),"")</f>
        <v/>
      </c>
      <c r="G720" t="s">
        <v>125</v>
      </c>
    </row>
    <row r="721" spans="1:7" x14ac:dyDescent="0.3">
      <c r="A721" s="5">
        <v>17393424</v>
      </c>
      <c r="B721" t="s">
        <v>708</v>
      </c>
      <c r="C721" t="s">
        <v>708</v>
      </c>
      <c r="D721" t="s">
        <v>2501</v>
      </c>
      <c r="E721" t="str">
        <f>IFERROR(VLOOKUP(B721,Signal_detection!$A$1:$C$22,2,FALSE),"")</f>
        <v/>
      </c>
      <c r="F721" t="str">
        <f>IFERROR(VLOOKUP(B721,Signal_detection!$A$1:$C$22,3,FALSE),"")</f>
        <v/>
      </c>
      <c r="G721" t="s">
        <v>0</v>
      </c>
    </row>
    <row r="722" spans="1:7" x14ac:dyDescent="0.3">
      <c r="A722" s="5">
        <v>17396878</v>
      </c>
      <c r="B722" t="s">
        <v>1335</v>
      </c>
      <c r="C722" t="s">
        <v>2510</v>
      </c>
      <c r="D722" t="s">
        <v>2510</v>
      </c>
      <c r="E722" t="str">
        <f>IFERROR(VLOOKUP(B722,Signal_detection!$A$1:$C$22,2,FALSE),"")</f>
        <v/>
      </c>
      <c r="F722" t="str">
        <f>IFERROR(VLOOKUP(B722,Signal_detection!$A$1:$C$22,3,FALSE),"")</f>
        <v/>
      </c>
      <c r="G722" t="s">
        <v>125</v>
      </c>
    </row>
    <row r="723" spans="1:7" x14ac:dyDescent="0.3">
      <c r="A723" s="5">
        <v>17404410</v>
      </c>
      <c r="B723" t="s">
        <v>466</v>
      </c>
      <c r="C723" t="s">
        <v>2510</v>
      </c>
      <c r="D723" t="s">
        <v>2510</v>
      </c>
      <c r="E723" t="str">
        <f>IFERROR(VLOOKUP(B723,Signal_detection!$A$1:$C$22,2,FALSE),"")</f>
        <v/>
      </c>
      <c r="F723" t="str">
        <f>IFERROR(VLOOKUP(B723,Signal_detection!$A$1:$C$22,3,FALSE),"")</f>
        <v/>
      </c>
      <c r="G723" t="s">
        <v>0</v>
      </c>
    </row>
    <row r="724" spans="1:7" x14ac:dyDescent="0.3">
      <c r="A724" s="5">
        <v>17414853</v>
      </c>
      <c r="B724" t="s">
        <v>206</v>
      </c>
      <c r="C724" t="s">
        <v>206</v>
      </c>
      <c r="D724" t="s">
        <v>2496</v>
      </c>
      <c r="E724" t="str">
        <f>IFERROR(VLOOKUP(B724,Signal_detection!$A$1:$C$22,2,FALSE),"")</f>
        <v>Probable</v>
      </c>
      <c r="F724" t="str">
        <f>IFERROR(VLOOKUP(B724,Signal_detection!$A$1:$C$22,3,FALSE),"")</f>
        <v>Infection signal</v>
      </c>
      <c r="G724" t="s">
        <v>0</v>
      </c>
    </row>
    <row r="725" spans="1:7" x14ac:dyDescent="0.3">
      <c r="A725" s="5">
        <v>17427533</v>
      </c>
      <c r="B725" t="s">
        <v>432</v>
      </c>
      <c r="C725" t="s">
        <v>2510</v>
      </c>
      <c r="D725" t="s">
        <v>2510</v>
      </c>
      <c r="E725" t="str">
        <f>IFERROR(VLOOKUP(B725,Signal_detection!$A$1:$C$22,2,FALSE),"")</f>
        <v/>
      </c>
      <c r="F725" t="str">
        <f>IFERROR(VLOOKUP(B725,Signal_detection!$A$1:$C$22,3,FALSE),"")</f>
        <v/>
      </c>
      <c r="G725" t="s">
        <v>0</v>
      </c>
    </row>
    <row r="726" spans="1:7" x14ac:dyDescent="0.3">
      <c r="A726" s="5">
        <v>17434513</v>
      </c>
      <c r="B726" t="s">
        <v>839</v>
      </c>
      <c r="C726" t="s">
        <v>2510</v>
      </c>
      <c r="D726" t="s">
        <v>2510</v>
      </c>
      <c r="E726" t="str">
        <f>IFERROR(VLOOKUP(B726,Signal_detection!$A$1:$C$22,2,FALSE),"")</f>
        <v/>
      </c>
      <c r="F726" t="str">
        <f>IFERROR(VLOOKUP(B726,Signal_detection!$A$1:$C$22,3,FALSE),"")</f>
        <v/>
      </c>
      <c r="G726" t="s">
        <v>0</v>
      </c>
    </row>
    <row r="727" spans="1:7" x14ac:dyDescent="0.3">
      <c r="A727" s="5">
        <v>17436080</v>
      </c>
      <c r="B727" t="s">
        <v>206</v>
      </c>
      <c r="C727" t="s">
        <v>206</v>
      </c>
      <c r="D727" t="s">
        <v>2496</v>
      </c>
      <c r="E727" t="str">
        <f>IFERROR(VLOOKUP(B727,Signal_detection!$A$1:$C$22,2,FALSE),"")</f>
        <v>Probable</v>
      </c>
      <c r="F727" t="str">
        <f>IFERROR(VLOOKUP(B727,Signal_detection!$A$1:$C$22,3,FALSE),"")</f>
        <v>Infection signal</v>
      </c>
      <c r="G727" t="s">
        <v>0</v>
      </c>
    </row>
    <row r="728" spans="1:7" x14ac:dyDescent="0.3">
      <c r="A728" s="5">
        <v>17438614</v>
      </c>
      <c r="B728" t="s">
        <v>741</v>
      </c>
      <c r="C728" t="s">
        <v>741</v>
      </c>
      <c r="D728" t="s">
        <v>2505</v>
      </c>
      <c r="E728" t="str">
        <f>IFERROR(VLOOKUP(B728,Signal_detection!$A$1:$C$22,2,FALSE),"")</f>
        <v/>
      </c>
      <c r="F728" t="str">
        <f>IFERROR(VLOOKUP(B728,Signal_detection!$A$1:$C$22,3,FALSE),"")</f>
        <v/>
      </c>
      <c r="G728" t="s">
        <v>0</v>
      </c>
    </row>
    <row r="729" spans="1:7" x14ac:dyDescent="0.3">
      <c r="A729" s="5">
        <v>17441956</v>
      </c>
      <c r="B729" t="s">
        <v>756</v>
      </c>
      <c r="C729" t="s">
        <v>756</v>
      </c>
      <c r="D729" t="s">
        <v>2506</v>
      </c>
      <c r="E729" t="str">
        <f>IFERROR(VLOOKUP(B729,Signal_detection!$A$1:$C$22,2,FALSE),"")</f>
        <v/>
      </c>
      <c r="F729" t="str">
        <f>IFERROR(VLOOKUP(B729,Signal_detection!$A$1:$C$22,3,FALSE),"")</f>
        <v/>
      </c>
      <c r="G729" t="s">
        <v>0</v>
      </c>
    </row>
    <row r="730" spans="1:7" x14ac:dyDescent="0.3">
      <c r="A730" s="5">
        <v>17447119</v>
      </c>
      <c r="B730" t="s">
        <v>297</v>
      </c>
      <c r="C730" t="s">
        <v>2510</v>
      </c>
      <c r="D730" t="s">
        <v>2510</v>
      </c>
      <c r="E730" t="str">
        <f>IFERROR(VLOOKUP(B730,Signal_detection!$A$1:$C$22,2,FALSE),"")</f>
        <v/>
      </c>
      <c r="F730" t="str">
        <f>IFERROR(VLOOKUP(B730,Signal_detection!$A$1:$C$22,3,FALSE),"")</f>
        <v/>
      </c>
      <c r="G730" t="s">
        <v>0</v>
      </c>
    </row>
    <row r="731" spans="1:7" x14ac:dyDescent="0.3">
      <c r="A731" s="5">
        <v>17457884</v>
      </c>
      <c r="B731" t="s">
        <v>274</v>
      </c>
      <c r="C731" t="s">
        <v>274</v>
      </c>
      <c r="D731" t="s">
        <v>2494</v>
      </c>
      <c r="E731" t="str">
        <f>IFERROR(VLOOKUP(B731,Signal_detection!$A$1:$C$22,2,FALSE),"")</f>
        <v/>
      </c>
      <c r="F731" t="str">
        <f>IFERROR(VLOOKUP(B731,Signal_detection!$A$1:$C$22,3,FALSE),"")</f>
        <v/>
      </c>
      <c r="G731" t="s">
        <v>0</v>
      </c>
    </row>
    <row r="732" spans="1:7" x14ac:dyDescent="0.3">
      <c r="A732" s="5">
        <v>17457890</v>
      </c>
      <c r="B732" t="s">
        <v>274</v>
      </c>
      <c r="C732" t="s">
        <v>274</v>
      </c>
      <c r="D732" t="s">
        <v>2494</v>
      </c>
      <c r="E732" t="str">
        <f>IFERROR(VLOOKUP(B732,Signal_detection!$A$1:$C$22,2,FALSE),"")</f>
        <v/>
      </c>
      <c r="F732" t="str">
        <f>IFERROR(VLOOKUP(B732,Signal_detection!$A$1:$C$22,3,FALSE),"")</f>
        <v/>
      </c>
      <c r="G732" t="s">
        <v>0</v>
      </c>
    </row>
    <row r="733" spans="1:7" x14ac:dyDescent="0.3">
      <c r="A733" s="5">
        <v>17463269</v>
      </c>
      <c r="B733" t="s">
        <v>1524</v>
      </c>
      <c r="C733" t="s">
        <v>2510</v>
      </c>
      <c r="D733" t="s">
        <v>2510</v>
      </c>
      <c r="E733" t="str">
        <f>IFERROR(VLOOKUP(B733,Signal_detection!$A$1:$C$22,2,FALSE),"")</f>
        <v/>
      </c>
      <c r="F733" t="str">
        <f>IFERROR(VLOOKUP(B733,Signal_detection!$A$1:$C$22,3,FALSE),"")</f>
        <v/>
      </c>
      <c r="G733" t="s">
        <v>0</v>
      </c>
    </row>
    <row r="734" spans="1:7" x14ac:dyDescent="0.3">
      <c r="A734" s="5">
        <v>17481824</v>
      </c>
      <c r="B734" t="s">
        <v>1525</v>
      </c>
      <c r="C734" t="s">
        <v>2510</v>
      </c>
      <c r="D734" t="s">
        <v>2510</v>
      </c>
      <c r="E734" t="str">
        <f>IFERROR(VLOOKUP(B734,Signal_detection!$A$1:$C$22,2,FALSE),"")</f>
        <v/>
      </c>
      <c r="F734" t="str">
        <f>IFERROR(VLOOKUP(B734,Signal_detection!$A$1:$C$22,3,FALSE),"")</f>
        <v/>
      </c>
      <c r="G734" t="s">
        <v>0</v>
      </c>
    </row>
    <row r="735" spans="1:7" x14ac:dyDescent="0.3">
      <c r="A735" s="5">
        <v>17484019</v>
      </c>
      <c r="B735" t="s">
        <v>396</v>
      </c>
      <c r="C735" t="s">
        <v>2510</v>
      </c>
      <c r="D735" t="s">
        <v>2510</v>
      </c>
      <c r="E735" t="str">
        <f>IFERROR(VLOOKUP(B735,Signal_detection!$A$1:$C$22,2,FALSE),"")</f>
        <v/>
      </c>
      <c r="F735" t="str">
        <f>IFERROR(VLOOKUP(B735,Signal_detection!$A$1:$C$22,3,FALSE),"")</f>
        <v/>
      </c>
      <c r="G735" t="s">
        <v>0</v>
      </c>
    </row>
    <row r="736" spans="1:7" x14ac:dyDescent="0.3">
      <c r="A736" s="5">
        <v>17485060</v>
      </c>
      <c r="B736" t="s">
        <v>756</v>
      </c>
      <c r="C736" t="s">
        <v>756</v>
      </c>
      <c r="D736" t="s">
        <v>2506</v>
      </c>
      <c r="E736" t="str">
        <f>IFERROR(VLOOKUP(B736,Signal_detection!$A$1:$C$22,2,FALSE),"")</f>
        <v/>
      </c>
      <c r="F736" t="str">
        <f>IFERROR(VLOOKUP(B736,Signal_detection!$A$1:$C$22,3,FALSE),"")</f>
        <v/>
      </c>
      <c r="G736" t="s">
        <v>0</v>
      </c>
    </row>
    <row r="737" spans="1:7" x14ac:dyDescent="0.3">
      <c r="A737" s="5">
        <v>17485999</v>
      </c>
      <c r="B737" t="s">
        <v>186</v>
      </c>
      <c r="C737" t="s">
        <v>2510</v>
      </c>
      <c r="D737" t="s">
        <v>2510</v>
      </c>
      <c r="E737" t="str">
        <f>IFERROR(VLOOKUP(B737,Signal_detection!$A$1:$C$22,2,FALSE),"")</f>
        <v/>
      </c>
      <c r="F737" t="str">
        <f>IFERROR(VLOOKUP(B737,Signal_detection!$A$1:$C$22,3,FALSE),"")</f>
        <v/>
      </c>
      <c r="G737" t="s">
        <v>0</v>
      </c>
    </row>
    <row r="738" spans="1:7" x14ac:dyDescent="0.3">
      <c r="A738" s="5">
        <v>17487366</v>
      </c>
      <c r="B738" t="s">
        <v>351</v>
      </c>
      <c r="C738" t="s">
        <v>2510</v>
      </c>
      <c r="D738" t="s">
        <v>2510</v>
      </c>
      <c r="E738" t="str">
        <f>IFERROR(VLOOKUP(B738,Signal_detection!$A$1:$C$22,2,FALSE),"")</f>
        <v/>
      </c>
      <c r="F738" t="str">
        <f>IFERROR(VLOOKUP(B738,Signal_detection!$A$1:$C$22,3,FALSE),"")</f>
        <v/>
      </c>
      <c r="G738" t="s">
        <v>0</v>
      </c>
    </row>
    <row r="739" spans="1:7" x14ac:dyDescent="0.3">
      <c r="A739" s="5">
        <v>17488078</v>
      </c>
      <c r="B739" t="s">
        <v>721</v>
      </c>
      <c r="C739" t="s">
        <v>2510</v>
      </c>
      <c r="D739" t="s">
        <v>2510</v>
      </c>
      <c r="E739" t="str">
        <f>IFERROR(VLOOKUP(B739,Signal_detection!$A$1:$C$22,2,FALSE),"")</f>
        <v/>
      </c>
      <c r="F739" t="str">
        <f>IFERROR(VLOOKUP(B739,Signal_detection!$A$1:$C$22,3,FALSE),"")</f>
        <v/>
      </c>
      <c r="G739" t="s">
        <v>0</v>
      </c>
    </row>
    <row r="740" spans="1:7" x14ac:dyDescent="0.3">
      <c r="A740" s="5">
        <v>17492074</v>
      </c>
      <c r="B740" t="s">
        <v>708</v>
      </c>
      <c r="C740" t="s">
        <v>708</v>
      </c>
      <c r="D740" t="s">
        <v>2501</v>
      </c>
      <c r="E740" t="str">
        <f>IFERROR(VLOOKUP(B740,Signal_detection!$A$1:$C$22,2,FALSE),"")</f>
        <v/>
      </c>
      <c r="F740" t="str">
        <f>IFERROR(VLOOKUP(B740,Signal_detection!$A$1:$C$22,3,FALSE),"")</f>
        <v/>
      </c>
      <c r="G740" t="s">
        <v>0</v>
      </c>
    </row>
    <row r="741" spans="1:7" x14ac:dyDescent="0.3">
      <c r="A741" s="5">
        <v>17496055</v>
      </c>
      <c r="B741" t="s">
        <v>463</v>
      </c>
      <c r="C741" t="s">
        <v>2510</v>
      </c>
      <c r="D741" t="s">
        <v>2510</v>
      </c>
      <c r="E741" t="str">
        <f>IFERROR(VLOOKUP(B741,Signal_detection!$A$1:$C$22,2,FALSE),"")</f>
        <v/>
      </c>
      <c r="F741" t="str">
        <f>IFERROR(VLOOKUP(B741,Signal_detection!$A$1:$C$22,3,FALSE),"")</f>
        <v/>
      </c>
      <c r="G741" t="s">
        <v>0</v>
      </c>
    </row>
    <row r="742" spans="1:7" x14ac:dyDescent="0.3">
      <c r="A742" s="5">
        <v>17498872</v>
      </c>
      <c r="B742" t="s">
        <v>354</v>
      </c>
      <c r="C742" t="s">
        <v>2510</v>
      </c>
      <c r="D742" t="s">
        <v>2510</v>
      </c>
      <c r="E742" t="str">
        <f>IFERROR(VLOOKUP(B742,Signal_detection!$A$1:$C$22,2,FALSE),"")</f>
        <v/>
      </c>
      <c r="F742" t="str">
        <f>IFERROR(VLOOKUP(B742,Signal_detection!$A$1:$C$22,3,FALSE),"")</f>
        <v/>
      </c>
      <c r="G742" t="s">
        <v>0</v>
      </c>
    </row>
    <row r="743" spans="1:7" x14ac:dyDescent="0.3">
      <c r="A743" s="5">
        <v>17499972</v>
      </c>
      <c r="B743" t="s">
        <v>431</v>
      </c>
      <c r="C743" t="s">
        <v>2510</v>
      </c>
      <c r="D743" t="s">
        <v>2510</v>
      </c>
      <c r="E743" t="str">
        <f>IFERROR(VLOOKUP(B743,Signal_detection!$A$1:$C$22,2,FALSE),"")</f>
        <v/>
      </c>
      <c r="F743" t="str">
        <f>IFERROR(VLOOKUP(B743,Signal_detection!$A$1:$C$22,3,FALSE),"")</f>
        <v/>
      </c>
      <c r="G743" t="s">
        <v>0</v>
      </c>
    </row>
    <row r="744" spans="1:7" x14ac:dyDescent="0.3">
      <c r="A744" s="5">
        <v>17510300</v>
      </c>
      <c r="B744" t="s">
        <v>1066</v>
      </c>
      <c r="C744" t="s">
        <v>2510</v>
      </c>
      <c r="D744" t="s">
        <v>2510</v>
      </c>
      <c r="E744" t="str">
        <f>IFERROR(VLOOKUP(B744,Signal_detection!$A$1:$C$22,2,FALSE),"")</f>
        <v/>
      </c>
      <c r="F744" t="str">
        <f>IFERROR(VLOOKUP(B744,Signal_detection!$A$1:$C$22,3,FALSE),"")</f>
        <v/>
      </c>
      <c r="G744" t="s">
        <v>0</v>
      </c>
    </row>
    <row r="745" spans="1:7" x14ac:dyDescent="0.3">
      <c r="A745" s="5">
        <v>17520714</v>
      </c>
      <c r="B745" t="s">
        <v>703</v>
      </c>
      <c r="C745" t="s">
        <v>2510</v>
      </c>
      <c r="D745" t="s">
        <v>2510</v>
      </c>
      <c r="E745" t="str">
        <f>IFERROR(VLOOKUP(B745,Signal_detection!$A$1:$C$22,2,FALSE),"")</f>
        <v/>
      </c>
      <c r="F745" t="str">
        <f>IFERROR(VLOOKUP(B745,Signal_detection!$A$1:$C$22,3,FALSE),"")</f>
        <v/>
      </c>
      <c r="G745" t="s">
        <v>125</v>
      </c>
    </row>
    <row r="746" spans="1:7" x14ac:dyDescent="0.3">
      <c r="A746" s="5">
        <v>17524742</v>
      </c>
      <c r="B746" t="s">
        <v>244</v>
      </c>
      <c r="C746" t="s">
        <v>244</v>
      </c>
      <c r="D746" t="s">
        <v>2497</v>
      </c>
      <c r="E746" t="str">
        <f>IFERROR(VLOOKUP(B746,Signal_detection!$A$1:$C$22,2,FALSE),"")</f>
        <v>Possible</v>
      </c>
      <c r="F746" t="str">
        <f>IFERROR(VLOOKUP(B746,Signal_detection!$A$1:$C$22,3,FALSE),"")</f>
        <v>General ADR</v>
      </c>
      <c r="G746" t="s">
        <v>0</v>
      </c>
    </row>
    <row r="747" spans="1:7" x14ac:dyDescent="0.3">
      <c r="A747" s="5">
        <v>17525045</v>
      </c>
      <c r="B747" t="s">
        <v>206</v>
      </c>
      <c r="C747" t="s">
        <v>206</v>
      </c>
      <c r="D747" t="s">
        <v>2496</v>
      </c>
      <c r="E747" t="str">
        <f>IFERROR(VLOOKUP(B747,Signal_detection!$A$1:$C$22,2,FALSE),"")</f>
        <v>Probable</v>
      </c>
      <c r="F747" t="str">
        <f>IFERROR(VLOOKUP(B747,Signal_detection!$A$1:$C$22,3,FALSE),"")</f>
        <v>Infection signal</v>
      </c>
      <c r="G747" t="s">
        <v>0</v>
      </c>
    </row>
    <row r="748" spans="1:7" x14ac:dyDescent="0.3">
      <c r="A748" s="5">
        <v>17527294</v>
      </c>
      <c r="B748" t="s">
        <v>459</v>
      </c>
      <c r="C748" t="s">
        <v>459</v>
      </c>
      <c r="D748" t="s">
        <v>2503</v>
      </c>
      <c r="E748" t="str">
        <f>IFERROR(VLOOKUP(B748,Signal_detection!$A$1:$C$22,2,FALSE),"")</f>
        <v>Probable</v>
      </c>
      <c r="F748" t="str">
        <f>IFERROR(VLOOKUP(B748,Signal_detection!$A$1:$C$22,3,FALSE),"")</f>
        <v>Neurological signal</v>
      </c>
      <c r="G748" t="s">
        <v>0</v>
      </c>
    </row>
    <row r="749" spans="1:7" x14ac:dyDescent="0.3">
      <c r="A749" s="5">
        <v>17532065</v>
      </c>
      <c r="B749" t="s">
        <v>534</v>
      </c>
      <c r="C749" t="s">
        <v>2510</v>
      </c>
      <c r="D749" t="s">
        <v>2510</v>
      </c>
      <c r="E749" t="str">
        <f>IFERROR(VLOOKUP(B749,Signal_detection!$A$1:$C$22,2,FALSE),"")</f>
        <v/>
      </c>
      <c r="F749" t="str">
        <f>IFERROR(VLOOKUP(B749,Signal_detection!$A$1:$C$22,3,FALSE),"")</f>
        <v/>
      </c>
      <c r="G749" t="s">
        <v>0</v>
      </c>
    </row>
    <row r="750" spans="1:7" x14ac:dyDescent="0.3">
      <c r="A750" s="5">
        <v>17536382</v>
      </c>
      <c r="B750" t="s">
        <v>1192</v>
      </c>
      <c r="C750" t="s">
        <v>2510</v>
      </c>
      <c r="D750" t="s">
        <v>2510</v>
      </c>
      <c r="E750" t="str">
        <f>IFERROR(VLOOKUP(B750,Signal_detection!$A$1:$C$22,2,FALSE),"")</f>
        <v/>
      </c>
      <c r="F750" t="str">
        <f>IFERROR(VLOOKUP(B750,Signal_detection!$A$1:$C$22,3,FALSE),"")</f>
        <v/>
      </c>
      <c r="G750" t="s">
        <v>0</v>
      </c>
    </row>
    <row r="751" spans="1:7" x14ac:dyDescent="0.3">
      <c r="A751" s="5">
        <v>17539419</v>
      </c>
      <c r="B751" t="s">
        <v>870</v>
      </c>
      <c r="C751" t="s">
        <v>2510</v>
      </c>
      <c r="D751" t="s">
        <v>2510</v>
      </c>
      <c r="E751" t="str">
        <f>IFERROR(VLOOKUP(B751,Signal_detection!$A$1:$C$22,2,FALSE),"")</f>
        <v/>
      </c>
      <c r="F751" t="str">
        <f>IFERROR(VLOOKUP(B751,Signal_detection!$A$1:$C$22,3,FALSE),"")</f>
        <v/>
      </c>
      <c r="G751" t="s">
        <v>125</v>
      </c>
    </row>
    <row r="752" spans="1:7" x14ac:dyDescent="0.3">
      <c r="A752" s="5">
        <v>17544437</v>
      </c>
      <c r="B752" t="s">
        <v>145</v>
      </c>
      <c r="C752" t="s">
        <v>2510</v>
      </c>
      <c r="D752" t="s">
        <v>2510</v>
      </c>
      <c r="E752" t="str">
        <f>IFERROR(VLOOKUP(B752,Signal_detection!$A$1:$C$22,2,FALSE),"")</f>
        <v/>
      </c>
      <c r="F752" t="str">
        <f>IFERROR(VLOOKUP(B752,Signal_detection!$A$1:$C$22,3,FALSE),"")</f>
        <v/>
      </c>
      <c r="G752" t="s">
        <v>0</v>
      </c>
    </row>
    <row r="753" spans="1:7" x14ac:dyDescent="0.3">
      <c r="A753" s="5">
        <v>17546644</v>
      </c>
      <c r="B753" t="s">
        <v>1104</v>
      </c>
      <c r="C753" t="s">
        <v>1104</v>
      </c>
      <c r="D753" t="s">
        <v>2497</v>
      </c>
      <c r="E753" t="str">
        <f>IFERROR(VLOOKUP(B753,Signal_detection!$A$1:$C$22,2,FALSE),"")</f>
        <v>Unlikely</v>
      </c>
      <c r="F753" t="str">
        <f>IFERROR(VLOOKUP(B753,Signal_detection!$A$1:$C$22,3,FALSE),"")</f>
        <v>Non-case</v>
      </c>
      <c r="G753" t="s">
        <v>125</v>
      </c>
    </row>
    <row r="754" spans="1:7" x14ac:dyDescent="0.3">
      <c r="A754" s="5">
        <v>17554129</v>
      </c>
      <c r="B754" t="s">
        <v>677</v>
      </c>
      <c r="C754" t="s">
        <v>2510</v>
      </c>
      <c r="D754" t="s">
        <v>2510</v>
      </c>
      <c r="E754" t="str">
        <f>IFERROR(VLOOKUP(B754,Signal_detection!$A$1:$C$22,2,FALSE),"")</f>
        <v/>
      </c>
      <c r="F754" t="str">
        <f>IFERROR(VLOOKUP(B754,Signal_detection!$A$1:$C$22,3,FALSE),"")</f>
        <v/>
      </c>
      <c r="G754" t="s">
        <v>0</v>
      </c>
    </row>
    <row r="755" spans="1:7" x14ac:dyDescent="0.3">
      <c r="A755" s="5">
        <v>17554721</v>
      </c>
      <c r="B755" t="s">
        <v>278</v>
      </c>
      <c r="C755" t="s">
        <v>278</v>
      </c>
      <c r="D755" t="s">
        <v>2500</v>
      </c>
      <c r="E755" t="str">
        <f>IFERROR(VLOOKUP(B755,Signal_detection!$A$1:$C$22,2,FALSE),"")</f>
        <v>Probable</v>
      </c>
      <c r="F755" t="str">
        <f>IFERROR(VLOOKUP(B755,Signal_detection!$A$1:$C$22,3,FALSE),"")</f>
        <v>Hematologic signal</v>
      </c>
      <c r="G755" t="s">
        <v>0</v>
      </c>
    </row>
    <row r="756" spans="1:7" x14ac:dyDescent="0.3">
      <c r="A756" s="5">
        <v>17554838</v>
      </c>
      <c r="B756" t="s">
        <v>459</v>
      </c>
      <c r="C756" t="s">
        <v>459</v>
      </c>
      <c r="D756" t="s">
        <v>2503</v>
      </c>
      <c r="E756" t="str">
        <f>IFERROR(VLOOKUP(B756,Signal_detection!$A$1:$C$22,2,FALSE),"")</f>
        <v>Probable</v>
      </c>
      <c r="F756" t="str">
        <f>IFERROR(VLOOKUP(B756,Signal_detection!$A$1:$C$22,3,FALSE),"")</f>
        <v>Neurological signal</v>
      </c>
      <c r="G756" t="s">
        <v>0</v>
      </c>
    </row>
    <row r="757" spans="1:7" x14ac:dyDescent="0.3">
      <c r="A757" s="5">
        <v>17559330</v>
      </c>
      <c r="B757" t="s">
        <v>244</v>
      </c>
      <c r="C757" t="s">
        <v>244</v>
      </c>
      <c r="D757" t="s">
        <v>2497</v>
      </c>
      <c r="E757" t="str">
        <f>IFERROR(VLOOKUP(B757,Signal_detection!$A$1:$C$22,2,FALSE),"")</f>
        <v>Possible</v>
      </c>
      <c r="F757" t="str">
        <f>IFERROR(VLOOKUP(B757,Signal_detection!$A$1:$C$22,3,FALSE),"")</f>
        <v>General ADR</v>
      </c>
      <c r="G757" t="s">
        <v>125</v>
      </c>
    </row>
    <row r="758" spans="1:7" x14ac:dyDescent="0.3">
      <c r="A758" s="5">
        <v>17559477</v>
      </c>
      <c r="B758" t="s">
        <v>534</v>
      </c>
      <c r="C758" t="s">
        <v>2510</v>
      </c>
      <c r="D758" t="s">
        <v>2510</v>
      </c>
      <c r="E758" t="str">
        <f>IFERROR(VLOOKUP(B758,Signal_detection!$A$1:$C$22,2,FALSE),"")</f>
        <v/>
      </c>
      <c r="F758" t="str">
        <f>IFERROR(VLOOKUP(B758,Signal_detection!$A$1:$C$22,3,FALSE),"")</f>
        <v/>
      </c>
      <c r="G758" t="s">
        <v>0</v>
      </c>
    </row>
    <row r="759" spans="1:7" x14ac:dyDescent="0.3">
      <c r="A759" s="5">
        <v>17563280</v>
      </c>
      <c r="B759" t="s">
        <v>534</v>
      </c>
      <c r="C759" t="s">
        <v>2510</v>
      </c>
      <c r="D759" t="s">
        <v>2510</v>
      </c>
      <c r="E759" t="str">
        <f>IFERROR(VLOOKUP(B759,Signal_detection!$A$1:$C$22,2,FALSE),"")</f>
        <v/>
      </c>
      <c r="F759" t="str">
        <f>IFERROR(VLOOKUP(B759,Signal_detection!$A$1:$C$22,3,FALSE),"")</f>
        <v/>
      </c>
      <c r="G759" t="s">
        <v>0</v>
      </c>
    </row>
    <row r="760" spans="1:7" x14ac:dyDescent="0.3">
      <c r="A760" s="5">
        <v>17565594</v>
      </c>
      <c r="B760" t="s">
        <v>241</v>
      </c>
      <c r="C760" t="s">
        <v>2510</v>
      </c>
      <c r="D760" t="s">
        <v>2510</v>
      </c>
      <c r="E760" t="str">
        <f>IFERROR(VLOOKUP(B760,Signal_detection!$A$1:$C$22,2,FALSE),"")</f>
        <v/>
      </c>
      <c r="F760" t="str">
        <f>IFERROR(VLOOKUP(B760,Signal_detection!$A$1:$C$22,3,FALSE),"")</f>
        <v/>
      </c>
      <c r="G760" t="s">
        <v>125</v>
      </c>
    </row>
    <row r="761" spans="1:7" x14ac:dyDescent="0.3">
      <c r="A761" s="5">
        <v>17566639</v>
      </c>
      <c r="B761" t="s">
        <v>1226</v>
      </c>
      <c r="C761" t="s">
        <v>2510</v>
      </c>
      <c r="D761" t="s">
        <v>2510</v>
      </c>
      <c r="E761" t="str">
        <f>IFERROR(VLOOKUP(B761,Signal_detection!$A$1:$C$22,2,FALSE),"")</f>
        <v/>
      </c>
      <c r="F761" t="str">
        <f>IFERROR(VLOOKUP(B761,Signal_detection!$A$1:$C$22,3,FALSE),"")</f>
        <v/>
      </c>
      <c r="G761" t="s">
        <v>0</v>
      </c>
    </row>
    <row r="762" spans="1:7" x14ac:dyDescent="0.3">
      <c r="A762" s="5">
        <v>17574398</v>
      </c>
      <c r="B762" t="s">
        <v>126</v>
      </c>
      <c r="C762" t="s">
        <v>126</v>
      </c>
      <c r="D762" t="s">
        <v>2497</v>
      </c>
      <c r="E762" t="str">
        <f>IFERROR(VLOOKUP(B762,Signal_detection!$A$1:$C$22,2,FALSE),"")</f>
        <v>Unlikely</v>
      </c>
      <c r="F762" t="str">
        <f>IFERROR(VLOOKUP(B762,Signal_detection!$A$1:$C$22,3,FALSE),"")</f>
        <v>Non-ADR</v>
      </c>
      <c r="G762" t="s">
        <v>125</v>
      </c>
    </row>
    <row r="763" spans="1:7" x14ac:dyDescent="0.3">
      <c r="A763" s="5">
        <v>17578414</v>
      </c>
      <c r="B763" t="s">
        <v>1266</v>
      </c>
      <c r="C763" t="s">
        <v>2510</v>
      </c>
      <c r="D763" t="s">
        <v>2510</v>
      </c>
      <c r="E763" t="str">
        <f>IFERROR(VLOOKUP(B763,Signal_detection!$A$1:$C$22,2,FALSE),"")</f>
        <v/>
      </c>
      <c r="F763" t="str">
        <f>IFERROR(VLOOKUP(B763,Signal_detection!$A$1:$C$22,3,FALSE),"")</f>
        <v/>
      </c>
      <c r="G763" t="s">
        <v>0</v>
      </c>
    </row>
    <row r="764" spans="1:7" x14ac:dyDescent="0.3">
      <c r="A764" s="5">
        <v>17580131</v>
      </c>
      <c r="B764" t="s">
        <v>241</v>
      </c>
      <c r="C764" t="s">
        <v>2510</v>
      </c>
      <c r="D764" t="s">
        <v>2510</v>
      </c>
      <c r="E764" t="str">
        <f>IFERROR(VLOOKUP(B764,Signal_detection!$A$1:$C$22,2,FALSE),"")</f>
        <v/>
      </c>
      <c r="F764" t="str">
        <f>IFERROR(VLOOKUP(B764,Signal_detection!$A$1:$C$22,3,FALSE),"")</f>
        <v/>
      </c>
      <c r="G764" t="s">
        <v>125</v>
      </c>
    </row>
    <row r="765" spans="1:7" x14ac:dyDescent="0.3">
      <c r="A765" s="5">
        <v>17586686</v>
      </c>
      <c r="B765" t="s">
        <v>858</v>
      </c>
      <c r="C765" t="s">
        <v>2510</v>
      </c>
      <c r="D765" t="s">
        <v>2510</v>
      </c>
      <c r="E765" t="str">
        <f>IFERROR(VLOOKUP(B765,Signal_detection!$A$1:$C$22,2,FALSE),"")</f>
        <v/>
      </c>
      <c r="F765" t="str">
        <f>IFERROR(VLOOKUP(B765,Signal_detection!$A$1:$C$22,3,FALSE),"")</f>
        <v/>
      </c>
      <c r="G765" t="s">
        <v>0</v>
      </c>
    </row>
    <row r="766" spans="1:7" x14ac:dyDescent="0.3">
      <c r="A766" s="5">
        <v>17587360</v>
      </c>
      <c r="B766" t="s">
        <v>267</v>
      </c>
      <c r="C766" t="s">
        <v>2510</v>
      </c>
      <c r="D766" t="s">
        <v>2510</v>
      </c>
      <c r="E766" t="str">
        <f>IFERROR(VLOOKUP(B766,Signal_detection!$A$1:$C$22,2,FALSE),"")</f>
        <v/>
      </c>
      <c r="F766" t="str">
        <f>IFERROR(VLOOKUP(B766,Signal_detection!$A$1:$C$22,3,FALSE),"")</f>
        <v/>
      </c>
      <c r="G766" t="s">
        <v>0</v>
      </c>
    </row>
    <row r="767" spans="1:7" x14ac:dyDescent="0.3">
      <c r="A767" s="5">
        <v>17598838</v>
      </c>
      <c r="B767" t="s">
        <v>1184</v>
      </c>
      <c r="C767" t="s">
        <v>2510</v>
      </c>
      <c r="D767" t="s">
        <v>2510</v>
      </c>
      <c r="E767" t="str">
        <f>IFERROR(VLOOKUP(B767,Signal_detection!$A$1:$C$22,2,FALSE),"")</f>
        <v/>
      </c>
      <c r="F767" t="str">
        <f>IFERROR(VLOOKUP(B767,Signal_detection!$A$1:$C$22,3,FALSE),"")</f>
        <v/>
      </c>
      <c r="G767" t="s">
        <v>125</v>
      </c>
    </row>
    <row r="768" spans="1:7" x14ac:dyDescent="0.3">
      <c r="A768" s="5">
        <v>17604530</v>
      </c>
      <c r="B768" t="s">
        <v>806</v>
      </c>
      <c r="C768" t="s">
        <v>2510</v>
      </c>
      <c r="D768" t="s">
        <v>2510</v>
      </c>
      <c r="E768" t="str">
        <f>IFERROR(VLOOKUP(B768,Signal_detection!$A$1:$C$22,2,FALSE),"")</f>
        <v/>
      </c>
      <c r="F768" t="str">
        <f>IFERROR(VLOOKUP(B768,Signal_detection!$A$1:$C$22,3,FALSE),"")</f>
        <v/>
      </c>
      <c r="G768" t="s">
        <v>0</v>
      </c>
    </row>
    <row r="769" spans="1:7" x14ac:dyDescent="0.3">
      <c r="A769" s="5">
        <v>17613894</v>
      </c>
      <c r="B769" t="s">
        <v>216</v>
      </c>
      <c r="C769" t="s">
        <v>216</v>
      </c>
      <c r="D769" t="s">
        <v>2495</v>
      </c>
      <c r="E769" t="str">
        <f>IFERROR(VLOOKUP(B769,Signal_detection!$A$1:$C$22,2,FALSE),"")</f>
        <v>Probable</v>
      </c>
      <c r="F769" t="str">
        <f>IFERROR(VLOOKUP(B769,Signal_detection!$A$1:$C$22,3,FALSE),"")</f>
        <v>Severe hypersensitivity</v>
      </c>
      <c r="G769" t="s">
        <v>0</v>
      </c>
    </row>
    <row r="770" spans="1:7" x14ac:dyDescent="0.3">
      <c r="A770" s="5">
        <v>17615041</v>
      </c>
      <c r="B770" t="s">
        <v>1162</v>
      </c>
      <c r="C770" t="s">
        <v>2510</v>
      </c>
      <c r="D770" t="s">
        <v>2510</v>
      </c>
      <c r="E770" t="str">
        <f>IFERROR(VLOOKUP(B770,Signal_detection!$A$1:$C$22,2,FALSE),"")</f>
        <v/>
      </c>
      <c r="F770" t="str">
        <f>IFERROR(VLOOKUP(B770,Signal_detection!$A$1:$C$22,3,FALSE),"")</f>
        <v/>
      </c>
      <c r="G770" t="s">
        <v>125</v>
      </c>
    </row>
    <row r="771" spans="1:7" x14ac:dyDescent="0.3">
      <c r="A771" s="5">
        <v>17621249</v>
      </c>
      <c r="B771" t="s">
        <v>829</v>
      </c>
      <c r="C771" t="s">
        <v>2510</v>
      </c>
      <c r="D771" t="s">
        <v>2510</v>
      </c>
      <c r="E771" t="str">
        <f>IFERROR(VLOOKUP(B771,Signal_detection!$A$1:$C$22,2,FALSE),"")</f>
        <v/>
      </c>
      <c r="F771" t="str">
        <f>IFERROR(VLOOKUP(B771,Signal_detection!$A$1:$C$22,3,FALSE),"")</f>
        <v/>
      </c>
      <c r="G771" t="s">
        <v>125</v>
      </c>
    </row>
    <row r="772" spans="1:7" x14ac:dyDescent="0.3">
      <c r="A772" s="5">
        <v>17628499</v>
      </c>
      <c r="B772" t="s">
        <v>235</v>
      </c>
      <c r="C772" t="s">
        <v>2510</v>
      </c>
      <c r="D772" t="s">
        <v>2510</v>
      </c>
      <c r="E772" t="str">
        <f>IFERROR(VLOOKUP(B772,Signal_detection!$A$1:$C$22,2,FALSE),"")</f>
        <v/>
      </c>
      <c r="F772" t="str">
        <f>IFERROR(VLOOKUP(B772,Signal_detection!$A$1:$C$22,3,FALSE),"")</f>
        <v/>
      </c>
      <c r="G772" t="s">
        <v>125</v>
      </c>
    </row>
    <row r="773" spans="1:7" x14ac:dyDescent="0.3">
      <c r="A773" s="5">
        <v>17641082</v>
      </c>
      <c r="B773" t="s">
        <v>369</v>
      </c>
      <c r="C773" t="s">
        <v>2510</v>
      </c>
      <c r="D773" t="s">
        <v>2510</v>
      </c>
      <c r="E773" t="str">
        <f>IFERROR(VLOOKUP(B773,Signal_detection!$A$1:$C$22,2,FALSE),"")</f>
        <v/>
      </c>
      <c r="F773" t="str">
        <f>IFERROR(VLOOKUP(B773,Signal_detection!$A$1:$C$22,3,FALSE),"")</f>
        <v/>
      </c>
      <c r="G773" t="s">
        <v>0</v>
      </c>
    </row>
    <row r="774" spans="1:7" x14ac:dyDescent="0.3">
      <c r="A774" s="5">
        <v>17642062</v>
      </c>
      <c r="B774" t="s">
        <v>1420</v>
      </c>
      <c r="C774" t="s">
        <v>2510</v>
      </c>
      <c r="D774" t="s">
        <v>2510</v>
      </c>
      <c r="E774" t="str">
        <f>IFERROR(VLOOKUP(B774,Signal_detection!$A$1:$C$22,2,FALSE),"")</f>
        <v/>
      </c>
      <c r="F774" t="str">
        <f>IFERROR(VLOOKUP(B774,Signal_detection!$A$1:$C$22,3,FALSE),"")</f>
        <v/>
      </c>
      <c r="G774" t="s">
        <v>0</v>
      </c>
    </row>
    <row r="775" spans="1:7" x14ac:dyDescent="0.3">
      <c r="A775" s="5">
        <v>17647012</v>
      </c>
      <c r="B775" t="s">
        <v>735</v>
      </c>
      <c r="C775" t="s">
        <v>2510</v>
      </c>
      <c r="D775" t="s">
        <v>2510</v>
      </c>
      <c r="E775" t="str">
        <f>IFERROR(VLOOKUP(B775,Signal_detection!$A$1:$C$22,2,FALSE),"")</f>
        <v/>
      </c>
      <c r="F775" t="str">
        <f>IFERROR(VLOOKUP(B775,Signal_detection!$A$1:$C$22,3,FALSE),"")</f>
        <v/>
      </c>
      <c r="G775" t="s">
        <v>0</v>
      </c>
    </row>
    <row r="776" spans="1:7" x14ac:dyDescent="0.3">
      <c r="A776" s="5">
        <v>17647254</v>
      </c>
      <c r="B776" t="s">
        <v>1361</v>
      </c>
      <c r="C776" t="s">
        <v>2510</v>
      </c>
      <c r="D776" t="s">
        <v>2510</v>
      </c>
      <c r="E776" t="str">
        <f>IFERROR(VLOOKUP(B776,Signal_detection!$A$1:$C$22,2,FALSE),"")</f>
        <v/>
      </c>
      <c r="F776" t="str">
        <f>IFERROR(VLOOKUP(B776,Signal_detection!$A$1:$C$22,3,FALSE),"")</f>
        <v/>
      </c>
      <c r="G776" t="s">
        <v>0</v>
      </c>
    </row>
    <row r="777" spans="1:7" x14ac:dyDescent="0.3">
      <c r="A777" s="5">
        <v>17649049</v>
      </c>
      <c r="B777" t="s">
        <v>654</v>
      </c>
      <c r="C777" t="s">
        <v>2510</v>
      </c>
      <c r="D777" t="s">
        <v>2510</v>
      </c>
      <c r="E777" t="str">
        <f>IFERROR(VLOOKUP(B777,Signal_detection!$A$1:$C$22,2,FALSE),"")</f>
        <v/>
      </c>
      <c r="F777" t="str">
        <f>IFERROR(VLOOKUP(B777,Signal_detection!$A$1:$C$22,3,FALSE),"")</f>
        <v/>
      </c>
      <c r="G777" t="s">
        <v>0</v>
      </c>
    </row>
    <row r="778" spans="1:7" x14ac:dyDescent="0.3">
      <c r="A778" s="5">
        <v>17649074</v>
      </c>
      <c r="B778" t="s">
        <v>430</v>
      </c>
      <c r="C778" t="s">
        <v>2510</v>
      </c>
      <c r="D778" t="s">
        <v>2510</v>
      </c>
      <c r="E778" t="str">
        <f>IFERROR(VLOOKUP(B778,Signal_detection!$A$1:$C$22,2,FALSE),"")</f>
        <v/>
      </c>
      <c r="F778" t="str">
        <f>IFERROR(VLOOKUP(B778,Signal_detection!$A$1:$C$22,3,FALSE),"")</f>
        <v/>
      </c>
      <c r="G778" t="s">
        <v>0</v>
      </c>
    </row>
    <row r="779" spans="1:7" x14ac:dyDescent="0.3">
      <c r="A779" s="5">
        <v>17649925</v>
      </c>
      <c r="B779" t="s">
        <v>838</v>
      </c>
      <c r="C779" t="s">
        <v>838</v>
      </c>
      <c r="D779" t="s">
        <v>2495</v>
      </c>
      <c r="E779" t="str">
        <f>IFERROR(VLOOKUP(B779,Signal_detection!$A$1:$C$22,2,FALSE),"")</f>
        <v>Probable</v>
      </c>
      <c r="F779" t="str">
        <f>IFERROR(VLOOKUP(B779,Signal_detection!$A$1:$C$22,3,FALSE),"")</f>
        <v>Serious allergy signal</v>
      </c>
      <c r="G779" t="s">
        <v>0</v>
      </c>
    </row>
    <row r="780" spans="1:7" x14ac:dyDescent="0.3">
      <c r="A780" s="5">
        <v>17654280</v>
      </c>
      <c r="B780" t="s">
        <v>1070</v>
      </c>
      <c r="C780" t="s">
        <v>2510</v>
      </c>
      <c r="D780" t="s">
        <v>2510</v>
      </c>
      <c r="E780" t="str">
        <f>IFERROR(VLOOKUP(B780,Signal_detection!$A$1:$C$22,2,FALSE),"")</f>
        <v/>
      </c>
      <c r="F780" t="str">
        <f>IFERROR(VLOOKUP(B780,Signal_detection!$A$1:$C$22,3,FALSE),"")</f>
        <v/>
      </c>
      <c r="G780" t="s">
        <v>0</v>
      </c>
    </row>
    <row r="781" spans="1:7" x14ac:dyDescent="0.3">
      <c r="A781" s="5">
        <v>17655256</v>
      </c>
      <c r="B781" t="s">
        <v>1364</v>
      </c>
      <c r="C781" t="s">
        <v>2510</v>
      </c>
      <c r="D781" t="s">
        <v>2510</v>
      </c>
      <c r="E781" t="str">
        <f>IFERROR(VLOOKUP(B781,Signal_detection!$A$1:$C$22,2,FALSE),"")</f>
        <v/>
      </c>
      <c r="F781" t="str">
        <f>IFERROR(VLOOKUP(B781,Signal_detection!$A$1:$C$22,3,FALSE),"")</f>
        <v/>
      </c>
      <c r="G781" t="s">
        <v>125</v>
      </c>
    </row>
    <row r="782" spans="1:7" x14ac:dyDescent="0.3">
      <c r="A782" s="5">
        <v>17655543</v>
      </c>
      <c r="B782" t="s">
        <v>300</v>
      </c>
      <c r="C782" t="s">
        <v>2510</v>
      </c>
      <c r="D782" t="s">
        <v>2510</v>
      </c>
      <c r="E782" t="str">
        <f>IFERROR(VLOOKUP(B782,Signal_detection!$A$1:$C$22,2,FALSE),"")</f>
        <v/>
      </c>
      <c r="F782" t="str">
        <f>IFERROR(VLOOKUP(B782,Signal_detection!$A$1:$C$22,3,FALSE),"")</f>
        <v/>
      </c>
      <c r="G782" t="s">
        <v>125</v>
      </c>
    </row>
    <row r="783" spans="1:7" x14ac:dyDescent="0.3">
      <c r="A783" s="5">
        <v>17658942</v>
      </c>
      <c r="B783" t="s">
        <v>1271</v>
      </c>
      <c r="C783" t="s">
        <v>2510</v>
      </c>
      <c r="D783" t="s">
        <v>2510</v>
      </c>
      <c r="E783" t="str">
        <f>IFERROR(VLOOKUP(B783,Signal_detection!$A$1:$C$22,2,FALSE),"")</f>
        <v/>
      </c>
      <c r="F783" t="str">
        <f>IFERROR(VLOOKUP(B783,Signal_detection!$A$1:$C$22,3,FALSE),"")</f>
        <v/>
      </c>
      <c r="G783" t="s">
        <v>0</v>
      </c>
    </row>
    <row r="784" spans="1:7" x14ac:dyDescent="0.3">
      <c r="A784" s="5">
        <v>17665094</v>
      </c>
      <c r="B784" t="s">
        <v>672</v>
      </c>
      <c r="C784" t="s">
        <v>2510</v>
      </c>
      <c r="D784" t="s">
        <v>2510</v>
      </c>
      <c r="E784" t="str">
        <f>IFERROR(VLOOKUP(B784,Signal_detection!$A$1:$C$22,2,FALSE),"")</f>
        <v/>
      </c>
      <c r="F784" t="str">
        <f>IFERROR(VLOOKUP(B784,Signal_detection!$A$1:$C$22,3,FALSE),"")</f>
        <v/>
      </c>
      <c r="G784" t="s">
        <v>0</v>
      </c>
    </row>
    <row r="785" spans="1:7" x14ac:dyDescent="0.3">
      <c r="A785" s="5">
        <v>17671072</v>
      </c>
      <c r="B785" t="s">
        <v>918</v>
      </c>
      <c r="C785" t="s">
        <v>2510</v>
      </c>
      <c r="D785" t="s">
        <v>2510</v>
      </c>
      <c r="E785" t="str">
        <f>IFERROR(VLOOKUP(B785,Signal_detection!$A$1:$C$22,2,FALSE),"")</f>
        <v/>
      </c>
      <c r="F785" t="str">
        <f>IFERROR(VLOOKUP(B785,Signal_detection!$A$1:$C$22,3,FALSE),"")</f>
        <v/>
      </c>
      <c r="G785" t="s">
        <v>125</v>
      </c>
    </row>
    <row r="786" spans="1:7" x14ac:dyDescent="0.3">
      <c r="A786" s="5">
        <v>17672730</v>
      </c>
      <c r="B786" t="s">
        <v>994</v>
      </c>
      <c r="C786" t="s">
        <v>2510</v>
      </c>
      <c r="D786" t="s">
        <v>2510</v>
      </c>
      <c r="E786" t="str">
        <f>IFERROR(VLOOKUP(B786,Signal_detection!$A$1:$C$22,2,FALSE),"")</f>
        <v/>
      </c>
      <c r="F786" t="str">
        <f>IFERROR(VLOOKUP(B786,Signal_detection!$A$1:$C$22,3,FALSE),"")</f>
        <v/>
      </c>
      <c r="G786" t="s">
        <v>0</v>
      </c>
    </row>
    <row r="787" spans="1:7" x14ac:dyDescent="0.3">
      <c r="A787" s="5">
        <v>17674805</v>
      </c>
      <c r="B787" t="s">
        <v>365</v>
      </c>
      <c r="C787" t="s">
        <v>2510</v>
      </c>
      <c r="D787" t="s">
        <v>2510</v>
      </c>
      <c r="E787" t="str">
        <f>IFERROR(VLOOKUP(B787,Signal_detection!$A$1:$C$22,2,FALSE),"")</f>
        <v/>
      </c>
      <c r="F787" t="str">
        <f>IFERROR(VLOOKUP(B787,Signal_detection!$A$1:$C$22,3,FALSE),"")</f>
        <v/>
      </c>
      <c r="G787" t="s">
        <v>0</v>
      </c>
    </row>
    <row r="788" spans="1:7" x14ac:dyDescent="0.3">
      <c r="A788" s="5">
        <v>17681228</v>
      </c>
      <c r="B788" t="s">
        <v>983</v>
      </c>
      <c r="C788" t="s">
        <v>2510</v>
      </c>
      <c r="D788" t="s">
        <v>2510</v>
      </c>
      <c r="E788" t="str">
        <f>IFERROR(VLOOKUP(B788,Signal_detection!$A$1:$C$22,2,FALSE),"")</f>
        <v/>
      </c>
      <c r="F788" t="str">
        <f>IFERROR(VLOOKUP(B788,Signal_detection!$A$1:$C$22,3,FALSE),"")</f>
        <v/>
      </c>
      <c r="G788" t="s">
        <v>0</v>
      </c>
    </row>
    <row r="789" spans="1:7" x14ac:dyDescent="0.3">
      <c r="A789" s="5">
        <v>17682790</v>
      </c>
      <c r="B789" t="s">
        <v>585</v>
      </c>
      <c r="C789" t="s">
        <v>2510</v>
      </c>
      <c r="D789" t="s">
        <v>2510</v>
      </c>
      <c r="E789" t="str">
        <f>IFERROR(VLOOKUP(B789,Signal_detection!$A$1:$C$22,2,FALSE),"")</f>
        <v/>
      </c>
      <c r="F789" t="str">
        <f>IFERROR(VLOOKUP(B789,Signal_detection!$A$1:$C$22,3,FALSE),"")</f>
        <v/>
      </c>
      <c r="G789" t="s">
        <v>0</v>
      </c>
    </row>
    <row r="790" spans="1:7" x14ac:dyDescent="0.3">
      <c r="A790" s="5">
        <v>17683621</v>
      </c>
      <c r="B790" t="s">
        <v>1140</v>
      </c>
      <c r="C790" t="s">
        <v>2510</v>
      </c>
      <c r="D790" t="s">
        <v>2510</v>
      </c>
      <c r="E790" t="str">
        <f>IFERROR(VLOOKUP(B790,Signal_detection!$A$1:$C$22,2,FALSE),"")</f>
        <v/>
      </c>
      <c r="F790" t="str">
        <f>IFERROR(VLOOKUP(B790,Signal_detection!$A$1:$C$22,3,FALSE),"")</f>
        <v/>
      </c>
      <c r="G790" t="s">
        <v>0</v>
      </c>
    </row>
    <row r="791" spans="1:7" x14ac:dyDescent="0.3">
      <c r="A791" s="5">
        <v>17684633</v>
      </c>
      <c r="B791" t="s">
        <v>206</v>
      </c>
      <c r="C791" t="s">
        <v>206</v>
      </c>
      <c r="D791" t="s">
        <v>2496</v>
      </c>
      <c r="E791" t="str">
        <f>IFERROR(VLOOKUP(B791,Signal_detection!$A$1:$C$22,2,FALSE),"")</f>
        <v>Probable</v>
      </c>
      <c r="F791" t="str">
        <f>IFERROR(VLOOKUP(B791,Signal_detection!$A$1:$C$22,3,FALSE),"")</f>
        <v>Infection signal</v>
      </c>
      <c r="G791" t="s">
        <v>0</v>
      </c>
    </row>
    <row r="792" spans="1:7" x14ac:dyDescent="0.3">
      <c r="A792" s="5">
        <v>17687234</v>
      </c>
      <c r="B792" t="s">
        <v>481</v>
      </c>
      <c r="C792" t="s">
        <v>2510</v>
      </c>
      <c r="D792" t="s">
        <v>2510</v>
      </c>
      <c r="E792" t="str">
        <f>IFERROR(VLOOKUP(B792,Signal_detection!$A$1:$C$22,2,FALSE),"")</f>
        <v/>
      </c>
      <c r="F792" t="str">
        <f>IFERROR(VLOOKUP(B792,Signal_detection!$A$1:$C$22,3,FALSE),"")</f>
        <v/>
      </c>
      <c r="G792" t="s">
        <v>125</v>
      </c>
    </row>
    <row r="793" spans="1:7" x14ac:dyDescent="0.3">
      <c r="A793" s="5">
        <v>17705020</v>
      </c>
      <c r="B793" t="s">
        <v>436</v>
      </c>
      <c r="C793" t="s">
        <v>2510</v>
      </c>
      <c r="D793" t="s">
        <v>2510</v>
      </c>
      <c r="E793" t="str">
        <f>IFERROR(VLOOKUP(B793,Signal_detection!$A$1:$C$22,2,FALSE),"")</f>
        <v/>
      </c>
      <c r="F793" t="str">
        <f>IFERROR(VLOOKUP(B793,Signal_detection!$A$1:$C$22,3,FALSE),"")</f>
        <v/>
      </c>
      <c r="G793" t="s">
        <v>0</v>
      </c>
    </row>
    <row r="794" spans="1:7" x14ac:dyDescent="0.3">
      <c r="A794" s="5">
        <v>17707653</v>
      </c>
      <c r="B794" t="s">
        <v>1289</v>
      </c>
      <c r="C794" t="s">
        <v>2510</v>
      </c>
      <c r="D794" t="s">
        <v>2510</v>
      </c>
      <c r="E794" t="str">
        <f>IFERROR(VLOOKUP(B794,Signal_detection!$A$1:$C$22,2,FALSE),"")</f>
        <v/>
      </c>
      <c r="F794" t="str">
        <f>IFERROR(VLOOKUP(B794,Signal_detection!$A$1:$C$22,3,FALSE),"")</f>
        <v/>
      </c>
      <c r="G794" t="s">
        <v>0</v>
      </c>
    </row>
    <row r="795" spans="1:7" x14ac:dyDescent="0.3">
      <c r="A795" s="5">
        <v>17711127</v>
      </c>
      <c r="B795" t="s">
        <v>308</v>
      </c>
      <c r="C795" t="s">
        <v>308</v>
      </c>
      <c r="D795" t="s">
        <v>2497</v>
      </c>
      <c r="E795" t="str">
        <f>IFERROR(VLOOKUP(B795,Signal_detection!$A$1:$C$22,2,FALSE),"")</f>
        <v/>
      </c>
      <c r="F795" t="str">
        <f>IFERROR(VLOOKUP(B795,Signal_detection!$A$1:$C$22,3,FALSE),"")</f>
        <v/>
      </c>
      <c r="G795" t="s">
        <v>125</v>
      </c>
    </row>
    <row r="796" spans="1:7" x14ac:dyDescent="0.3">
      <c r="A796" s="5">
        <v>17711197</v>
      </c>
      <c r="B796" t="s">
        <v>159</v>
      </c>
      <c r="C796" t="s">
        <v>159</v>
      </c>
      <c r="D796" t="s">
        <v>2499</v>
      </c>
      <c r="E796" t="str">
        <f>IFERROR(VLOOKUP(B796,Signal_detection!$A$1:$C$22,2,FALSE),"")</f>
        <v>Possible</v>
      </c>
      <c r="F796" t="str">
        <f>IFERROR(VLOOKUP(B796,Signal_detection!$A$1:$C$22,3,FALSE),"")</f>
        <v>Non-serious ADR</v>
      </c>
      <c r="G796" t="s">
        <v>125</v>
      </c>
    </row>
    <row r="797" spans="1:7" x14ac:dyDescent="0.3">
      <c r="A797" s="5">
        <v>17711887</v>
      </c>
      <c r="B797" t="s">
        <v>1415</v>
      </c>
      <c r="C797" t="s">
        <v>2510</v>
      </c>
      <c r="D797" t="s">
        <v>2510</v>
      </c>
      <c r="E797" t="str">
        <f>IFERROR(VLOOKUP(B797,Signal_detection!$A$1:$C$22,2,FALSE),"")</f>
        <v/>
      </c>
      <c r="F797" t="str">
        <f>IFERROR(VLOOKUP(B797,Signal_detection!$A$1:$C$22,3,FALSE),"")</f>
        <v/>
      </c>
      <c r="G797" t="s">
        <v>125</v>
      </c>
    </row>
    <row r="798" spans="1:7" x14ac:dyDescent="0.3">
      <c r="A798" s="5">
        <v>17712668</v>
      </c>
      <c r="B798" t="s">
        <v>545</v>
      </c>
      <c r="C798" t="s">
        <v>545</v>
      </c>
      <c r="D798" t="s">
        <v>2504</v>
      </c>
      <c r="E798" t="str">
        <f>IFERROR(VLOOKUP(B798,Signal_detection!$A$1:$C$22,2,FALSE),"")</f>
        <v/>
      </c>
      <c r="F798" t="str">
        <f>IFERROR(VLOOKUP(B798,Signal_detection!$A$1:$C$22,3,FALSE),"")</f>
        <v/>
      </c>
      <c r="G798" t="s">
        <v>0</v>
      </c>
    </row>
    <row r="799" spans="1:7" x14ac:dyDescent="0.3">
      <c r="A799" s="5">
        <v>17716085</v>
      </c>
      <c r="B799" t="s">
        <v>217</v>
      </c>
      <c r="C799" t="s">
        <v>217</v>
      </c>
      <c r="D799" t="s">
        <v>2502</v>
      </c>
      <c r="E799" t="str">
        <f>IFERROR(VLOOKUP(B799,Signal_detection!$A$1:$C$22,2,FALSE),"")</f>
        <v>Unlikely</v>
      </c>
      <c r="F799" t="str">
        <f>IFERROR(VLOOKUP(B799,Signal_detection!$A$1:$C$22,3,FALSE),"")</f>
        <v>Administrative</v>
      </c>
      <c r="G799" t="s">
        <v>0</v>
      </c>
    </row>
    <row r="800" spans="1:7" x14ac:dyDescent="0.3">
      <c r="A800" s="5">
        <v>17718394</v>
      </c>
      <c r="B800" t="s">
        <v>1212</v>
      </c>
      <c r="C800" t="s">
        <v>2510</v>
      </c>
      <c r="D800" t="s">
        <v>2510</v>
      </c>
      <c r="E800" t="str">
        <f>IFERROR(VLOOKUP(B800,Signal_detection!$A$1:$C$22,2,FALSE),"")</f>
        <v/>
      </c>
      <c r="F800" t="str">
        <f>IFERROR(VLOOKUP(B800,Signal_detection!$A$1:$C$22,3,FALSE),"")</f>
        <v/>
      </c>
      <c r="G800" t="s">
        <v>0</v>
      </c>
    </row>
    <row r="801" spans="1:7" x14ac:dyDescent="0.3">
      <c r="A801" s="5">
        <v>17718917</v>
      </c>
      <c r="B801" t="s">
        <v>860</v>
      </c>
      <c r="C801" t="s">
        <v>2510</v>
      </c>
      <c r="D801" t="s">
        <v>2510</v>
      </c>
      <c r="E801" t="str">
        <f>IFERROR(VLOOKUP(B801,Signal_detection!$A$1:$C$22,2,FALSE),"")</f>
        <v/>
      </c>
      <c r="F801" t="str">
        <f>IFERROR(VLOOKUP(B801,Signal_detection!$A$1:$C$22,3,FALSE),"")</f>
        <v/>
      </c>
      <c r="G801" t="s">
        <v>0</v>
      </c>
    </row>
    <row r="802" spans="1:7" x14ac:dyDescent="0.3">
      <c r="A802" s="5">
        <v>17723346</v>
      </c>
      <c r="B802" t="s">
        <v>1186</v>
      </c>
      <c r="C802" t="s">
        <v>2510</v>
      </c>
      <c r="D802" t="s">
        <v>2510</v>
      </c>
      <c r="E802" t="str">
        <f>IFERROR(VLOOKUP(B802,Signal_detection!$A$1:$C$22,2,FALSE),"")</f>
        <v/>
      </c>
      <c r="F802" t="str">
        <f>IFERROR(VLOOKUP(B802,Signal_detection!$A$1:$C$22,3,FALSE),"")</f>
        <v/>
      </c>
      <c r="G802" t="s">
        <v>125</v>
      </c>
    </row>
    <row r="803" spans="1:7" x14ac:dyDescent="0.3">
      <c r="A803" s="5">
        <v>17723825</v>
      </c>
      <c r="B803" t="s">
        <v>2274</v>
      </c>
      <c r="C803" t="s">
        <v>2510</v>
      </c>
      <c r="D803" t="s">
        <v>2510</v>
      </c>
      <c r="E803" t="str">
        <f>IFERROR(VLOOKUP(B803,Signal_detection!$A$1:$C$22,2,FALSE),"")</f>
        <v/>
      </c>
      <c r="F803" t="str">
        <f>IFERROR(VLOOKUP(B803,Signal_detection!$A$1:$C$22,3,FALSE),"")</f>
        <v/>
      </c>
      <c r="G803" t="s">
        <v>0</v>
      </c>
    </row>
    <row r="804" spans="1:7" x14ac:dyDescent="0.3">
      <c r="A804" s="5">
        <v>17724413</v>
      </c>
      <c r="B804" t="s">
        <v>918</v>
      </c>
      <c r="C804" t="s">
        <v>2510</v>
      </c>
      <c r="D804" t="s">
        <v>2510</v>
      </c>
      <c r="E804" t="str">
        <f>IFERROR(VLOOKUP(B804,Signal_detection!$A$1:$C$22,2,FALSE),"")</f>
        <v/>
      </c>
      <c r="F804" t="str">
        <f>IFERROR(VLOOKUP(B804,Signal_detection!$A$1:$C$22,3,FALSE),"")</f>
        <v/>
      </c>
      <c r="G804" t="s">
        <v>0</v>
      </c>
    </row>
    <row r="805" spans="1:7" x14ac:dyDescent="0.3">
      <c r="A805" s="5">
        <v>17725627</v>
      </c>
      <c r="B805" t="s">
        <v>1300</v>
      </c>
      <c r="C805" t="s">
        <v>2510</v>
      </c>
      <c r="D805" t="s">
        <v>2510</v>
      </c>
      <c r="E805" t="str">
        <f>IFERROR(VLOOKUP(B805,Signal_detection!$A$1:$C$22,2,FALSE),"")</f>
        <v/>
      </c>
      <c r="F805" t="str">
        <f>IFERROR(VLOOKUP(B805,Signal_detection!$A$1:$C$22,3,FALSE),"")</f>
        <v/>
      </c>
      <c r="G805" t="s">
        <v>0</v>
      </c>
    </row>
    <row r="806" spans="1:7" x14ac:dyDescent="0.3">
      <c r="A806" s="5">
        <v>17734615</v>
      </c>
      <c r="B806" t="s">
        <v>378</v>
      </c>
      <c r="C806" t="s">
        <v>378</v>
      </c>
      <c r="D806" t="s">
        <v>2503</v>
      </c>
      <c r="E806" t="str">
        <f>IFERROR(VLOOKUP(B806,Signal_detection!$A$1:$C$22,2,FALSE),"")</f>
        <v>Probable</v>
      </c>
      <c r="F806" t="str">
        <f>IFERROR(VLOOKUP(B806,Signal_detection!$A$1:$C$22,3,FALSE),"")</f>
        <v>Neurological signal</v>
      </c>
      <c r="G806" t="s">
        <v>0</v>
      </c>
    </row>
    <row r="807" spans="1:7" x14ac:dyDescent="0.3">
      <c r="A807" s="5">
        <v>17740691</v>
      </c>
      <c r="B807" t="s">
        <v>1226</v>
      </c>
      <c r="C807" t="s">
        <v>2510</v>
      </c>
      <c r="D807" t="s">
        <v>2510</v>
      </c>
      <c r="E807" t="str">
        <f>IFERROR(VLOOKUP(B807,Signal_detection!$A$1:$C$22,2,FALSE),"")</f>
        <v/>
      </c>
      <c r="F807" t="str">
        <f>IFERROR(VLOOKUP(B807,Signal_detection!$A$1:$C$22,3,FALSE),"")</f>
        <v/>
      </c>
      <c r="G807" t="s">
        <v>0</v>
      </c>
    </row>
    <row r="808" spans="1:7" x14ac:dyDescent="0.3">
      <c r="A808" s="5">
        <v>17742328</v>
      </c>
      <c r="B808" t="s">
        <v>2280</v>
      </c>
      <c r="C808" t="s">
        <v>2510</v>
      </c>
      <c r="D808" t="s">
        <v>2510</v>
      </c>
      <c r="E808" t="str">
        <f>IFERROR(VLOOKUP(B808,Signal_detection!$A$1:$C$22,2,FALSE),"")</f>
        <v/>
      </c>
      <c r="F808" t="str">
        <f>IFERROR(VLOOKUP(B808,Signal_detection!$A$1:$C$22,3,FALSE),"")</f>
        <v/>
      </c>
      <c r="G808" t="s">
        <v>0</v>
      </c>
    </row>
    <row r="809" spans="1:7" x14ac:dyDescent="0.3">
      <c r="A809" s="5">
        <v>17755824</v>
      </c>
      <c r="B809" t="s">
        <v>948</v>
      </c>
      <c r="C809" t="s">
        <v>948</v>
      </c>
      <c r="D809" t="s">
        <v>2504</v>
      </c>
      <c r="E809" t="str">
        <f>IFERROR(VLOOKUP(B809,Signal_detection!$A$1:$C$22,2,FALSE),"")</f>
        <v>Probable</v>
      </c>
      <c r="F809" t="str">
        <f>IFERROR(VLOOKUP(B809,Signal_detection!$A$1:$C$22,3,FALSE),"")</f>
        <v>Renal safety signal</v>
      </c>
      <c r="G809" t="s">
        <v>0</v>
      </c>
    </row>
    <row r="810" spans="1:7" x14ac:dyDescent="0.3">
      <c r="A810" s="5">
        <v>17756489</v>
      </c>
      <c r="B810" t="s">
        <v>721</v>
      </c>
      <c r="C810" t="s">
        <v>2510</v>
      </c>
      <c r="D810" t="s">
        <v>2510</v>
      </c>
      <c r="E810" t="str">
        <f>IFERROR(VLOOKUP(B810,Signal_detection!$A$1:$C$22,2,FALSE),"")</f>
        <v/>
      </c>
      <c r="F810" t="str">
        <f>IFERROR(VLOOKUP(B810,Signal_detection!$A$1:$C$22,3,FALSE),"")</f>
        <v/>
      </c>
      <c r="G810" t="s">
        <v>0</v>
      </c>
    </row>
    <row r="811" spans="1:7" x14ac:dyDescent="0.3">
      <c r="A811" s="5">
        <v>17756570</v>
      </c>
      <c r="B811" t="s">
        <v>1297</v>
      </c>
      <c r="C811" t="s">
        <v>2510</v>
      </c>
      <c r="D811" t="s">
        <v>2510</v>
      </c>
      <c r="E811" t="str">
        <f>IFERROR(VLOOKUP(B811,Signal_detection!$A$1:$C$22,2,FALSE),"")</f>
        <v/>
      </c>
      <c r="F811" t="str">
        <f>IFERROR(VLOOKUP(B811,Signal_detection!$A$1:$C$22,3,FALSE),"")</f>
        <v/>
      </c>
      <c r="G811" t="s">
        <v>0</v>
      </c>
    </row>
    <row r="812" spans="1:7" x14ac:dyDescent="0.3">
      <c r="A812" s="5">
        <v>17757654</v>
      </c>
      <c r="B812" t="s">
        <v>1147</v>
      </c>
      <c r="C812" t="s">
        <v>2510</v>
      </c>
      <c r="D812" t="s">
        <v>2510</v>
      </c>
      <c r="E812" t="str">
        <f>IFERROR(VLOOKUP(B812,Signal_detection!$A$1:$C$22,2,FALSE),"")</f>
        <v/>
      </c>
      <c r="F812" t="str">
        <f>IFERROR(VLOOKUP(B812,Signal_detection!$A$1:$C$22,3,FALSE),"")</f>
        <v/>
      </c>
      <c r="G812" t="s">
        <v>0</v>
      </c>
    </row>
    <row r="813" spans="1:7" x14ac:dyDescent="0.3">
      <c r="A813" s="5">
        <v>17760145</v>
      </c>
      <c r="B813" t="s">
        <v>242</v>
      </c>
      <c r="C813" t="s">
        <v>2510</v>
      </c>
      <c r="D813" t="s">
        <v>2510</v>
      </c>
      <c r="E813" t="str">
        <f>IFERROR(VLOOKUP(B813,Signal_detection!$A$1:$C$22,2,FALSE),"")</f>
        <v/>
      </c>
      <c r="F813" t="str">
        <f>IFERROR(VLOOKUP(B813,Signal_detection!$A$1:$C$22,3,FALSE),"")</f>
        <v/>
      </c>
      <c r="G813" t="s">
        <v>0</v>
      </c>
    </row>
    <row r="814" spans="1:7" x14ac:dyDescent="0.3">
      <c r="A814" s="5">
        <v>17760250</v>
      </c>
      <c r="B814" t="s">
        <v>804</v>
      </c>
      <c r="C814" t="s">
        <v>2510</v>
      </c>
      <c r="D814" t="s">
        <v>2510</v>
      </c>
      <c r="E814" t="str">
        <f>IFERROR(VLOOKUP(B814,Signal_detection!$A$1:$C$22,2,FALSE),"")</f>
        <v/>
      </c>
      <c r="F814" t="str">
        <f>IFERROR(VLOOKUP(B814,Signal_detection!$A$1:$C$22,3,FALSE),"")</f>
        <v/>
      </c>
      <c r="G814" t="s">
        <v>0</v>
      </c>
    </row>
    <row r="815" spans="1:7" x14ac:dyDescent="0.3">
      <c r="A815" s="5">
        <v>17761016</v>
      </c>
      <c r="B815" t="s">
        <v>520</v>
      </c>
      <c r="C815" t="s">
        <v>2510</v>
      </c>
      <c r="D815" t="s">
        <v>2510</v>
      </c>
      <c r="E815" t="str">
        <f>IFERROR(VLOOKUP(B815,Signal_detection!$A$1:$C$22,2,FALSE),"")</f>
        <v/>
      </c>
      <c r="F815" t="str">
        <f>IFERROR(VLOOKUP(B815,Signal_detection!$A$1:$C$22,3,FALSE),"")</f>
        <v/>
      </c>
      <c r="G815" t="s">
        <v>125</v>
      </c>
    </row>
    <row r="816" spans="1:7" x14ac:dyDescent="0.3">
      <c r="A816" s="5">
        <v>17764218</v>
      </c>
      <c r="B816" t="s">
        <v>285</v>
      </c>
      <c r="C816" t="s">
        <v>2510</v>
      </c>
      <c r="D816" t="s">
        <v>2510</v>
      </c>
      <c r="E816" t="str">
        <f>IFERROR(VLOOKUP(B816,Signal_detection!$A$1:$C$22,2,FALSE),"")</f>
        <v/>
      </c>
      <c r="F816" t="str">
        <f>IFERROR(VLOOKUP(B816,Signal_detection!$A$1:$C$22,3,FALSE),"")</f>
        <v/>
      </c>
      <c r="G816" t="s">
        <v>0</v>
      </c>
    </row>
    <row r="817" spans="1:7" x14ac:dyDescent="0.3">
      <c r="A817" s="5">
        <v>17771701</v>
      </c>
      <c r="B817" t="s">
        <v>545</v>
      </c>
      <c r="C817" t="s">
        <v>545</v>
      </c>
      <c r="D817" t="s">
        <v>2504</v>
      </c>
      <c r="E817" t="str">
        <f>IFERROR(VLOOKUP(B817,Signal_detection!$A$1:$C$22,2,FALSE),"")</f>
        <v/>
      </c>
      <c r="F817" t="str">
        <f>IFERROR(VLOOKUP(B817,Signal_detection!$A$1:$C$22,3,FALSE),"")</f>
        <v/>
      </c>
      <c r="G817" t="s">
        <v>0</v>
      </c>
    </row>
    <row r="818" spans="1:7" x14ac:dyDescent="0.3">
      <c r="A818" s="5">
        <v>17773837</v>
      </c>
      <c r="B818" t="s">
        <v>396</v>
      </c>
      <c r="C818" t="s">
        <v>2510</v>
      </c>
      <c r="D818" t="s">
        <v>2510</v>
      </c>
      <c r="E818" t="str">
        <f>IFERROR(VLOOKUP(B818,Signal_detection!$A$1:$C$22,2,FALSE),"")</f>
        <v/>
      </c>
      <c r="F818" t="str">
        <f>IFERROR(VLOOKUP(B818,Signal_detection!$A$1:$C$22,3,FALSE),"")</f>
        <v/>
      </c>
      <c r="G818" t="s">
        <v>125</v>
      </c>
    </row>
    <row r="819" spans="1:7" x14ac:dyDescent="0.3">
      <c r="A819" s="5">
        <v>17780163</v>
      </c>
      <c r="B819" t="s">
        <v>546</v>
      </c>
      <c r="C819" t="s">
        <v>2510</v>
      </c>
      <c r="D819" t="s">
        <v>2510</v>
      </c>
      <c r="E819" t="str">
        <f>IFERROR(VLOOKUP(B819,Signal_detection!$A$1:$C$22,2,FALSE),"")</f>
        <v/>
      </c>
      <c r="F819" t="str">
        <f>IFERROR(VLOOKUP(B819,Signal_detection!$A$1:$C$22,3,FALSE),"")</f>
        <v/>
      </c>
      <c r="G819" t="s">
        <v>125</v>
      </c>
    </row>
    <row r="820" spans="1:7" x14ac:dyDescent="0.3">
      <c r="A820" s="5">
        <v>17783607</v>
      </c>
      <c r="B820" t="s">
        <v>192</v>
      </c>
      <c r="C820" t="s">
        <v>192</v>
      </c>
      <c r="D820" t="s">
        <v>2495</v>
      </c>
      <c r="E820" t="str">
        <f>IFERROR(VLOOKUP(B820,Signal_detection!$A$1:$C$22,2,FALSE),"")</f>
        <v>Probable</v>
      </c>
      <c r="F820" t="str">
        <f>IFERROR(VLOOKUP(B820,Signal_detection!$A$1:$C$22,3,FALSE),"")</f>
        <v>Hypersensitivity signal</v>
      </c>
      <c r="G820" t="s">
        <v>125</v>
      </c>
    </row>
    <row r="821" spans="1:7" x14ac:dyDescent="0.3">
      <c r="A821" s="5">
        <v>17785540</v>
      </c>
      <c r="B821" t="s">
        <v>534</v>
      </c>
      <c r="C821" t="s">
        <v>2510</v>
      </c>
      <c r="D821" t="s">
        <v>2510</v>
      </c>
      <c r="E821" t="str">
        <f>IFERROR(VLOOKUP(B821,Signal_detection!$A$1:$C$22,2,FALSE),"")</f>
        <v/>
      </c>
      <c r="F821" t="str">
        <f>IFERROR(VLOOKUP(B821,Signal_detection!$A$1:$C$22,3,FALSE),"")</f>
        <v/>
      </c>
      <c r="G821" t="s">
        <v>0</v>
      </c>
    </row>
    <row r="822" spans="1:7" x14ac:dyDescent="0.3">
      <c r="A822" s="5">
        <v>17787820</v>
      </c>
      <c r="B822" t="s">
        <v>394</v>
      </c>
      <c r="C822" t="s">
        <v>2510</v>
      </c>
      <c r="D822" t="s">
        <v>2510</v>
      </c>
      <c r="E822" t="str">
        <f>IFERROR(VLOOKUP(B822,Signal_detection!$A$1:$C$22,2,FALSE),"")</f>
        <v/>
      </c>
      <c r="F822" t="str">
        <f>IFERROR(VLOOKUP(B822,Signal_detection!$A$1:$C$22,3,FALSE),"")</f>
        <v/>
      </c>
      <c r="G822" t="s">
        <v>0</v>
      </c>
    </row>
    <row r="823" spans="1:7" x14ac:dyDescent="0.3">
      <c r="A823" s="5">
        <v>17793257</v>
      </c>
      <c r="B823" t="s">
        <v>682</v>
      </c>
      <c r="C823" t="s">
        <v>682</v>
      </c>
      <c r="D823" t="s">
        <v>2496</v>
      </c>
      <c r="E823" t="str">
        <f>IFERROR(VLOOKUP(B823,Signal_detection!$A$1:$C$22,2,FALSE),"")</f>
        <v>Possible</v>
      </c>
      <c r="F823" t="str">
        <f>IFERROR(VLOOKUP(B823,Signal_detection!$A$1:$C$22,3,FALSE),"")</f>
        <v>Infection-related event</v>
      </c>
      <c r="G823" t="s">
        <v>0</v>
      </c>
    </row>
    <row r="824" spans="1:7" x14ac:dyDescent="0.3">
      <c r="A824" s="5">
        <v>17798910</v>
      </c>
      <c r="B824" t="s">
        <v>1070</v>
      </c>
      <c r="C824" t="s">
        <v>2510</v>
      </c>
      <c r="D824" t="s">
        <v>2510</v>
      </c>
      <c r="E824" t="str">
        <f>IFERROR(VLOOKUP(B824,Signal_detection!$A$1:$C$22,2,FALSE),"")</f>
        <v/>
      </c>
      <c r="F824" t="str">
        <f>IFERROR(VLOOKUP(B824,Signal_detection!$A$1:$C$22,3,FALSE),"")</f>
        <v/>
      </c>
      <c r="G824" t="s">
        <v>0</v>
      </c>
    </row>
    <row r="825" spans="1:7" x14ac:dyDescent="0.3">
      <c r="A825" s="5">
        <v>17801523</v>
      </c>
      <c r="B825" t="s">
        <v>1298</v>
      </c>
      <c r="C825" t="s">
        <v>2510</v>
      </c>
      <c r="D825" t="s">
        <v>2510</v>
      </c>
      <c r="E825" t="str">
        <f>IFERROR(VLOOKUP(B825,Signal_detection!$A$1:$C$22,2,FALSE),"")</f>
        <v/>
      </c>
      <c r="F825" t="str">
        <f>IFERROR(VLOOKUP(B825,Signal_detection!$A$1:$C$22,3,FALSE),"")</f>
        <v/>
      </c>
      <c r="G825" t="s">
        <v>0</v>
      </c>
    </row>
    <row r="826" spans="1:7" x14ac:dyDescent="0.3">
      <c r="A826" s="5">
        <v>17810555</v>
      </c>
      <c r="B826" t="s">
        <v>109</v>
      </c>
      <c r="C826" t="s">
        <v>2510</v>
      </c>
      <c r="D826" t="s">
        <v>2510</v>
      </c>
      <c r="E826" t="str">
        <f>IFERROR(VLOOKUP(B826,Signal_detection!$A$1:$C$22,2,FALSE),"")</f>
        <v/>
      </c>
      <c r="F826" t="str">
        <f>IFERROR(VLOOKUP(B826,Signal_detection!$A$1:$C$22,3,FALSE),"")</f>
        <v/>
      </c>
      <c r="G826" t="s">
        <v>0</v>
      </c>
    </row>
    <row r="827" spans="1:7" x14ac:dyDescent="0.3">
      <c r="A827" s="5">
        <v>17810558</v>
      </c>
      <c r="B827" t="s">
        <v>262</v>
      </c>
      <c r="C827" t="s">
        <v>2510</v>
      </c>
      <c r="D827" t="s">
        <v>2510</v>
      </c>
      <c r="E827" t="str">
        <f>IFERROR(VLOOKUP(B827,Signal_detection!$A$1:$C$22,2,FALSE),"")</f>
        <v/>
      </c>
      <c r="F827" t="str">
        <f>IFERROR(VLOOKUP(B827,Signal_detection!$A$1:$C$22,3,FALSE),"")</f>
        <v/>
      </c>
      <c r="G827" t="s">
        <v>0</v>
      </c>
    </row>
    <row r="828" spans="1:7" x14ac:dyDescent="0.3">
      <c r="A828" s="5">
        <v>17812700</v>
      </c>
      <c r="B828" t="s">
        <v>470</v>
      </c>
      <c r="C828" t="s">
        <v>2510</v>
      </c>
      <c r="D828" t="s">
        <v>2510</v>
      </c>
      <c r="E828" t="str">
        <f>IFERROR(VLOOKUP(B828,Signal_detection!$A$1:$C$22,2,FALSE),"")</f>
        <v/>
      </c>
      <c r="F828" t="str">
        <f>IFERROR(VLOOKUP(B828,Signal_detection!$A$1:$C$22,3,FALSE),"")</f>
        <v/>
      </c>
      <c r="G828" t="s">
        <v>0</v>
      </c>
    </row>
    <row r="829" spans="1:7" x14ac:dyDescent="0.3">
      <c r="A829" s="5">
        <v>17812979</v>
      </c>
      <c r="B829" t="s">
        <v>243</v>
      </c>
      <c r="C829" t="s">
        <v>2510</v>
      </c>
      <c r="D829" t="s">
        <v>2510</v>
      </c>
      <c r="E829" t="str">
        <f>IFERROR(VLOOKUP(B829,Signal_detection!$A$1:$C$22,2,FALSE),"")</f>
        <v/>
      </c>
      <c r="F829" t="str">
        <f>IFERROR(VLOOKUP(B829,Signal_detection!$A$1:$C$22,3,FALSE),"")</f>
        <v/>
      </c>
      <c r="G829" t="s">
        <v>0</v>
      </c>
    </row>
    <row r="830" spans="1:7" x14ac:dyDescent="0.3">
      <c r="A830" s="5">
        <v>17814443</v>
      </c>
      <c r="B830" t="s">
        <v>1446</v>
      </c>
      <c r="C830" t="s">
        <v>2510</v>
      </c>
      <c r="D830" t="s">
        <v>2510</v>
      </c>
      <c r="E830" t="str">
        <f>IFERROR(VLOOKUP(B830,Signal_detection!$A$1:$C$22,2,FALSE),"")</f>
        <v/>
      </c>
      <c r="F830" t="str">
        <f>IFERROR(VLOOKUP(B830,Signal_detection!$A$1:$C$22,3,FALSE),"")</f>
        <v/>
      </c>
      <c r="G830" t="s">
        <v>0</v>
      </c>
    </row>
    <row r="831" spans="1:7" x14ac:dyDescent="0.3">
      <c r="A831" s="5">
        <v>17816473</v>
      </c>
      <c r="B831" t="s">
        <v>995</v>
      </c>
      <c r="C831" t="s">
        <v>2510</v>
      </c>
      <c r="D831" t="s">
        <v>2510</v>
      </c>
      <c r="E831" t="str">
        <f>IFERROR(VLOOKUP(B831,Signal_detection!$A$1:$C$22,2,FALSE),"")</f>
        <v/>
      </c>
      <c r="F831" t="str">
        <f>IFERROR(VLOOKUP(B831,Signal_detection!$A$1:$C$22,3,FALSE),"")</f>
        <v/>
      </c>
      <c r="G831" t="s">
        <v>0</v>
      </c>
    </row>
    <row r="832" spans="1:7" x14ac:dyDescent="0.3">
      <c r="A832" s="5">
        <v>17816503</v>
      </c>
      <c r="B832" t="s">
        <v>918</v>
      </c>
      <c r="C832" t="s">
        <v>2510</v>
      </c>
      <c r="D832" t="s">
        <v>2510</v>
      </c>
      <c r="E832" t="str">
        <f>IFERROR(VLOOKUP(B832,Signal_detection!$A$1:$C$22,2,FALSE),"")</f>
        <v/>
      </c>
      <c r="F832" t="str">
        <f>IFERROR(VLOOKUP(B832,Signal_detection!$A$1:$C$22,3,FALSE),"")</f>
        <v/>
      </c>
      <c r="G832" t="s">
        <v>125</v>
      </c>
    </row>
    <row r="833" spans="1:7" x14ac:dyDescent="0.3">
      <c r="A833" s="5">
        <v>17824232</v>
      </c>
      <c r="B833" t="s">
        <v>417</v>
      </c>
      <c r="C833" t="s">
        <v>2510</v>
      </c>
      <c r="D833" t="s">
        <v>2510</v>
      </c>
      <c r="E833" t="str">
        <f>IFERROR(VLOOKUP(B833,Signal_detection!$A$1:$C$22,2,FALSE),"")</f>
        <v/>
      </c>
      <c r="F833" t="str">
        <f>IFERROR(VLOOKUP(B833,Signal_detection!$A$1:$C$22,3,FALSE),"")</f>
        <v/>
      </c>
      <c r="G833" t="s">
        <v>0</v>
      </c>
    </row>
    <row r="834" spans="1:7" x14ac:dyDescent="0.3">
      <c r="A834" s="5">
        <v>17828296</v>
      </c>
      <c r="B834" t="s">
        <v>405</v>
      </c>
      <c r="C834" t="s">
        <v>2510</v>
      </c>
      <c r="D834" t="s">
        <v>2510</v>
      </c>
      <c r="E834" t="str">
        <f>IFERROR(VLOOKUP(B834,Signal_detection!$A$1:$C$22,2,FALSE),"")</f>
        <v/>
      </c>
      <c r="F834" t="str">
        <f>IFERROR(VLOOKUP(B834,Signal_detection!$A$1:$C$22,3,FALSE),"")</f>
        <v/>
      </c>
      <c r="G834" t="s">
        <v>125</v>
      </c>
    </row>
    <row r="835" spans="1:7" x14ac:dyDescent="0.3">
      <c r="A835" s="5">
        <v>17841773</v>
      </c>
      <c r="B835" t="s">
        <v>2303</v>
      </c>
      <c r="C835" t="s">
        <v>2510</v>
      </c>
      <c r="D835" t="s">
        <v>2510</v>
      </c>
      <c r="E835" t="str">
        <f>IFERROR(VLOOKUP(B835,Signal_detection!$A$1:$C$22,2,FALSE),"")</f>
        <v/>
      </c>
      <c r="F835" t="str">
        <f>IFERROR(VLOOKUP(B835,Signal_detection!$A$1:$C$22,3,FALSE),"")</f>
        <v/>
      </c>
      <c r="G835" t="s">
        <v>0</v>
      </c>
    </row>
    <row r="836" spans="1:7" x14ac:dyDescent="0.3">
      <c r="A836" s="5">
        <v>17846873</v>
      </c>
      <c r="B836" t="s">
        <v>206</v>
      </c>
      <c r="C836" t="s">
        <v>206</v>
      </c>
      <c r="D836" t="s">
        <v>2496</v>
      </c>
      <c r="E836" t="str">
        <f>IFERROR(VLOOKUP(B836,Signal_detection!$A$1:$C$22,2,FALSE),"")</f>
        <v>Probable</v>
      </c>
      <c r="F836" t="str">
        <f>IFERROR(VLOOKUP(B836,Signal_detection!$A$1:$C$22,3,FALSE),"")</f>
        <v>Infection signal</v>
      </c>
      <c r="G836" t="s">
        <v>0</v>
      </c>
    </row>
    <row r="837" spans="1:7" x14ac:dyDescent="0.3">
      <c r="A837" s="5">
        <v>17859914</v>
      </c>
      <c r="B837" t="s">
        <v>396</v>
      </c>
      <c r="C837" t="s">
        <v>2510</v>
      </c>
      <c r="D837" t="s">
        <v>2510</v>
      </c>
      <c r="E837" t="str">
        <f>IFERROR(VLOOKUP(B837,Signal_detection!$A$1:$C$22,2,FALSE),"")</f>
        <v/>
      </c>
      <c r="F837" t="str">
        <f>IFERROR(VLOOKUP(B837,Signal_detection!$A$1:$C$22,3,FALSE),"")</f>
        <v/>
      </c>
      <c r="G837" t="s">
        <v>0</v>
      </c>
    </row>
    <row r="838" spans="1:7" x14ac:dyDescent="0.3">
      <c r="A838" s="5">
        <v>17860689</v>
      </c>
      <c r="B838" t="s">
        <v>861</v>
      </c>
      <c r="C838" t="s">
        <v>2510</v>
      </c>
      <c r="D838" t="s">
        <v>2510</v>
      </c>
      <c r="E838" t="str">
        <f>IFERROR(VLOOKUP(B838,Signal_detection!$A$1:$C$22,2,FALSE),"")</f>
        <v/>
      </c>
      <c r="F838" t="str">
        <f>IFERROR(VLOOKUP(B838,Signal_detection!$A$1:$C$22,3,FALSE),"")</f>
        <v/>
      </c>
      <c r="G838" t="s">
        <v>125</v>
      </c>
    </row>
    <row r="839" spans="1:7" x14ac:dyDescent="0.3">
      <c r="A839" s="5">
        <v>17865562</v>
      </c>
      <c r="B839" t="s">
        <v>743</v>
      </c>
      <c r="C839" t="s">
        <v>2510</v>
      </c>
      <c r="D839" t="s">
        <v>2510</v>
      </c>
      <c r="E839" t="str">
        <f>IFERROR(VLOOKUP(B839,Signal_detection!$A$1:$C$22,2,FALSE),"")</f>
        <v/>
      </c>
      <c r="F839" t="str">
        <f>IFERROR(VLOOKUP(B839,Signal_detection!$A$1:$C$22,3,FALSE),"")</f>
        <v/>
      </c>
      <c r="G839" t="s">
        <v>0</v>
      </c>
    </row>
    <row r="840" spans="1:7" x14ac:dyDescent="0.3">
      <c r="A840" s="5">
        <v>17876677</v>
      </c>
      <c r="B840" t="s">
        <v>532</v>
      </c>
      <c r="C840" t="s">
        <v>2510</v>
      </c>
      <c r="D840" t="s">
        <v>2510</v>
      </c>
      <c r="E840" t="str">
        <f>IFERROR(VLOOKUP(B840,Signal_detection!$A$1:$C$22,2,FALSE),"")</f>
        <v/>
      </c>
      <c r="F840" t="str">
        <f>IFERROR(VLOOKUP(B840,Signal_detection!$A$1:$C$22,3,FALSE),"")</f>
        <v/>
      </c>
      <c r="G840" t="s">
        <v>0</v>
      </c>
    </row>
    <row r="841" spans="1:7" x14ac:dyDescent="0.3">
      <c r="A841" s="5">
        <v>17878503</v>
      </c>
      <c r="B841" t="s">
        <v>912</v>
      </c>
      <c r="C841" t="s">
        <v>2510</v>
      </c>
      <c r="D841" t="s">
        <v>2510</v>
      </c>
      <c r="E841" t="str">
        <f>IFERROR(VLOOKUP(B841,Signal_detection!$A$1:$C$22,2,FALSE),"")</f>
        <v/>
      </c>
      <c r="F841" t="str">
        <f>IFERROR(VLOOKUP(B841,Signal_detection!$A$1:$C$22,3,FALSE),"")</f>
        <v/>
      </c>
      <c r="G841" t="s">
        <v>0</v>
      </c>
    </row>
    <row r="842" spans="1:7" x14ac:dyDescent="0.3">
      <c r="A842" s="5">
        <v>17883757</v>
      </c>
      <c r="B842" t="s">
        <v>50</v>
      </c>
      <c r="C842" t="s">
        <v>50</v>
      </c>
      <c r="D842" t="s">
        <v>2497</v>
      </c>
      <c r="E842" t="str">
        <f>IFERROR(VLOOKUP(B842,Signal_detection!$A$1:$C$22,2,FALSE),"")</f>
        <v/>
      </c>
      <c r="F842" t="str">
        <f>IFERROR(VLOOKUP(B842,Signal_detection!$A$1:$C$22,3,FALSE),"")</f>
        <v/>
      </c>
      <c r="G842" t="s">
        <v>0</v>
      </c>
    </row>
    <row r="843" spans="1:7" x14ac:dyDescent="0.3">
      <c r="A843" s="5">
        <v>17885146</v>
      </c>
      <c r="B843" t="s">
        <v>731</v>
      </c>
      <c r="C843" t="s">
        <v>2510</v>
      </c>
      <c r="D843" t="s">
        <v>2510</v>
      </c>
      <c r="E843" t="str">
        <f>IFERROR(VLOOKUP(B843,Signal_detection!$A$1:$C$22,2,FALSE),"")</f>
        <v/>
      </c>
      <c r="F843" t="str">
        <f>IFERROR(VLOOKUP(B843,Signal_detection!$A$1:$C$22,3,FALSE),"")</f>
        <v/>
      </c>
      <c r="G843" t="s">
        <v>0</v>
      </c>
    </row>
    <row r="844" spans="1:7" x14ac:dyDescent="0.3">
      <c r="A844" s="5">
        <v>17893414</v>
      </c>
      <c r="B844" t="s">
        <v>772</v>
      </c>
      <c r="C844" t="s">
        <v>2510</v>
      </c>
      <c r="D844" t="s">
        <v>2510</v>
      </c>
      <c r="E844" t="str">
        <f>IFERROR(VLOOKUP(B844,Signal_detection!$A$1:$C$22,2,FALSE),"")</f>
        <v/>
      </c>
      <c r="F844" t="str">
        <f>IFERROR(VLOOKUP(B844,Signal_detection!$A$1:$C$22,3,FALSE),"")</f>
        <v/>
      </c>
      <c r="G844" t="s">
        <v>0</v>
      </c>
    </row>
    <row r="845" spans="1:7" x14ac:dyDescent="0.3">
      <c r="A845" s="5">
        <v>17895334</v>
      </c>
      <c r="B845" t="s">
        <v>1357</v>
      </c>
      <c r="C845" t="s">
        <v>2510</v>
      </c>
      <c r="D845" t="s">
        <v>2510</v>
      </c>
      <c r="E845" t="str">
        <f>IFERROR(VLOOKUP(B845,Signal_detection!$A$1:$C$22,2,FALSE),"")</f>
        <v/>
      </c>
      <c r="F845" t="str">
        <f>IFERROR(VLOOKUP(B845,Signal_detection!$A$1:$C$22,3,FALSE),"")</f>
        <v/>
      </c>
      <c r="G845" t="s">
        <v>0</v>
      </c>
    </row>
    <row r="846" spans="1:7" x14ac:dyDescent="0.3">
      <c r="A846" s="5">
        <v>17896920</v>
      </c>
      <c r="B846" t="s">
        <v>159</v>
      </c>
      <c r="C846" t="s">
        <v>159</v>
      </c>
      <c r="D846" t="s">
        <v>2499</v>
      </c>
      <c r="E846" t="str">
        <f>IFERROR(VLOOKUP(B846,Signal_detection!$A$1:$C$22,2,FALSE),"")</f>
        <v>Possible</v>
      </c>
      <c r="F846" t="str">
        <f>IFERROR(VLOOKUP(B846,Signal_detection!$A$1:$C$22,3,FALSE),"")</f>
        <v>Non-serious ADR</v>
      </c>
      <c r="G846" t="s">
        <v>125</v>
      </c>
    </row>
    <row r="847" spans="1:7" x14ac:dyDescent="0.3">
      <c r="A847" s="5">
        <v>17903824</v>
      </c>
      <c r="B847" t="s">
        <v>717</v>
      </c>
      <c r="C847" t="s">
        <v>717</v>
      </c>
      <c r="D847" t="s">
        <v>2505</v>
      </c>
      <c r="E847" t="str">
        <f>IFERROR(VLOOKUP(B847,Signal_detection!$A$1:$C$22,2,FALSE),"")</f>
        <v/>
      </c>
      <c r="F847" t="str">
        <f>IFERROR(VLOOKUP(B847,Signal_detection!$A$1:$C$22,3,FALSE),"")</f>
        <v/>
      </c>
      <c r="G847" t="s">
        <v>0</v>
      </c>
    </row>
    <row r="848" spans="1:7" x14ac:dyDescent="0.3">
      <c r="A848" s="5">
        <v>17912646</v>
      </c>
      <c r="B848" t="s">
        <v>192</v>
      </c>
      <c r="C848" t="s">
        <v>192</v>
      </c>
      <c r="D848" t="s">
        <v>2495</v>
      </c>
      <c r="E848" t="str">
        <f>IFERROR(VLOOKUP(B848,Signal_detection!$A$1:$C$22,2,FALSE),"")</f>
        <v>Probable</v>
      </c>
      <c r="F848" t="str">
        <f>IFERROR(VLOOKUP(B848,Signal_detection!$A$1:$C$22,3,FALSE),"")</f>
        <v>Hypersensitivity signal</v>
      </c>
      <c r="G848" t="s">
        <v>0</v>
      </c>
    </row>
    <row r="849" spans="1:7" x14ac:dyDescent="0.3">
      <c r="A849" s="5">
        <v>17915907</v>
      </c>
      <c r="B849" t="s">
        <v>839</v>
      </c>
      <c r="C849" t="s">
        <v>2510</v>
      </c>
      <c r="D849" t="s">
        <v>2510</v>
      </c>
      <c r="E849" t="str">
        <f>IFERROR(VLOOKUP(B849,Signal_detection!$A$1:$C$22,2,FALSE),"")</f>
        <v/>
      </c>
      <c r="F849" t="str">
        <f>IFERROR(VLOOKUP(B849,Signal_detection!$A$1:$C$22,3,FALSE),"")</f>
        <v/>
      </c>
      <c r="G849" t="s">
        <v>0</v>
      </c>
    </row>
    <row r="850" spans="1:7" x14ac:dyDescent="0.3">
      <c r="A850" s="5">
        <v>17919415</v>
      </c>
      <c r="B850" t="s">
        <v>741</v>
      </c>
      <c r="C850" t="s">
        <v>741</v>
      </c>
      <c r="D850" t="s">
        <v>2505</v>
      </c>
      <c r="E850" t="str">
        <f>IFERROR(VLOOKUP(B850,Signal_detection!$A$1:$C$22,2,FALSE),"")</f>
        <v/>
      </c>
      <c r="F850" t="str">
        <f>IFERROR(VLOOKUP(B850,Signal_detection!$A$1:$C$22,3,FALSE),"")</f>
        <v/>
      </c>
      <c r="G850" t="s">
        <v>125</v>
      </c>
    </row>
    <row r="851" spans="1:7" x14ac:dyDescent="0.3">
      <c r="A851" s="5">
        <v>17919467</v>
      </c>
      <c r="B851" t="s">
        <v>62</v>
      </c>
      <c r="C851" t="s">
        <v>62</v>
      </c>
      <c r="D851" t="s">
        <v>2508</v>
      </c>
      <c r="E851" t="str">
        <f>IFERROR(VLOOKUP(B851,Signal_detection!$A$1:$C$22,2,FALSE),"")</f>
        <v>Possible</v>
      </c>
      <c r="F851" t="str">
        <f>IFERROR(VLOOKUP(B851,Signal_detection!$A$1:$C$22,3,FALSE),"")</f>
        <v>Respiratory ADR</v>
      </c>
      <c r="G851" t="s">
        <v>0</v>
      </c>
    </row>
    <row r="852" spans="1:7" x14ac:dyDescent="0.3">
      <c r="A852" s="5">
        <v>17920002</v>
      </c>
      <c r="B852" t="s">
        <v>963</v>
      </c>
      <c r="C852" t="s">
        <v>2510</v>
      </c>
      <c r="D852" t="s">
        <v>2510</v>
      </c>
      <c r="E852" t="str">
        <f>IFERROR(VLOOKUP(B852,Signal_detection!$A$1:$C$22,2,FALSE),"")</f>
        <v/>
      </c>
      <c r="F852" t="str">
        <f>IFERROR(VLOOKUP(B852,Signal_detection!$A$1:$C$22,3,FALSE),"")</f>
        <v/>
      </c>
      <c r="G852" t="s">
        <v>0</v>
      </c>
    </row>
    <row r="853" spans="1:7" x14ac:dyDescent="0.3">
      <c r="A853" s="5">
        <v>17920922</v>
      </c>
      <c r="B853" t="s">
        <v>1567</v>
      </c>
      <c r="C853" t="s">
        <v>2510</v>
      </c>
      <c r="D853" t="s">
        <v>2510</v>
      </c>
      <c r="E853" t="str">
        <f>IFERROR(VLOOKUP(B853,Signal_detection!$A$1:$C$22,2,FALSE),"")</f>
        <v/>
      </c>
      <c r="F853" t="str">
        <f>IFERROR(VLOOKUP(B853,Signal_detection!$A$1:$C$22,3,FALSE),"")</f>
        <v/>
      </c>
      <c r="G853" t="s">
        <v>0</v>
      </c>
    </row>
    <row r="854" spans="1:7" x14ac:dyDescent="0.3">
      <c r="A854" s="5">
        <v>17923261</v>
      </c>
      <c r="B854" t="s">
        <v>421</v>
      </c>
      <c r="C854" t="s">
        <v>2510</v>
      </c>
      <c r="D854" t="s">
        <v>2510</v>
      </c>
      <c r="E854" t="str">
        <f>IFERROR(VLOOKUP(B854,Signal_detection!$A$1:$C$22,2,FALSE),"")</f>
        <v/>
      </c>
      <c r="F854" t="str">
        <f>IFERROR(VLOOKUP(B854,Signal_detection!$A$1:$C$22,3,FALSE),"")</f>
        <v/>
      </c>
      <c r="G854" t="s">
        <v>0</v>
      </c>
    </row>
    <row r="855" spans="1:7" x14ac:dyDescent="0.3">
      <c r="A855" s="5">
        <v>17924921</v>
      </c>
      <c r="B855" t="s">
        <v>1284</v>
      </c>
      <c r="C855" t="s">
        <v>2510</v>
      </c>
      <c r="D855" t="s">
        <v>2510</v>
      </c>
      <c r="E855" t="str">
        <f>IFERROR(VLOOKUP(B855,Signal_detection!$A$1:$C$22,2,FALSE),"")</f>
        <v/>
      </c>
      <c r="F855" t="str">
        <f>IFERROR(VLOOKUP(B855,Signal_detection!$A$1:$C$22,3,FALSE),"")</f>
        <v/>
      </c>
      <c r="G855" t="s">
        <v>0</v>
      </c>
    </row>
    <row r="856" spans="1:7" x14ac:dyDescent="0.3">
      <c r="A856" s="5">
        <v>17925871</v>
      </c>
      <c r="B856" t="s">
        <v>631</v>
      </c>
      <c r="C856" t="s">
        <v>2510</v>
      </c>
      <c r="D856" t="s">
        <v>2510</v>
      </c>
      <c r="E856" t="str">
        <f>IFERROR(VLOOKUP(B856,Signal_detection!$A$1:$C$22,2,FALSE),"")</f>
        <v/>
      </c>
      <c r="F856" t="str">
        <f>IFERROR(VLOOKUP(B856,Signal_detection!$A$1:$C$22,3,FALSE),"")</f>
        <v/>
      </c>
      <c r="G856" t="s">
        <v>0</v>
      </c>
    </row>
    <row r="857" spans="1:7" x14ac:dyDescent="0.3">
      <c r="A857" s="5">
        <v>17926028</v>
      </c>
      <c r="B857" t="s">
        <v>236</v>
      </c>
      <c r="C857" t="s">
        <v>2510</v>
      </c>
      <c r="D857" t="s">
        <v>2510</v>
      </c>
      <c r="E857" t="str">
        <f>IFERROR(VLOOKUP(B857,Signal_detection!$A$1:$C$22,2,FALSE),"")</f>
        <v/>
      </c>
      <c r="F857" t="str">
        <f>IFERROR(VLOOKUP(B857,Signal_detection!$A$1:$C$22,3,FALSE),"")</f>
        <v/>
      </c>
      <c r="G857" t="s">
        <v>0</v>
      </c>
    </row>
    <row r="858" spans="1:7" x14ac:dyDescent="0.3">
      <c r="A858" s="5">
        <v>17930383</v>
      </c>
      <c r="B858" t="s">
        <v>587</v>
      </c>
      <c r="C858" t="s">
        <v>2510</v>
      </c>
      <c r="D858" t="s">
        <v>2510</v>
      </c>
      <c r="E858" t="str">
        <f>IFERROR(VLOOKUP(B858,Signal_detection!$A$1:$C$22,2,FALSE),"")</f>
        <v/>
      </c>
      <c r="F858" t="str">
        <f>IFERROR(VLOOKUP(B858,Signal_detection!$A$1:$C$22,3,FALSE),"")</f>
        <v/>
      </c>
      <c r="G858" t="s">
        <v>0</v>
      </c>
    </row>
    <row r="859" spans="1:7" x14ac:dyDescent="0.3">
      <c r="A859" s="5">
        <v>17942470</v>
      </c>
      <c r="B859" t="s">
        <v>533</v>
      </c>
      <c r="C859" t="s">
        <v>2510</v>
      </c>
      <c r="D859" t="s">
        <v>2510</v>
      </c>
      <c r="E859" t="str">
        <f>IFERROR(VLOOKUP(B859,Signal_detection!$A$1:$C$22,2,FALSE),"")</f>
        <v/>
      </c>
      <c r="F859" t="str">
        <f>IFERROR(VLOOKUP(B859,Signal_detection!$A$1:$C$22,3,FALSE),"")</f>
        <v/>
      </c>
      <c r="G859" t="s">
        <v>0</v>
      </c>
    </row>
    <row r="860" spans="1:7" x14ac:dyDescent="0.3">
      <c r="A860" s="5">
        <v>17943151</v>
      </c>
      <c r="B860" t="s">
        <v>413</v>
      </c>
      <c r="C860" t="s">
        <v>2510</v>
      </c>
      <c r="D860" t="s">
        <v>2510</v>
      </c>
      <c r="E860" t="str">
        <f>IFERROR(VLOOKUP(B860,Signal_detection!$A$1:$C$22,2,FALSE),"")</f>
        <v/>
      </c>
      <c r="F860" t="str">
        <f>IFERROR(VLOOKUP(B860,Signal_detection!$A$1:$C$22,3,FALSE),"")</f>
        <v/>
      </c>
      <c r="G860" t="s">
        <v>0</v>
      </c>
    </row>
    <row r="861" spans="1:7" x14ac:dyDescent="0.3">
      <c r="A861" s="5">
        <v>17955976</v>
      </c>
      <c r="B861" t="s">
        <v>74</v>
      </c>
      <c r="C861" t="s">
        <v>2510</v>
      </c>
      <c r="D861" t="s">
        <v>2510</v>
      </c>
      <c r="E861" t="str">
        <f>IFERROR(VLOOKUP(B861,Signal_detection!$A$1:$C$22,2,FALSE),"")</f>
        <v/>
      </c>
      <c r="F861" t="str">
        <f>IFERROR(VLOOKUP(B861,Signal_detection!$A$1:$C$22,3,FALSE),"")</f>
        <v/>
      </c>
      <c r="G861" t="s">
        <v>0</v>
      </c>
    </row>
    <row r="862" spans="1:7" x14ac:dyDescent="0.3">
      <c r="A862" s="5">
        <v>17956099</v>
      </c>
      <c r="B862" t="s">
        <v>192</v>
      </c>
      <c r="C862" t="s">
        <v>192</v>
      </c>
      <c r="D862" t="s">
        <v>2495</v>
      </c>
      <c r="E862" t="str">
        <f>IFERROR(VLOOKUP(B862,Signal_detection!$A$1:$C$22,2,FALSE),"")</f>
        <v>Probable</v>
      </c>
      <c r="F862" t="str">
        <f>IFERROR(VLOOKUP(B862,Signal_detection!$A$1:$C$22,3,FALSE),"")</f>
        <v>Hypersensitivity signal</v>
      </c>
      <c r="G862" t="s">
        <v>125</v>
      </c>
    </row>
    <row r="863" spans="1:7" x14ac:dyDescent="0.3">
      <c r="A863" s="5">
        <v>17957009</v>
      </c>
      <c r="B863" t="s">
        <v>948</v>
      </c>
      <c r="C863" t="s">
        <v>948</v>
      </c>
      <c r="D863" t="s">
        <v>2504</v>
      </c>
      <c r="E863" t="str">
        <f>IFERROR(VLOOKUP(B863,Signal_detection!$A$1:$C$22,2,FALSE),"")</f>
        <v>Probable</v>
      </c>
      <c r="F863" t="str">
        <f>IFERROR(VLOOKUP(B863,Signal_detection!$A$1:$C$22,3,FALSE),"")</f>
        <v>Renal safety signal</v>
      </c>
      <c r="G863" t="s">
        <v>0</v>
      </c>
    </row>
    <row r="864" spans="1:7" x14ac:dyDescent="0.3">
      <c r="A864" s="5">
        <v>17958759</v>
      </c>
      <c r="B864" t="s">
        <v>896</v>
      </c>
      <c r="C864" t="s">
        <v>896</v>
      </c>
      <c r="D864" t="s">
        <v>2499</v>
      </c>
      <c r="E864" t="str">
        <f>IFERROR(VLOOKUP(B864,Signal_detection!$A$1:$C$22,2,FALSE),"")</f>
        <v>Possible</v>
      </c>
      <c r="F864" t="str">
        <f>IFERROR(VLOOKUP(B864,Signal_detection!$A$1:$C$22,3,FALSE),"")</f>
        <v>Skin ADR</v>
      </c>
      <c r="G864" t="s">
        <v>125</v>
      </c>
    </row>
    <row r="865" spans="1:7" x14ac:dyDescent="0.3">
      <c r="A865" s="5">
        <v>17971768</v>
      </c>
      <c r="B865" t="s">
        <v>192</v>
      </c>
      <c r="C865" t="s">
        <v>192</v>
      </c>
      <c r="D865" t="s">
        <v>2495</v>
      </c>
      <c r="E865" t="str">
        <f>IFERROR(VLOOKUP(B865,Signal_detection!$A$1:$C$22,2,FALSE),"")</f>
        <v>Probable</v>
      </c>
      <c r="F865" t="str">
        <f>IFERROR(VLOOKUP(B865,Signal_detection!$A$1:$C$22,3,FALSE),"")</f>
        <v>Hypersensitivity signal</v>
      </c>
      <c r="G865" t="s">
        <v>125</v>
      </c>
    </row>
    <row r="866" spans="1:7" x14ac:dyDescent="0.3">
      <c r="A866" s="5">
        <v>17981952</v>
      </c>
      <c r="B866" t="s">
        <v>948</v>
      </c>
      <c r="C866" t="s">
        <v>948</v>
      </c>
      <c r="D866" t="s">
        <v>2504</v>
      </c>
      <c r="E866" t="str">
        <f>IFERROR(VLOOKUP(B866,Signal_detection!$A$1:$C$22,2,FALSE),"")</f>
        <v>Probable</v>
      </c>
      <c r="F866" t="str">
        <f>IFERROR(VLOOKUP(B866,Signal_detection!$A$1:$C$22,3,FALSE),"")</f>
        <v>Renal safety signal</v>
      </c>
      <c r="G866" t="s">
        <v>0</v>
      </c>
    </row>
    <row r="867" spans="1:7" x14ac:dyDescent="0.3">
      <c r="A867" s="5">
        <v>17993085</v>
      </c>
      <c r="B867" t="s">
        <v>666</v>
      </c>
      <c r="C867" t="s">
        <v>2510</v>
      </c>
      <c r="D867" t="s">
        <v>2510</v>
      </c>
      <c r="E867" t="str">
        <f>IFERROR(VLOOKUP(B867,Signal_detection!$A$1:$C$22,2,FALSE),"")</f>
        <v/>
      </c>
      <c r="F867" t="str">
        <f>IFERROR(VLOOKUP(B867,Signal_detection!$A$1:$C$22,3,FALSE),"")</f>
        <v/>
      </c>
      <c r="G867" t="s">
        <v>125</v>
      </c>
    </row>
    <row r="868" spans="1:7" x14ac:dyDescent="0.3">
      <c r="A868" s="5">
        <v>18000528</v>
      </c>
      <c r="B868" t="s">
        <v>1447</v>
      </c>
      <c r="C868" t="s">
        <v>2510</v>
      </c>
      <c r="D868" t="s">
        <v>2510</v>
      </c>
      <c r="E868" t="str">
        <f>IFERROR(VLOOKUP(B868,Signal_detection!$A$1:$C$22,2,FALSE),"")</f>
        <v/>
      </c>
      <c r="F868" t="str">
        <f>IFERROR(VLOOKUP(B868,Signal_detection!$A$1:$C$22,3,FALSE),"")</f>
        <v/>
      </c>
      <c r="G868" t="s">
        <v>0</v>
      </c>
    </row>
    <row r="869" spans="1:7" x14ac:dyDescent="0.3">
      <c r="A869" s="5">
        <v>18002227</v>
      </c>
      <c r="B869" t="s">
        <v>1037</v>
      </c>
      <c r="C869" t="s">
        <v>2510</v>
      </c>
      <c r="D869" t="s">
        <v>2510</v>
      </c>
      <c r="E869" t="str">
        <f>IFERROR(VLOOKUP(B869,Signal_detection!$A$1:$C$22,2,FALSE),"")</f>
        <v/>
      </c>
      <c r="F869" t="str">
        <f>IFERROR(VLOOKUP(B869,Signal_detection!$A$1:$C$22,3,FALSE),"")</f>
        <v/>
      </c>
      <c r="G869" t="s">
        <v>0</v>
      </c>
    </row>
    <row r="870" spans="1:7" x14ac:dyDescent="0.3">
      <c r="A870" s="5">
        <v>18002510</v>
      </c>
      <c r="B870" t="s">
        <v>1471</v>
      </c>
      <c r="C870" t="s">
        <v>2510</v>
      </c>
      <c r="D870" t="s">
        <v>2510</v>
      </c>
      <c r="E870" t="str">
        <f>IFERROR(VLOOKUP(B870,Signal_detection!$A$1:$C$22,2,FALSE),"")</f>
        <v/>
      </c>
      <c r="F870" t="str">
        <f>IFERROR(VLOOKUP(B870,Signal_detection!$A$1:$C$22,3,FALSE),"")</f>
        <v/>
      </c>
      <c r="G870" t="s">
        <v>0</v>
      </c>
    </row>
    <row r="871" spans="1:7" x14ac:dyDescent="0.3">
      <c r="A871" s="5">
        <v>18004079</v>
      </c>
      <c r="B871" t="s">
        <v>545</v>
      </c>
      <c r="C871" t="s">
        <v>545</v>
      </c>
      <c r="D871" t="s">
        <v>2504</v>
      </c>
      <c r="E871" t="str">
        <f>IFERROR(VLOOKUP(B871,Signal_detection!$A$1:$C$22,2,FALSE),"")</f>
        <v/>
      </c>
      <c r="F871" t="str">
        <f>IFERROR(VLOOKUP(B871,Signal_detection!$A$1:$C$22,3,FALSE),"")</f>
        <v/>
      </c>
      <c r="G871" t="s">
        <v>0</v>
      </c>
    </row>
    <row r="872" spans="1:7" x14ac:dyDescent="0.3">
      <c r="A872" s="5">
        <v>18007424</v>
      </c>
      <c r="B872" t="s">
        <v>1063</v>
      </c>
      <c r="C872" t="s">
        <v>2510</v>
      </c>
      <c r="D872" t="s">
        <v>2510</v>
      </c>
      <c r="E872" t="str">
        <f>IFERROR(VLOOKUP(B872,Signal_detection!$A$1:$C$22,2,FALSE),"")</f>
        <v/>
      </c>
      <c r="F872" t="str">
        <f>IFERROR(VLOOKUP(B872,Signal_detection!$A$1:$C$22,3,FALSE),"")</f>
        <v/>
      </c>
      <c r="G872" t="s">
        <v>0</v>
      </c>
    </row>
    <row r="873" spans="1:7" x14ac:dyDescent="0.3">
      <c r="A873" s="5">
        <v>18008629</v>
      </c>
      <c r="B873" t="s">
        <v>910</v>
      </c>
      <c r="C873" t="s">
        <v>2510</v>
      </c>
      <c r="D873" t="s">
        <v>2510</v>
      </c>
      <c r="E873" t="str">
        <f>IFERROR(VLOOKUP(B873,Signal_detection!$A$1:$C$22,2,FALSE),"")</f>
        <v/>
      </c>
      <c r="F873" t="str">
        <f>IFERROR(VLOOKUP(B873,Signal_detection!$A$1:$C$22,3,FALSE),"")</f>
        <v/>
      </c>
      <c r="G873" t="s">
        <v>0</v>
      </c>
    </row>
    <row r="874" spans="1:7" x14ac:dyDescent="0.3">
      <c r="A874" s="5">
        <v>18013641</v>
      </c>
      <c r="B874" t="s">
        <v>875</v>
      </c>
      <c r="C874" t="s">
        <v>2510</v>
      </c>
      <c r="D874" t="s">
        <v>2510</v>
      </c>
      <c r="E874" t="str">
        <f>IFERROR(VLOOKUP(B874,Signal_detection!$A$1:$C$22,2,FALSE),"")</f>
        <v/>
      </c>
      <c r="F874" t="str">
        <f>IFERROR(VLOOKUP(B874,Signal_detection!$A$1:$C$22,3,FALSE),"")</f>
        <v/>
      </c>
      <c r="G874" t="s">
        <v>0</v>
      </c>
    </row>
    <row r="875" spans="1:7" x14ac:dyDescent="0.3">
      <c r="A875" s="5">
        <v>18016041</v>
      </c>
      <c r="B875" t="s">
        <v>948</v>
      </c>
      <c r="C875" t="s">
        <v>948</v>
      </c>
      <c r="D875" t="s">
        <v>2504</v>
      </c>
      <c r="E875" t="str">
        <f>IFERROR(VLOOKUP(B875,Signal_detection!$A$1:$C$22,2,FALSE),"")</f>
        <v>Probable</v>
      </c>
      <c r="F875" t="str">
        <f>IFERROR(VLOOKUP(B875,Signal_detection!$A$1:$C$22,3,FALSE),"")</f>
        <v>Renal safety signal</v>
      </c>
      <c r="G875" t="s">
        <v>0</v>
      </c>
    </row>
    <row r="876" spans="1:7" x14ac:dyDescent="0.3">
      <c r="A876" s="5">
        <v>18020574</v>
      </c>
      <c r="B876" t="s">
        <v>790</v>
      </c>
      <c r="C876" t="s">
        <v>2510</v>
      </c>
      <c r="D876" t="s">
        <v>2510</v>
      </c>
      <c r="E876" t="str">
        <f>IFERROR(VLOOKUP(B876,Signal_detection!$A$1:$C$22,2,FALSE),"")</f>
        <v/>
      </c>
      <c r="F876" t="str">
        <f>IFERROR(VLOOKUP(B876,Signal_detection!$A$1:$C$22,3,FALSE),"")</f>
        <v/>
      </c>
      <c r="G876" t="s">
        <v>125</v>
      </c>
    </row>
    <row r="877" spans="1:7" x14ac:dyDescent="0.3">
      <c r="A877" s="5">
        <v>18020592</v>
      </c>
      <c r="B877" t="s">
        <v>416</v>
      </c>
      <c r="C877" t="s">
        <v>2510</v>
      </c>
      <c r="D877" t="s">
        <v>2510</v>
      </c>
      <c r="E877" t="str">
        <f>IFERROR(VLOOKUP(B877,Signal_detection!$A$1:$C$22,2,FALSE),"")</f>
        <v/>
      </c>
      <c r="F877" t="str">
        <f>IFERROR(VLOOKUP(B877,Signal_detection!$A$1:$C$22,3,FALSE),"")</f>
        <v/>
      </c>
      <c r="G877" t="s">
        <v>125</v>
      </c>
    </row>
    <row r="878" spans="1:7" x14ac:dyDescent="0.3">
      <c r="A878" s="5">
        <v>18026701</v>
      </c>
      <c r="B878" t="s">
        <v>2343</v>
      </c>
      <c r="C878" t="s">
        <v>2510</v>
      </c>
      <c r="D878" t="s">
        <v>2510</v>
      </c>
      <c r="E878" t="str">
        <f>IFERROR(VLOOKUP(B878,Signal_detection!$A$1:$C$22,2,FALSE),"")</f>
        <v/>
      </c>
      <c r="F878" t="str">
        <f>IFERROR(VLOOKUP(B878,Signal_detection!$A$1:$C$22,3,FALSE),"")</f>
        <v/>
      </c>
      <c r="G878" t="s">
        <v>0</v>
      </c>
    </row>
    <row r="879" spans="1:7" x14ac:dyDescent="0.3">
      <c r="A879" s="5">
        <v>18032086</v>
      </c>
      <c r="B879" t="s">
        <v>948</v>
      </c>
      <c r="C879" t="s">
        <v>948</v>
      </c>
      <c r="D879" t="s">
        <v>2504</v>
      </c>
      <c r="E879" t="str">
        <f>IFERROR(VLOOKUP(B879,Signal_detection!$A$1:$C$22,2,FALSE),"")</f>
        <v>Probable</v>
      </c>
      <c r="F879" t="str">
        <f>IFERROR(VLOOKUP(B879,Signal_detection!$A$1:$C$22,3,FALSE),"")</f>
        <v>Renal safety signal</v>
      </c>
      <c r="G879" t="s">
        <v>0</v>
      </c>
    </row>
    <row r="880" spans="1:7" x14ac:dyDescent="0.3">
      <c r="A880" s="5">
        <v>18033164</v>
      </c>
      <c r="B880" t="s">
        <v>564</v>
      </c>
      <c r="C880" t="s">
        <v>2510</v>
      </c>
      <c r="D880" t="s">
        <v>2510</v>
      </c>
      <c r="E880" t="str">
        <f>IFERROR(VLOOKUP(B880,Signal_detection!$A$1:$C$22,2,FALSE),"")</f>
        <v/>
      </c>
      <c r="F880" t="str">
        <f>IFERROR(VLOOKUP(B880,Signal_detection!$A$1:$C$22,3,FALSE),"")</f>
        <v/>
      </c>
      <c r="G880" t="s">
        <v>0</v>
      </c>
    </row>
    <row r="881" spans="1:7" x14ac:dyDescent="0.3">
      <c r="A881" s="5">
        <v>18033803</v>
      </c>
      <c r="B881" t="s">
        <v>858</v>
      </c>
      <c r="C881" t="s">
        <v>2510</v>
      </c>
      <c r="D881" t="s">
        <v>2510</v>
      </c>
      <c r="E881" t="str">
        <f>IFERROR(VLOOKUP(B881,Signal_detection!$A$1:$C$22,2,FALSE),"")</f>
        <v/>
      </c>
      <c r="F881" t="str">
        <f>IFERROR(VLOOKUP(B881,Signal_detection!$A$1:$C$22,3,FALSE),"")</f>
        <v/>
      </c>
      <c r="G881" t="s">
        <v>0</v>
      </c>
    </row>
    <row r="882" spans="1:7" x14ac:dyDescent="0.3">
      <c r="A882" s="5">
        <v>18037672</v>
      </c>
      <c r="B882" t="s">
        <v>1282</v>
      </c>
      <c r="C882" t="s">
        <v>2510</v>
      </c>
      <c r="D882" t="s">
        <v>2510</v>
      </c>
      <c r="E882" t="str">
        <f>IFERROR(VLOOKUP(B882,Signal_detection!$A$1:$C$22,2,FALSE),"")</f>
        <v/>
      </c>
      <c r="F882" t="str">
        <f>IFERROR(VLOOKUP(B882,Signal_detection!$A$1:$C$22,3,FALSE),"")</f>
        <v/>
      </c>
      <c r="G882" t="s">
        <v>125</v>
      </c>
    </row>
    <row r="883" spans="1:7" x14ac:dyDescent="0.3">
      <c r="A883" s="5">
        <v>18038277</v>
      </c>
      <c r="B883" t="s">
        <v>971</v>
      </c>
      <c r="C883" t="s">
        <v>2510</v>
      </c>
      <c r="D883" t="s">
        <v>2510</v>
      </c>
      <c r="E883" t="str">
        <f>IFERROR(VLOOKUP(B883,Signal_detection!$A$1:$C$22,2,FALSE),"")</f>
        <v/>
      </c>
      <c r="F883" t="str">
        <f>IFERROR(VLOOKUP(B883,Signal_detection!$A$1:$C$22,3,FALSE),"")</f>
        <v/>
      </c>
      <c r="G883" t="s">
        <v>0</v>
      </c>
    </row>
    <row r="884" spans="1:7" x14ac:dyDescent="0.3">
      <c r="A884" s="5">
        <v>18041941</v>
      </c>
      <c r="B884" t="s">
        <v>50</v>
      </c>
      <c r="C884" t="s">
        <v>50</v>
      </c>
      <c r="D884" t="s">
        <v>2497</v>
      </c>
      <c r="E884" t="str">
        <f>IFERROR(VLOOKUP(B884,Signal_detection!$A$1:$C$22,2,FALSE),"")</f>
        <v/>
      </c>
      <c r="F884" t="str">
        <f>IFERROR(VLOOKUP(B884,Signal_detection!$A$1:$C$22,3,FALSE),"")</f>
        <v/>
      </c>
      <c r="G884" t="s">
        <v>0</v>
      </c>
    </row>
    <row r="885" spans="1:7" x14ac:dyDescent="0.3">
      <c r="A885" s="5">
        <v>18044126</v>
      </c>
      <c r="B885" t="s">
        <v>1293</v>
      </c>
      <c r="C885" t="s">
        <v>2510</v>
      </c>
      <c r="D885" t="s">
        <v>2510</v>
      </c>
      <c r="E885" t="str">
        <f>IFERROR(VLOOKUP(B885,Signal_detection!$A$1:$C$22,2,FALSE),"")</f>
        <v/>
      </c>
      <c r="F885" t="str">
        <f>IFERROR(VLOOKUP(B885,Signal_detection!$A$1:$C$22,3,FALSE),"")</f>
        <v/>
      </c>
      <c r="G885" t="s">
        <v>125</v>
      </c>
    </row>
    <row r="886" spans="1:7" x14ac:dyDescent="0.3">
      <c r="A886" s="5">
        <v>18046338</v>
      </c>
      <c r="B886" t="s">
        <v>536</v>
      </c>
      <c r="C886" t="s">
        <v>2510</v>
      </c>
      <c r="D886" t="s">
        <v>2510</v>
      </c>
      <c r="E886" t="str">
        <f>IFERROR(VLOOKUP(B886,Signal_detection!$A$1:$C$22,2,FALSE),"")</f>
        <v/>
      </c>
      <c r="F886" t="str">
        <f>IFERROR(VLOOKUP(B886,Signal_detection!$A$1:$C$22,3,FALSE),"")</f>
        <v/>
      </c>
      <c r="G886" t="s">
        <v>0</v>
      </c>
    </row>
    <row r="887" spans="1:7" x14ac:dyDescent="0.3">
      <c r="A887" s="5">
        <v>18046400</v>
      </c>
      <c r="B887" t="s">
        <v>682</v>
      </c>
      <c r="C887" t="s">
        <v>682</v>
      </c>
      <c r="D887" t="s">
        <v>2496</v>
      </c>
      <c r="E887" t="str">
        <f>IFERROR(VLOOKUP(B887,Signal_detection!$A$1:$C$22,2,FALSE),"")</f>
        <v>Possible</v>
      </c>
      <c r="F887" t="str">
        <f>IFERROR(VLOOKUP(B887,Signal_detection!$A$1:$C$22,3,FALSE),"")</f>
        <v>Infection-related event</v>
      </c>
      <c r="G887" t="s">
        <v>0</v>
      </c>
    </row>
    <row r="888" spans="1:7" x14ac:dyDescent="0.3">
      <c r="A888" s="5">
        <v>18047803</v>
      </c>
      <c r="B888" t="s">
        <v>970</v>
      </c>
      <c r="C888" t="s">
        <v>2510</v>
      </c>
      <c r="D888" t="s">
        <v>2510</v>
      </c>
      <c r="E888" t="str">
        <f>IFERROR(VLOOKUP(B888,Signal_detection!$A$1:$C$22,2,FALSE),"")</f>
        <v/>
      </c>
      <c r="F888" t="str">
        <f>IFERROR(VLOOKUP(B888,Signal_detection!$A$1:$C$22,3,FALSE),"")</f>
        <v/>
      </c>
      <c r="G888" t="s">
        <v>0</v>
      </c>
    </row>
    <row r="889" spans="1:7" x14ac:dyDescent="0.3">
      <c r="A889" s="5">
        <v>18051647</v>
      </c>
      <c r="B889" t="s">
        <v>604</v>
      </c>
      <c r="C889" t="s">
        <v>2510</v>
      </c>
      <c r="D889" t="s">
        <v>2510</v>
      </c>
      <c r="E889" t="str">
        <f>IFERROR(VLOOKUP(B889,Signal_detection!$A$1:$C$22,2,FALSE),"")</f>
        <v/>
      </c>
      <c r="F889" t="str">
        <f>IFERROR(VLOOKUP(B889,Signal_detection!$A$1:$C$22,3,FALSE),"")</f>
        <v/>
      </c>
      <c r="G889" t="s">
        <v>0</v>
      </c>
    </row>
    <row r="890" spans="1:7" x14ac:dyDescent="0.3">
      <c r="A890" s="5">
        <v>18053196</v>
      </c>
      <c r="B890" t="s">
        <v>671</v>
      </c>
      <c r="C890" t="s">
        <v>2510</v>
      </c>
      <c r="D890" t="s">
        <v>2510</v>
      </c>
      <c r="E890" t="str">
        <f>IFERROR(VLOOKUP(B890,Signal_detection!$A$1:$C$22,2,FALSE),"")</f>
        <v/>
      </c>
      <c r="F890" t="str">
        <f>IFERROR(VLOOKUP(B890,Signal_detection!$A$1:$C$22,3,FALSE),"")</f>
        <v/>
      </c>
      <c r="G890" t="s">
        <v>0</v>
      </c>
    </row>
    <row r="891" spans="1:7" x14ac:dyDescent="0.3">
      <c r="A891" s="5">
        <v>18055586</v>
      </c>
      <c r="B891" t="s">
        <v>742</v>
      </c>
      <c r="C891" t="s">
        <v>2510</v>
      </c>
      <c r="D891" t="s">
        <v>2510</v>
      </c>
      <c r="E891" t="str">
        <f>IFERROR(VLOOKUP(B891,Signal_detection!$A$1:$C$22,2,FALSE),"")</f>
        <v/>
      </c>
      <c r="F891" t="str">
        <f>IFERROR(VLOOKUP(B891,Signal_detection!$A$1:$C$22,3,FALSE),"")</f>
        <v/>
      </c>
      <c r="G891" t="s">
        <v>125</v>
      </c>
    </row>
    <row r="892" spans="1:7" x14ac:dyDescent="0.3">
      <c r="A892" s="5">
        <v>18057381</v>
      </c>
      <c r="B892" t="s">
        <v>1013</v>
      </c>
      <c r="C892" t="s">
        <v>2510</v>
      </c>
      <c r="D892" t="s">
        <v>2510</v>
      </c>
      <c r="E892" t="str">
        <f>IFERROR(VLOOKUP(B892,Signal_detection!$A$1:$C$22,2,FALSE),"")</f>
        <v/>
      </c>
      <c r="F892" t="str">
        <f>IFERROR(VLOOKUP(B892,Signal_detection!$A$1:$C$22,3,FALSE),"")</f>
        <v/>
      </c>
      <c r="G892" t="s">
        <v>125</v>
      </c>
    </row>
    <row r="893" spans="1:7" x14ac:dyDescent="0.3">
      <c r="A893" s="5">
        <v>18058248</v>
      </c>
      <c r="B893" t="s">
        <v>532</v>
      </c>
      <c r="C893" t="s">
        <v>2510</v>
      </c>
      <c r="D893" t="s">
        <v>2510</v>
      </c>
      <c r="E893" t="str">
        <f>IFERROR(VLOOKUP(B893,Signal_detection!$A$1:$C$22,2,FALSE),"")</f>
        <v/>
      </c>
      <c r="F893" t="str">
        <f>IFERROR(VLOOKUP(B893,Signal_detection!$A$1:$C$22,3,FALSE),"")</f>
        <v/>
      </c>
      <c r="G893" t="s">
        <v>0</v>
      </c>
    </row>
    <row r="894" spans="1:7" x14ac:dyDescent="0.3">
      <c r="A894" s="5">
        <v>18059477</v>
      </c>
      <c r="B894" t="s">
        <v>225</v>
      </c>
      <c r="C894" t="s">
        <v>225</v>
      </c>
      <c r="D894" t="s">
        <v>2500</v>
      </c>
      <c r="E894" t="str">
        <f>IFERROR(VLOOKUP(B894,Signal_detection!$A$1:$C$22,2,FALSE),"")</f>
        <v>Probable</v>
      </c>
      <c r="F894" t="str">
        <f>IFERROR(VLOOKUP(B894,Signal_detection!$A$1:$C$22,3,FALSE),"")</f>
        <v>Hematologic signal</v>
      </c>
      <c r="G894" t="s">
        <v>0</v>
      </c>
    </row>
    <row r="895" spans="1:7" x14ac:dyDescent="0.3">
      <c r="A895" s="5">
        <v>18063526</v>
      </c>
      <c r="B895" t="s">
        <v>561</v>
      </c>
      <c r="C895" t="s">
        <v>2510</v>
      </c>
      <c r="D895" t="s">
        <v>2510</v>
      </c>
      <c r="E895" t="str">
        <f>IFERROR(VLOOKUP(B895,Signal_detection!$A$1:$C$22,2,FALSE),"")</f>
        <v/>
      </c>
      <c r="F895" t="str">
        <f>IFERROR(VLOOKUP(B895,Signal_detection!$A$1:$C$22,3,FALSE),"")</f>
        <v/>
      </c>
      <c r="G895" t="s">
        <v>125</v>
      </c>
    </row>
    <row r="896" spans="1:7" x14ac:dyDescent="0.3">
      <c r="A896" s="5">
        <v>18066750</v>
      </c>
      <c r="B896" t="s">
        <v>1094</v>
      </c>
      <c r="C896" t="s">
        <v>2510</v>
      </c>
      <c r="D896" t="s">
        <v>2510</v>
      </c>
      <c r="E896" t="str">
        <f>IFERROR(VLOOKUP(B896,Signal_detection!$A$1:$C$22,2,FALSE),"")</f>
        <v/>
      </c>
      <c r="F896" t="str">
        <f>IFERROR(VLOOKUP(B896,Signal_detection!$A$1:$C$22,3,FALSE),"")</f>
        <v/>
      </c>
      <c r="G896" t="s">
        <v>125</v>
      </c>
    </row>
    <row r="897" spans="1:7" x14ac:dyDescent="0.3">
      <c r="A897" s="5">
        <v>18076731</v>
      </c>
      <c r="B897" t="s">
        <v>1054</v>
      </c>
      <c r="C897" t="s">
        <v>2510</v>
      </c>
      <c r="D897" t="s">
        <v>2510</v>
      </c>
      <c r="E897" t="str">
        <f>IFERROR(VLOOKUP(B897,Signal_detection!$A$1:$C$22,2,FALSE),"")</f>
        <v/>
      </c>
      <c r="F897" t="str">
        <f>IFERROR(VLOOKUP(B897,Signal_detection!$A$1:$C$22,3,FALSE),"")</f>
        <v/>
      </c>
      <c r="G897" t="s">
        <v>0</v>
      </c>
    </row>
    <row r="898" spans="1:7" x14ac:dyDescent="0.3">
      <c r="A898" s="5">
        <v>18078542</v>
      </c>
      <c r="B898" t="s">
        <v>979</v>
      </c>
      <c r="C898" t="s">
        <v>2510</v>
      </c>
      <c r="D898" t="s">
        <v>2510</v>
      </c>
      <c r="E898" t="str">
        <f>IFERROR(VLOOKUP(B898,Signal_detection!$A$1:$C$22,2,FALSE),"")</f>
        <v/>
      </c>
      <c r="F898" t="str">
        <f>IFERROR(VLOOKUP(B898,Signal_detection!$A$1:$C$22,3,FALSE),"")</f>
        <v/>
      </c>
      <c r="G898" t="s">
        <v>125</v>
      </c>
    </row>
    <row r="899" spans="1:7" x14ac:dyDescent="0.3">
      <c r="A899" s="5">
        <v>18083190</v>
      </c>
      <c r="B899" t="s">
        <v>707</v>
      </c>
      <c r="C899" t="s">
        <v>2510</v>
      </c>
      <c r="D899" t="s">
        <v>2510</v>
      </c>
      <c r="E899" t="str">
        <f>IFERROR(VLOOKUP(B899,Signal_detection!$A$1:$C$22,2,FALSE),"")</f>
        <v/>
      </c>
      <c r="F899" t="str">
        <f>IFERROR(VLOOKUP(B899,Signal_detection!$A$1:$C$22,3,FALSE),"")</f>
        <v/>
      </c>
      <c r="G899" t="s">
        <v>0</v>
      </c>
    </row>
    <row r="900" spans="1:7" x14ac:dyDescent="0.3">
      <c r="A900" s="5">
        <v>18084570</v>
      </c>
      <c r="B900" t="s">
        <v>217</v>
      </c>
      <c r="C900" t="s">
        <v>217</v>
      </c>
      <c r="D900" t="s">
        <v>2502</v>
      </c>
      <c r="E900" t="str">
        <f>IFERROR(VLOOKUP(B900,Signal_detection!$A$1:$C$22,2,FALSE),"")</f>
        <v>Unlikely</v>
      </c>
      <c r="F900" t="str">
        <f>IFERROR(VLOOKUP(B900,Signal_detection!$A$1:$C$22,3,FALSE),"")</f>
        <v>Administrative</v>
      </c>
      <c r="G900" t="s">
        <v>125</v>
      </c>
    </row>
    <row r="901" spans="1:7" x14ac:dyDescent="0.3">
      <c r="A901" s="5">
        <v>18087825</v>
      </c>
      <c r="B901" t="s">
        <v>760</v>
      </c>
      <c r="C901" t="s">
        <v>2510</v>
      </c>
      <c r="D901" t="s">
        <v>2510</v>
      </c>
      <c r="E901" t="str">
        <f>IFERROR(VLOOKUP(B901,Signal_detection!$A$1:$C$22,2,FALSE),"")</f>
        <v/>
      </c>
      <c r="F901" t="str">
        <f>IFERROR(VLOOKUP(B901,Signal_detection!$A$1:$C$22,3,FALSE),"")</f>
        <v/>
      </c>
      <c r="G901" t="s">
        <v>0</v>
      </c>
    </row>
    <row r="902" spans="1:7" x14ac:dyDescent="0.3">
      <c r="A902" s="5">
        <v>18088680</v>
      </c>
      <c r="B902" t="s">
        <v>1417</v>
      </c>
      <c r="C902" t="s">
        <v>2510</v>
      </c>
      <c r="D902" t="s">
        <v>2510</v>
      </c>
      <c r="E902" t="str">
        <f>IFERROR(VLOOKUP(B902,Signal_detection!$A$1:$C$22,2,FALSE),"")</f>
        <v/>
      </c>
      <c r="F902" t="str">
        <f>IFERROR(VLOOKUP(B902,Signal_detection!$A$1:$C$22,3,FALSE),"")</f>
        <v/>
      </c>
      <c r="G902" t="s">
        <v>0</v>
      </c>
    </row>
    <row r="903" spans="1:7" x14ac:dyDescent="0.3">
      <c r="A903" s="5">
        <v>18089935</v>
      </c>
      <c r="B903" t="s">
        <v>310</v>
      </c>
      <c r="C903" t="s">
        <v>2510</v>
      </c>
      <c r="D903" t="s">
        <v>2510</v>
      </c>
      <c r="E903" t="str">
        <f>IFERROR(VLOOKUP(B903,Signal_detection!$A$1:$C$22,2,FALSE),"")</f>
        <v/>
      </c>
      <c r="F903" t="str">
        <f>IFERROR(VLOOKUP(B903,Signal_detection!$A$1:$C$22,3,FALSE),"")</f>
        <v/>
      </c>
      <c r="G903" t="s">
        <v>0</v>
      </c>
    </row>
    <row r="904" spans="1:7" x14ac:dyDescent="0.3">
      <c r="A904" s="5">
        <v>18094443</v>
      </c>
      <c r="B904" t="s">
        <v>817</v>
      </c>
      <c r="C904" t="s">
        <v>2510</v>
      </c>
      <c r="D904" t="s">
        <v>2510</v>
      </c>
      <c r="E904" t="str">
        <f>IFERROR(VLOOKUP(B904,Signal_detection!$A$1:$C$22,2,FALSE),"")</f>
        <v/>
      </c>
      <c r="F904" t="str">
        <f>IFERROR(VLOOKUP(B904,Signal_detection!$A$1:$C$22,3,FALSE),"")</f>
        <v/>
      </c>
      <c r="G904" t="s">
        <v>0</v>
      </c>
    </row>
    <row r="905" spans="1:7" x14ac:dyDescent="0.3">
      <c r="A905" s="5">
        <v>18096058</v>
      </c>
      <c r="B905" t="s">
        <v>428</v>
      </c>
      <c r="C905" t="s">
        <v>2510</v>
      </c>
      <c r="D905" t="s">
        <v>2510</v>
      </c>
      <c r="E905" t="str">
        <f>IFERROR(VLOOKUP(B905,Signal_detection!$A$1:$C$22,2,FALSE),"")</f>
        <v/>
      </c>
      <c r="F905" t="str">
        <f>IFERROR(VLOOKUP(B905,Signal_detection!$A$1:$C$22,3,FALSE),"")</f>
        <v/>
      </c>
      <c r="G905" t="s">
        <v>125</v>
      </c>
    </row>
    <row r="906" spans="1:7" x14ac:dyDescent="0.3">
      <c r="A906" s="5">
        <v>18100618</v>
      </c>
      <c r="B906" t="s">
        <v>2368</v>
      </c>
      <c r="C906" t="s">
        <v>2510</v>
      </c>
      <c r="D906" t="s">
        <v>2510</v>
      </c>
      <c r="E906" t="str">
        <f>IFERROR(VLOOKUP(B906,Signal_detection!$A$1:$C$22,2,FALSE),"")</f>
        <v/>
      </c>
      <c r="F906" t="str">
        <f>IFERROR(VLOOKUP(B906,Signal_detection!$A$1:$C$22,3,FALSE),"")</f>
        <v/>
      </c>
      <c r="G906" t="s">
        <v>125</v>
      </c>
    </row>
    <row r="907" spans="1:7" x14ac:dyDescent="0.3">
      <c r="A907" s="5">
        <v>18106554</v>
      </c>
      <c r="B907" t="s">
        <v>1011</v>
      </c>
      <c r="C907" t="s">
        <v>2510</v>
      </c>
      <c r="D907" t="s">
        <v>2510</v>
      </c>
      <c r="E907" t="str">
        <f>IFERROR(VLOOKUP(B907,Signal_detection!$A$1:$C$22,2,FALSE),"")</f>
        <v/>
      </c>
      <c r="F907" t="str">
        <f>IFERROR(VLOOKUP(B907,Signal_detection!$A$1:$C$22,3,FALSE),"")</f>
        <v/>
      </c>
      <c r="G907" t="s">
        <v>0</v>
      </c>
    </row>
    <row r="908" spans="1:7" x14ac:dyDescent="0.3">
      <c r="A908" s="5">
        <v>18107002</v>
      </c>
      <c r="B908" t="s">
        <v>298</v>
      </c>
      <c r="C908" t="s">
        <v>2510</v>
      </c>
      <c r="D908" t="s">
        <v>2510</v>
      </c>
      <c r="E908" t="str">
        <f>IFERROR(VLOOKUP(B908,Signal_detection!$A$1:$C$22,2,FALSE),"")</f>
        <v/>
      </c>
      <c r="F908" t="str">
        <f>IFERROR(VLOOKUP(B908,Signal_detection!$A$1:$C$22,3,FALSE),"")</f>
        <v/>
      </c>
      <c r="G908" t="s">
        <v>0</v>
      </c>
    </row>
    <row r="909" spans="1:7" x14ac:dyDescent="0.3">
      <c r="A909" s="5">
        <v>18108406</v>
      </c>
      <c r="B909" t="s">
        <v>1360</v>
      </c>
      <c r="C909" t="s">
        <v>2510</v>
      </c>
      <c r="D909" t="s">
        <v>2510</v>
      </c>
      <c r="E909" t="str">
        <f>IFERROR(VLOOKUP(B909,Signal_detection!$A$1:$C$22,2,FALSE),"")</f>
        <v/>
      </c>
      <c r="F909" t="str">
        <f>IFERROR(VLOOKUP(B909,Signal_detection!$A$1:$C$22,3,FALSE),"")</f>
        <v/>
      </c>
      <c r="G909" t="s">
        <v>0</v>
      </c>
    </row>
    <row r="910" spans="1:7" x14ac:dyDescent="0.3">
      <c r="A910" s="5">
        <v>18112560</v>
      </c>
      <c r="B910" t="s">
        <v>126</v>
      </c>
      <c r="C910" t="s">
        <v>126</v>
      </c>
      <c r="D910" t="s">
        <v>2497</v>
      </c>
      <c r="E910" t="str">
        <f>IFERROR(VLOOKUP(B910,Signal_detection!$A$1:$C$22,2,FALSE),"")</f>
        <v>Unlikely</v>
      </c>
      <c r="F910" t="str">
        <f>IFERROR(VLOOKUP(B910,Signal_detection!$A$1:$C$22,3,FALSE),"")</f>
        <v>Non-ADR</v>
      </c>
      <c r="G910" t="s">
        <v>125</v>
      </c>
    </row>
    <row r="911" spans="1:7" x14ac:dyDescent="0.3">
      <c r="A911" s="5">
        <v>18114747</v>
      </c>
      <c r="B911" t="s">
        <v>817</v>
      </c>
      <c r="C911" t="s">
        <v>2510</v>
      </c>
      <c r="D911" t="s">
        <v>2510</v>
      </c>
      <c r="E911" t="str">
        <f>IFERROR(VLOOKUP(B911,Signal_detection!$A$1:$C$22,2,FALSE),"")</f>
        <v/>
      </c>
      <c r="F911" t="str">
        <f>IFERROR(VLOOKUP(B911,Signal_detection!$A$1:$C$22,3,FALSE),"")</f>
        <v/>
      </c>
      <c r="G911" t="s">
        <v>0</v>
      </c>
    </row>
    <row r="912" spans="1:7" x14ac:dyDescent="0.3">
      <c r="A912" s="5">
        <v>18114802</v>
      </c>
      <c r="B912" t="s">
        <v>1038</v>
      </c>
      <c r="C912" t="s">
        <v>2510</v>
      </c>
      <c r="D912" t="s">
        <v>2510</v>
      </c>
      <c r="E912" t="str">
        <f>IFERROR(VLOOKUP(B912,Signal_detection!$A$1:$C$22,2,FALSE),"")</f>
        <v/>
      </c>
      <c r="F912" t="str">
        <f>IFERROR(VLOOKUP(B912,Signal_detection!$A$1:$C$22,3,FALSE),"")</f>
        <v/>
      </c>
      <c r="G912" t="s">
        <v>0</v>
      </c>
    </row>
    <row r="913" spans="1:7" x14ac:dyDescent="0.3">
      <c r="A913" s="5">
        <v>18117614</v>
      </c>
      <c r="B913" t="s">
        <v>463</v>
      </c>
      <c r="C913" t="s">
        <v>2510</v>
      </c>
      <c r="D913" t="s">
        <v>2510</v>
      </c>
      <c r="E913" t="str">
        <f>IFERROR(VLOOKUP(B913,Signal_detection!$A$1:$C$22,2,FALSE),"")</f>
        <v/>
      </c>
      <c r="F913" t="str">
        <f>IFERROR(VLOOKUP(B913,Signal_detection!$A$1:$C$22,3,FALSE),"")</f>
        <v/>
      </c>
      <c r="G913" t="s">
        <v>0</v>
      </c>
    </row>
    <row r="914" spans="1:7" x14ac:dyDescent="0.3">
      <c r="A914" s="5">
        <v>18119045</v>
      </c>
      <c r="B914" t="s">
        <v>604</v>
      </c>
      <c r="C914" t="s">
        <v>2510</v>
      </c>
      <c r="D914" t="s">
        <v>2510</v>
      </c>
      <c r="E914" t="str">
        <f>IFERROR(VLOOKUP(B914,Signal_detection!$A$1:$C$22,2,FALSE),"")</f>
        <v/>
      </c>
      <c r="F914" t="str">
        <f>IFERROR(VLOOKUP(B914,Signal_detection!$A$1:$C$22,3,FALSE),"")</f>
        <v/>
      </c>
      <c r="G914" t="s">
        <v>0</v>
      </c>
    </row>
    <row r="915" spans="1:7" x14ac:dyDescent="0.3">
      <c r="A915" s="5">
        <v>18119911</v>
      </c>
      <c r="B915" t="s">
        <v>206</v>
      </c>
      <c r="C915" t="s">
        <v>206</v>
      </c>
      <c r="D915" t="s">
        <v>2496</v>
      </c>
      <c r="E915" t="str">
        <f>IFERROR(VLOOKUP(B915,Signal_detection!$A$1:$C$22,2,FALSE),"")</f>
        <v>Probable</v>
      </c>
      <c r="F915" t="str">
        <f>IFERROR(VLOOKUP(B915,Signal_detection!$A$1:$C$22,3,FALSE),"")</f>
        <v>Infection signal</v>
      </c>
      <c r="G915" t="s">
        <v>0</v>
      </c>
    </row>
    <row r="916" spans="1:7" x14ac:dyDescent="0.3">
      <c r="A916" s="5">
        <v>18121846</v>
      </c>
      <c r="B916" t="s">
        <v>526</v>
      </c>
      <c r="C916" t="s">
        <v>2510</v>
      </c>
      <c r="D916" t="s">
        <v>2510</v>
      </c>
      <c r="E916" t="str">
        <f>IFERROR(VLOOKUP(B916,Signal_detection!$A$1:$C$22,2,FALSE),"")</f>
        <v/>
      </c>
      <c r="F916" t="str">
        <f>IFERROR(VLOOKUP(B916,Signal_detection!$A$1:$C$22,3,FALSE),"")</f>
        <v/>
      </c>
      <c r="G916" t="s">
        <v>125</v>
      </c>
    </row>
    <row r="917" spans="1:7" x14ac:dyDescent="0.3">
      <c r="A917" s="5">
        <v>18123460</v>
      </c>
      <c r="B917" t="s">
        <v>235</v>
      </c>
      <c r="C917" t="s">
        <v>2510</v>
      </c>
      <c r="D917" t="s">
        <v>2510</v>
      </c>
      <c r="E917" t="str">
        <f>IFERROR(VLOOKUP(B917,Signal_detection!$A$1:$C$22,2,FALSE),"")</f>
        <v/>
      </c>
      <c r="F917" t="str">
        <f>IFERROR(VLOOKUP(B917,Signal_detection!$A$1:$C$22,3,FALSE),"")</f>
        <v/>
      </c>
      <c r="G917" t="s">
        <v>0</v>
      </c>
    </row>
    <row r="918" spans="1:7" x14ac:dyDescent="0.3">
      <c r="A918" s="5">
        <v>18130429</v>
      </c>
      <c r="B918" t="s">
        <v>945</v>
      </c>
      <c r="C918" t="s">
        <v>2510</v>
      </c>
      <c r="D918" t="s">
        <v>2510</v>
      </c>
      <c r="E918" t="str">
        <f>IFERROR(VLOOKUP(B918,Signal_detection!$A$1:$C$22,2,FALSE),"")</f>
        <v/>
      </c>
      <c r="F918" t="str">
        <f>IFERROR(VLOOKUP(B918,Signal_detection!$A$1:$C$22,3,FALSE),"")</f>
        <v/>
      </c>
      <c r="G918" t="s">
        <v>0</v>
      </c>
    </row>
    <row r="919" spans="1:7" x14ac:dyDescent="0.3">
      <c r="A919" s="5">
        <v>18135414</v>
      </c>
      <c r="B919" t="s">
        <v>235</v>
      </c>
      <c r="C919" t="s">
        <v>2510</v>
      </c>
      <c r="D919" t="s">
        <v>2510</v>
      </c>
      <c r="E919" t="str">
        <f>IFERROR(VLOOKUP(B919,Signal_detection!$A$1:$C$22,2,FALSE),"")</f>
        <v/>
      </c>
      <c r="F919" t="str">
        <f>IFERROR(VLOOKUP(B919,Signal_detection!$A$1:$C$22,3,FALSE),"")</f>
        <v/>
      </c>
      <c r="G919" t="s">
        <v>125</v>
      </c>
    </row>
    <row r="920" spans="1:7" x14ac:dyDescent="0.3">
      <c r="A920" s="5">
        <v>18136443</v>
      </c>
      <c r="B920" t="s">
        <v>756</v>
      </c>
      <c r="C920" t="s">
        <v>756</v>
      </c>
      <c r="D920" t="s">
        <v>2506</v>
      </c>
      <c r="E920" t="str">
        <f>IFERROR(VLOOKUP(B920,Signal_detection!$A$1:$C$22,2,FALSE),"")</f>
        <v/>
      </c>
      <c r="F920" t="str">
        <f>IFERROR(VLOOKUP(B920,Signal_detection!$A$1:$C$22,3,FALSE),"")</f>
        <v/>
      </c>
      <c r="G920" t="s">
        <v>0</v>
      </c>
    </row>
    <row r="921" spans="1:7" x14ac:dyDescent="0.3">
      <c r="A921" s="5">
        <v>18139071</v>
      </c>
      <c r="B921" t="s">
        <v>1038</v>
      </c>
      <c r="C921" t="s">
        <v>2510</v>
      </c>
      <c r="D921" t="s">
        <v>2510</v>
      </c>
      <c r="E921" t="str">
        <f>IFERROR(VLOOKUP(B921,Signal_detection!$A$1:$C$22,2,FALSE),"")</f>
        <v/>
      </c>
      <c r="F921" t="str">
        <f>IFERROR(VLOOKUP(B921,Signal_detection!$A$1:$C$22,3,FALSE),"")</f>
        <v/>
      </c>
      <c r="G921" t="s">
        <v>125</v>
      </c>
    </row>
    <row r="922" spans="1:7" x14ac:dyDescent="0.3">
      <c r="A922" s="5">
        <v>18139478</v>
      </c>
      <c r="B922" t="s">
        <v>351</v>
      </c>
      <c r="C922" t="s">
        <v>2510</v>
      </c>
      <c r="D922" t="s">
        <v>2510</v>
      </c>
      <c r="E922" t="str">
        <f>IFERROR(VLOOKUP(B922,Signal_detection!$A$1:$C$22,2,FALSE),"")</f>
        <v/>
      </c>
      <c r="F922" t="str">
        <f>IFERROR(VLOOKUP(B922,Signal_detection!$A$1:$C$22,3,FALSE),"")</f>
        <v/>
      </c>
      <c r="G922" t="s">
        <v>0</v>
      </c>
    </row>
    <row r="923" spans="1:7" x14ac:dyDescent="0.3">
      <c r="A923" s="5">
        <v>18141745</v>
      </c>
      <c r="B923" t="s">
        <v>1393</v>
      </c>
      <c r="C923" t="s">
        <v>2510</v>
      </c>
      <c r="D923" t="s">
        <v>2510</v>
      </c>
      <c r="E923" t="str">
        <f>IFERROR(VLOOKUP(B923,Signal_detection!$A$1:$C$22,2,FALSE),"")</f>
        <v/>
      </c>
      <c r="F923" t="str">
        <f>IFERROR(VLOOKUP(B923,Signal_detection!$A$1:$C$22,3,FALSE),"")</f>
        <v/>
      </c>
      <c r="G923" t="s">
        <v>0</v>
      </c>
    </row>
    <row r="924" spans="1:7" x14ac:dyDescent="0.3">
      <c r="A924" s="5">
        <v>18145294</v>
      </c>
      <c r="B924" t="s">
        <v>50</v>
      </c>
      <c r="C924" t="s">
        <v>50</v>
      </c>
      <c r="D924" t="s">
        <v>2497</v>
      </c>
      <c r="E924" t="str">
        <f>IFERROR(VLOOKUP(B924,Signal_detection!$A$1:$C$22,2,FALSE),"")</f>
        <v/>
      </c>
      <c r="F924" t="str">
        <f>IFERROR(VLOOKUP(B924,Signal_detection!$A$1:$C$22,3,FALSE),"")</f>
        <v/>
      </c>
      <c r="G924" t="s">
        <v>0</v>
      </c>
    </row>
    <row r="925" spans="1:7" x14ac:dyDescent="0.3">
      <c r="A925" s="5">
        <v>18146455</v>
      </c>
      <c r="B925" t="s">
        <v>1170</v>
      </c>
      <c r="C925" t="s">
        <v>2510</v>
      </c>
      <c r="D925" t="s">
        <v>2510</v>
      </c>
      <c r="E925" t="str">
        <f>IFERROR(VLOOKUP(B925,Signal_detection!$A$1:$C$22,2,FALSE),"")</f>
        <v/>
      </c>
      <c r="F925" t="str">
        <f>IFERROR(VLOOKUP(B925,Signal_detection!$A$1:$C$22,3,FALSE),"")</f>
        <v/>
      </c>
      <c r="G925" t="s">
        <v>0</v>
      </c>
    </row>
    <row r="926" spans="1:7" x14ac:dyDescent="0.3">
      <c r="A926" s="5">
        <v>18147456</v>
      </c>
      <c r="B926" t="s">
        <v>896</v>
      </c>
      <c r="C926" t="s">
        <v>896</v>
      </c>
      <c r="D926" t="s">
        <v>2499</v>
      </c>
      <c r="E926" t="str">
        <f>IFERROR(VLOOKUP(B926,Signal_detection!$A$1:$C$22,2,FALSE),"")</f>
        <v>Possible</v>
      </c>
      <c r="F926" t="str">
        <f>IFERROR(VLOOKUP(B926,Signal_detection!$A$1:$C$22,3,FALSE),"")</f>
        <v>Skin ADR</v>
      </c>
      <c r="G926" t="s">
        <v>125</v>
      </c>
    </row>
    <row r="927" spans="1:7" x14ac:dyDescent="0.3">
      <c r="A927" s="5">
        <v>18149522</v>
      </c>
      <c r="B927" t="s">
        <v>2388</v>
      </c>
      <c r="C927" t="s">
        <v>2510</v>
      </c>
      <c r="D927" t="s">
        <v>2510</v>
      </c>
      <c r="E927" t="str">
        <f>IFERROR(VLOOKUP(B927,Signal_detection!$A$1:$C$22,2,FALSE),"")</f>
        <v/>
      </c>
      <c r="F927" t="str">
        <f>IFERROR(VLOOKUP(B927,Signal_detection!$A$1:$C$22,3,FALSE),"")</f>
        <v/>
      </c>
      <c r="G927" t="s">
        <v>0</v>
      </c>
    </row>
    <row r="928" spans="1:7" x14ac:dyDescent="0.3">
      <c r="A928" s="5">
        <v>18152671</v>
      </c>
      <c r="B928" t="s">
        <v>1442</v>
      </c>
      <c r="C928" t="s">
        <v>2510</v>
      </c>
      <c r="D928" t="s">
        <v>2510</v>
      </c>
      <c r="E928" t="str">
        <f>IFERROR(VLOOKUP(B928,Signal_detection!$A$1:$C$22,2,FALSE),"")</f>
        <v/>
      </c>
      <c r="F928" t="str">
        <f>IFERROR(VLOOKUP(B928,Signal_detection!$A$1:$C$22,3,FALSE),"")</f>
        <v/>
      </c>
      <c r="G928" t="s">
        <v>0</v>
      </c>
    </row>
    <row r="929" spans="1:7" x14ac:dyDescent="0.3">
      <c r="A929" s="5">
        <v>18153066</v>
      </c>
      <c r="B929" t="s">
        <v>911</v>
      </c>
      <c r="C929" t="s">
        <v>2510</v>
      </c>
      <c r="D929" t="s">
        <v>2510</v>
      </c>
      <c r="E929" t="str">
        <f>IFERROR(VLOOKUP(B929,Signal_detection!$A$1:$C$22,2,FALSE),"")</f>
        <v/>
      </c>
      <c r="F929" t="str">
        <f>IFERROR(VLOOKUP(B929,Signal_detection!$A$1:$C$22,3,FALSE),"")</f>
        <v/>
      </c>
      <c r="G929" t="s">
        <v>0</v>
      </c>
    </row>
    <row r="930" spans="1:7" x14ac:dyDescent="0.3">
      <c r="A930" s="5">
        <v>18162860</v>
      </c>
      <c r="B930" t="s">
        <v>710</v>
      </c>
      <c r="C930" t="s">
        <v>2510</v>
      </c>
      <c r="D930" t="s">
        <v>2510</v>
      </c>
      <c r="E930" t="str">
        <f>IFERROR(VLOOKUP(B930,Signal_detection!$A$1:$C$22,2,FALSE),"")</f>
        <v/>
      </c>
      <c r="F930" t="str">
        <f>IFERROR(VLOOKUP(B930,Signal_detection!$A$1:$C$22,3,FALSE),"")</f>
        <v/>
      </c>
      <c r="G930" t="s">
        <v>0</v>
      </c>
    </row>
    <row r="931" spans="1:7" x14ac:dyDescent="0.3">
      <c r="A931" s="5">
        <v>18163182</v>
      </c>
      <c r="B931" t="s">
        <v>1027</v>
      </c>
      <c r="C931" t="s">
        <v>2510</v>
      </c>
      <c r="D931" t="s">
        <v>2510</v>
      </c>
      <c r="E931" t="str">
        <f>IFERROR(VLOOKUP(B931,Signal_detection!$A$1:$C$22,2,FALSE),"")</f>
        <v/>
      </c>
      <c r="F931" t="str">
        <f>IFERROR(VLOOKUP(B931,Signal_detection!$A$1:$C$22,3,FALSE),"")</f>
        <v/>
      </c>
      <c r="G931" t="s">
        <v>0</v>
      </c>
    </row>
    <row r="932" spans="1:7" x14ac:dyDescent="0.3">
      <c r="A932" s="5">
        <v>18172344</v>
      </c>
      <c r="B932" t="s">
        <v>654</v>
      </c>
      <c r="C932" t="s">
        <v>2510</v>
      </c>
      <c r="D932" t="s">
        <v>2510</v>
      </c>
      <c r="E932" t="str">
        <f>IFERROR(VLOOKUP(B932,Signal_detection!$A$1:$C$22,2,FALSE),"")</f>
        <v/>
      </c>
      <c r="F932" t="str">
        <f>IFERROR(VLOOKUP(B932,Signal_detection!$A$1:$C$22,3,FALSE),"")</f>
        <v/>
      </c>
      <c r="G932" t="s">
        <v>0</v>
      </c>
    </row>
    <row r="933" spans="1:7" x14ac:dyDescent="0.3">
      <c r="A933" s="5">
        <v>18174773</v>
      </c>
      <c r="B933" t="s">
        <v>2394</v>
      </c>
      <c r="C933" t="s">
        <v>2510</v>
      </c>
      <c r="D933" t="s">
        <v>2510</v>
      </c>
      <c r="E933" t="str">
        <f>IFERROR(VLOOKUP(B933,Signal_detection!$A$1:$C$22,2,FALSE),"")</f>
        <v/>
      </c>
      <c r="F933" t="str">
        <f>IFERROR(VLOOKUP(B933,Signal_detection!$A$1:$C$22,3,FALSE),"")</f>
        <v/>
      </c>
      <c r="G933" t="s">
        <v>125</v>
      </c>
    </row>
    <row r="934" spans="1:7" x14ac:dyDescent="0.3">
      <c r="A934" s="5">
        <v>18181485</v>
      </c>
      <c r="B934" t="s">
        <v>923</v>
      </c>
      <c r="C934" t="s">
        <v>2510</v>
      </c>
      <c r="D934" t="s">
        <v>2510</v>
      </c>
      <c r="E934" t="str">
        <f>IFERROR(VLOOKUP(B934,Signal_detection!$A$1:$C$22,2,FALSE),"")</f>
        <v/>
      </c>
      <c r="F934" t="str">
        <f>IFERROR(VLOOKUP(B934,Signal_detection!$A$1:$C$22,3,FALSE),"")</f>
        <v/>
      </c>
      <c r="G934" t="s">
        <v>0</v>
      </c>
    </row>
    <row r="935" spans="1:7" x14ac:dyDescent="0.3">
      <c r="A935" s="5">
        <v>18183912</v>
      </c>
      <c r="B935" t="s">
        <v>682</v>
      </c>
      <c r="C935" t="s">
        <v>682</v>
      </c>
      <c r="D935" t="s">
        <v>2496</v>
      </c>
      <c r="E935" t="str">
        <f>IFERROR(VLOOKUP(B935,Signal_detection!$A$1:$C$22,2,FALSE),"")</f>
        <v>Possible</v>
      </c>
      <c r="F935" t="str">
        <f>IFERROR(VLOOKUP(B935,Signal_detection!$A$1:$C$22,3,FALSE),"")</f>
        <v>Infection-related event</v>
      </c>
      <c r="G935" t="s">
        <v>125</v>
      </c>
    </row>
    <row r="936" spans="1:7" x14ac:dyDescent="0.3">
      <c r="A936" s="5">
        <v>18186196</v>
      </c>
      <c r="B936" t="s">
        <v>235</v>
      </c>
      <c r="C936" t="s">
        <v>2510</v>
      </c>
      <c r="D936" t="s">
        <v>2510</v>
      </c>
      <c r="E936" t="str">
        <f>IFERROR(VLOOKUP(B936,Signal_detection!$A$1:$C$22,2,FALSE),"")</f>
        <v/>
      </c>
      <c r="F936" t="str">
        <f>IFERROR(VLOOKUP(B936,Signal_detection!$A$1:$C$22,3,FALSE),"")</f>
        <v/>
      </c>
      <c r="G936" t="s">
        <v>0</v>
      </c>
    </row>
    <row r="937" spans="1:7" x14ac:dyDescent="0.3">
      <c r="A937" s="5">
        <v>18187079</v>
      </c>
      <c r="B937" t="s">
        <v>1140</v>
      </c>
      <c r="C937" t="s">
        <v>2510</v>
      </c>
      <c r="D937" t="s">
        <v>2510</v>
      </c>
      <c r="E937" t="str">
        <f>IFERROR(VLOOKUP(B937,Signal_detection!$A$1:$C$22,2,FALSE),"")</f>
        <v/>
      </c>
      <c r="F937" t="str">
        <f>IFERROR(VLOOKUP(B937,Signal_detection!$A$1:$C$22,3,FALSE),"")</f>
        <v/>
      </c>
      <c r="G937" t="s">
        <v>0</v>
      </c>
    </row>
    <row r="938" spans="1:7" x14ac:dyDescent="0.3">
      <c r="A938" s="5">
        <v>18191420</v>
      </c>
      <c r="B938" t="s">
        <v>2400</v>
      </c>
      <c r="C938" t="s">
        <v>2510</v>
      </c>
      <c r="D938" t="s">
        <v>2510</v>
      </c>
      <c r="E938" t="str">
        <f>IFERROR(VLOOKUP(B938,Signal_detection!$A$1:$C$22,2,FALSE),"")</f>
        <v/>
      </c>
      <c r="F938" t="str">
        <f>IFERROR(VLOOKUP(B938,Signal_detection!$A$1:$C$22,3,FALSE),"")</f>
        <v/>
      </c>
      <c r="G938" t="s">
        <v>0</v>
      </c>
    </row>
    <row r="939" spans="1:7" x14ac:dyDescent="0.3">
      <c r="A939" s="5">
        <v>18198148</v>
      </c>
      <c r="B939" t="s">
        <v>2402</v>
      </c>
      <c r="C939" t="s">
        <v>2510</v>
      </c>
      <c r="D939" t="s">
        <v>2510</v>
      </c>
      <c r="E939" t="str">
        <f>IFERROR(VLOOKUP(B939,Signal_detection!$A$1:$C$22,2,FALSE),"")</f>
        <v/>
      </c>
      <c r="F939" t="str">
        <f>IFERROR(VLOOKUP(B939,Signal_detection!$A$1:$C$22,3,FALSE),"")</f>
        <v/>
      </c>
      <c r="G939" t="s">
        <v>0</v>
      </c>
    </row>
    <row r="940" spans="1:7" x14ac:dyDescent="0.3">
      <c r="A940" s="5">
        <v>18203511</v>
      </c>
      <c r="B940" t="s">
        <v>206</v>
      </c>
      <c r="C940" t="s">
        <v>206</v>
      </c>
      <c r="D940" t="s">
        <v>2496</v>
      </c>
      <c r="E940" t="str">
        <f>IFERROR(VLOOKUP(B940,Signal_detection!$A$1:$C$22,2,FALSE),"")</f>
        <v>Probable</v>
      </c>
      <c r="F940" t="str">
        <f>IFERROR(VLOOKUP(B940,Signal_detection!$A$1:$C$22,3,FALSE),"")</f>
        <v>Infection signal</v>
      </c>
      <c r="G940" t="s">
        <v>0</v>
      </c>
    </row>
    <row r="941" spans="1:7" x14ac:dyDescent="0.3">
      <c r="A941" s="5">
        <v>18219065</v>
      </c>
      <c r="B941" t="s">
        <v>1012</v>
      </c>
      <c r="C941" t="s">
        <v>2510</v>
      </c>
      <c r="D941" t="s">
        <v>2510</v>
      </c>
      <c r="E941" t="str">
        <f>IFERROR(VLOOKUP(B941,Signal_detection!$A$1:$C$22,2,FALSE),"")</f>
        <v/>
      </c>
      <c r="F941" t="str">
        <f>IFERROR(VLOOKUP(B941,Signal_detection!$A$1:$C$22,3,FALSE),"")</f>
        <v/>
      </c>
      <c r="G941" t="s">
        <v>0</v>
      </c>
    </row>
    <row r="942" spans="1:7" x14ac:dyDescent="0.3">
      <c r="A942" s="5">
        <v>18223122</v>
      </c>
      <c r="B942" t="s">
        <v>882</v>
      </c>
      <c r="C942" t="s">
        <v>2510</v>
      </c>
      <c r="D942" t="s">
        <v>2510</v>
      </c>
      <c r="E942" t="str">
        <f>IFERROR(VLOOKUP(B942,Signal_detection!$A$1:$C$22,2,FALSE),"")</f>
        <v/>
      </c>
      <c r="F942" t="str">
        <f>IFERROR(VLOOKUP(B942,Signal_detection!$A$1:$C$22,3,FALSE),"")</f>
        <v/>
      </c>
      <c r="G942" t="s">
        <v>0</v>
      </c>
    </row>
    <row r="943" spans="1:7" x14ac:dyDescent="0.3">
      <c r="A943" s="5">
        <v>18223656</v>
      </c>
      <c r="B943" t="s">
        <v>647</v>
      </c>
      <c r="C943" t="s">
        <v>2510</v>
      </c>
      <c r="D943" t="s">
        <v>2510</v>
      </c>
      <c r="E943" t="str">
        <f>IFERROR(VLOOKUP(B943,Signal_detection!$A$1:$C$22,2,FALSE),"")</f>
        <v/>
      </c>
      <c r="F943" t="str">
        <f>IFERROR(VLOOKUP(B943,Signal_detection!$A$1:$C$22,3,FALSE),"")</f>
        <v/>
      </c>
      <c r="G943" t="s">
        <v>0</v>
      </c>
    </row>
    <row r="944" spans="1:7" x14ac:dyDescent="0.3">
      <c r="A944" s="5">
        <v>18224165</v>
      </c>
      <c r="B944" t="s">
        <v>1369</v>
      </c>
      <c r="C944" t="s">
        <v>2510</v>
      </c>
      <c r="D944" t="s">
        <v>2510</v>
      </c>
      <c r="E944" t="str">
        <f>IFERROR(VLOOKUP(B944,Signal_detection!$A$1:$C$22,2,FALSE),"")</f>
        <v/>
      </c>
      <c r="F944" t="str">
        <f>IFERROR(VLOOKUP(B944,Signal_detection!$A$1:$C$22,3,FALSE),"")</f>
        <v/>
      </c>
      <c r="G944" t="s">
        <v>0</v>
      </c>
    </row>
    <row r="945" spans="1:7" x14ac:dyDescent="0.3">
      <c r="A945" s="5">
        <v>18233477</v>
      </c>
      <c r="B945" t="s">
        <v>1279</v>
      </c>
      <c r="C945" t="s">
        <v>2510</v>
      </c>
      <c r="D945" t="s">
        <v>2510</v>
      </c>
      <c r="E945" t="str">
        <f>IFERROR(VLOOKUP(B945,Signal_detection!$A$1:$C$22,2,FALSE),"")</f>
        <v/>
      </c>
      <c r="F945" t="str">
        <f>IFERROR(VLOOKUP(B945,Signal_detection!$A$1:$C$22,3,FALSE),"")</f>
        <v/>
      </c>
      <c r="G945" t="s">
        <v>0</v>
      </c>
    </row>
    <row r="946" spans="1:7" x14ac:dyDescent="0.3">
      <c r="A946" s="5">
        <v>18234810</v>
      </c>
      <c r="B946" t="s">
        <v>1104</v>
      </c>
      <c r="C946" t="s">
        <v>1104</v>
      </c>
      <c r="D946" t="s">
        <v>2497</v>
      </c>
      <c r="E946" t="str">
        <f>IFERROR(VLOOKUP(B946,Signal_detection!$A$1:$C$22,2,FALSE),"")</f>
        <v>Unlikely</v>
      </c>
      <c r="F946" t="str">
        <f>IFERROR(VLOOKUP(B946,Signal_detection!$A$1:$C$22,3,FALSE),"")</f>
        <v>Non-case</v>
      </c>
      <c r="G946" t="s">
        <v>125</v>
      </c>
    </row>
    <row r="947" spans="1:7" x14ac:dyDescent="0.3">
      <c r="A947" s="5">
        <v>18248477</v>
      </c>
      <c r="B947" t="s">
        <v>378</v>
      </c>
      <c r="C947" t="s">
        <v>378</v>
      </c>
      <c r="D947" t="s">
        <v>2503</v>
      </c>
      <c r="E947" t="str">
        <f>IFERROR(VLOOKUP(B947,Signal_detection!$A$1:$C$22,2,FALSE),"")</f>
        <v>Probable</v>
      </c>
      <c r="F947" t="str">
        <f>IFERROR(VLOOKUP(B947,Signal_detection!$A$1:$C$22,3,FALSE),"")</f>
        <v>Neurological signal</v>
      </c>
      <c r="G947" t="s">
        <v>0</v>
      </c>
    </row>
    <row r="948" spans="1:7" x14ac:dyDescent="0.3">
      <c r="A948" s="5">
        <v>18251112</v>
      </c>
      <c r="B948" t="s">
        <v>267</v>
      </c>
      <c r="C948" t="s">
        <v>2510</v>
      </c>
      <c r="D948" t="s">
        <v>2510</v>
      </c>
      <c r="E948" t="str">
        <f>IFERROR(VLOOKUP(B948,Signal_detection!$A$1:$C$22,2,FALSE),"")</f>
        <v/>
      </c>
      <c r="F948" t="str">
        <f>IFERROR(VLOOKUP(B948,Signal_detection!$A$1:$C$22,3,FALSE),"")</f>
        <v/>
      </c>
      <c r="G948" t="s">
        <v>125</v>
      </c>
    </row>
    <row r="949" spans="1:7" x14ac:dyDescent="0.3">
      <c r="A949" s="5">
        <v>18251231</v>
      </c>
      <c r="B949" t="s">
        <v>432</v>
      </c>
      <c r="C949" t="s">
        <v>2510</v>
      </c>
      <c r="D949" t="s">
        <v>2510</v>
      </c>
      <c r="E949" t="str">
        <f>IFERROR(VLOOKUP(B949,Signal_detection!$A$1:$C$22,2,FALSE),"")</f>
        <v/>
      </c>
      <c r="F949" t="str">
        <f>IFERROR(VLOOKUP(B949,Signal_detection!$A$1:$C$22,3,FALSE),"")</f>
        <v/>
      </c>
      <c r="G949" t="s">
        <v>0</v>
      </c>
    </row>
    <row r="950" spans="1:7" x14ac:dyDescent="0.3">
      <c r="A950" s="5">
        <v>18253466</v>
      </c>
      <c r="B950" t="s">
        <v>1363</v>
      </c>
      <c r="C950" t="s">
        <v>2510</v>
      </c>
      <c r="D950" t="s">
        <v>2510</v>
      </c>
      <c r="E950" t="str">
        <f>IFERROR(VLOOKUP(B950,Signal_detection!$A$1:$C$22,2,FALSE),"")</f>
        <v/>
      </c>
      <c r="F950" t="str">
        <f>IFERROR(VLOOKUP(B950,Signal_detection!$A$1:$C$22,3,FALSE),"")</f>
        <v/>
      </c>
      <c r="G950" t="s">
        <v>0</v>
      </c>
    </row>
    <row r="951" spans="1:7" x14ac:dyDescent="0.3">
      <c r="A951" s="5">
        <v>18254163</v>
      </c>
      <c r="B951" t="s">
        <v>430</v>
      </c>
      <c r="C951" t="s">
        <v>2510</v>
      </c>
      <c r="D951" t="s">
        <v>2510</v>
      </c>
      <c r="E951" t="str">
        <f>IFERROR(VLOOKUP(B951,Signal_detection!$A$1:$C$22,2,FALSE),"")</f>
        <v/>
      </c>
      <c r="F951" t="str">
        <f>IFERROR(VLOOKUP(B951,Signal_detection!$A$1:$C$22,3,FALSE),"")</f>
        <v/>
      </c>
      <c r="G951" t="s">
        <v>0</v>
      </c>
    </row>
    <row r="952" spans="1:7" x14ac:dyDescent="0.3">
      <c r="A952" s="5">
        <v>18258116</v>
      </c>
      <c r="B952" t="s">
        <v>206</v>
      </c>
      <c r="C952" t="s">
        <v>206</v>
      </c>
      <c r="D952" t="s">
        <v>2496</v>
      </c>
      <c r="E952" t="str">
        <f>IFERROR(VLOOKUP(B952,Signal_detection!$A$1:$C$22,2,FALSE),"")</f>
        <v>Probable</v>
      </c>
      <c r="F952" t="str">
        <f>IFERROR(VLOOKUP(B952,Signal_detection!$A$1:$C$22,3,FALSE),"")</f>
        <v>Infection signal</v>
      </c>
      <c r="G952" t="s">
        <v>0</v>
      </c>
    </row>
    <row r="953" spans="1:7" x14ac:dyDescent="0.3">
      <c r="A953" s="5">
        <v>18258616</v>
      </c>
      <c r="B953" t="s">
        <v>1572</v>
      </c>
      <c r="C953" t="s">
        <v>2510</v>
      </c>
      <c r="D953" t="s">
        <v>2510</v>
      </c>
      <c r="E953" t="str">
        <f>IFERROR(VLOOKUP(B953,Signal_detection!$A$1:$C$22,2,FALSE),"")</f>
        <v/>
      </c>
      <c r="F953" t="str">
        <f>IFERROR(VLOOKUP(B953,Signal_detection!$A$1:$C$22,3,FALSE),"")</f>
        <v/>
      </c>
      <c r="G953" t="s">
        <v>0</v>
      </c>
    </row>
    <row r="954" spans="1:7" x14ac:dyDescent="0.3">
      <c r="A954" s="5">
        <v>18258729</v>
      </c>
      <c r="B954" t="s">
        <v>1056</v>
      </c>
      <c r="C954" t="s">
        <v>2510</v>
      </c>
      <c r="D954" t="s">
        <v>2510</v>
      </c>
      <c r="E954" t="str">
        <f>IFERROR(VLOOKUP(B954,Signal_detection!$A$1:$C$22,2,FALSE),"")</f>
        <v/>
      </c>
      <c r="F954" t="str">
        <f>IFERROR(VLOOKUP(B954,Signal_detection!$A$1:$C$22,3,FALSE),"")</f>
        <v/>
      </c>
      <c r="G954" t="s">
        <v>0</v>
      </c>
    </row>
    <row r="955" spans="1:7" x14ac:dyDescent="0.3">
      <c r="A955" s="5">
        <v>18259034</v>
      </c>
      <c r="B955" t="s">
        <v>833</v>
      </c>
      <c r="C955" t="s">
        <v>2510</v>
      </c>
      <c r="D955" t="s">
        <v>2510</v>
      </c>
      <c r="E955" t="str">
        <f>IFERROR(VLOOKUP(B955,Signal_detection!$A$1:$C$22,2,FALSE),"")</f>
        <v/>
      </c>
      <c r="F955" t="str">
        <f>IFERROR(VLOOKUP(B955,Signal_detection!$A$1:$C$22,3,FALSE),"")</f>
        <v/>
      </c>
      <c r="G955" t="s">
        <v>0</v>
      </c>
    </row>
    <row r="956" spans="1:7" x14ac:dyDescent="0.3">
      <c r="A956" s="5">
        <v>18265810</v>
      </c>
      <c r="B956" t="s">
        <v>1163</v>
      </c>
      <c r="C956" t="s">
        <v>2510</v>
      </c>
      <c r="D956" t="s">
        <v>2510</v>
      </c>
      <c r="E956" t="str">
        <f>IFERROR(VLOOKUP(B956,Signal_detection!$A$1:$C$22,2,FALSE),"")</f>
        <v/>
      </c>
      <c r="F956" t="str">
        <f>IFERROR(VLOOKUP(B956,Signal_detection!$A$1:$C$22,3,FALSE),"")</f>
        <v/>
      </c>
      <c r="G956" t="s">
        <v>0</v>
      </c>
    </row>
    <row r="957" spans="1:7" x14ac:dyDescent="0.3">
      <c r="A957" s="5">
        <v>18268130</v>
      </c>
      <c r="B957" t="s">
        <v>1022</v>
      </c>
      <c r="C957" t="s">
        <v>2510</v>
      </c>
      <c r="D957" t="s">
        <v>2510</v>
      </c>
      <c r="E957" t="str">
        <f>IFERROR(VLOOKUP(B957,Signal_detection!$A$1:$C$22,2,FALSE),"")</f>
        <v/>
      </c>
      <c r="F957" t="str">
        <f>IFERROR(VLOOKUP(B957,Signal_detection!$A$1:$C$22,3,FALSE),"")</f>
        <v/>
      </c>
      <c r="G957" t="s">
        <v>0</v>
      </c>
    </row>
    <row r="958" spans="1:7" x14ac:dyDescent="0.3">
      <c r="A958" s="5">
        <v>18268211</v>
      </c>
      <c r="B958" t="s">
        <v>1022</v>
      </c>
      <c r="C958" t="s">
        <v>2510</v>
      </c>
      <c r="D958" t="s">
        <v>2510</v>
      </c>
      <c r="E958" t="str">
        <f>IFERROR(VLOOKUP(B958,Signal_detection!$A$1:$C$22,2,FALSE),"")</f>
        <v/>
      </c>
      <c r="F958" t="str">
        <f>IFERROR(VLOOKUP(B958,Signal_detection!$A$1:$C$22,3,FALSE),"")</f>
        <v/>
      </c>
      <c r="G958" t="s">
        <v>0</v>
      </c>
    </row>
    <row r="959" spans="1:7" x14ac:dyDescent="0.3">
      <c r="A959" s="5">
        <v>18268414</v>
      </c>
      <c r="B959" t="s">
        <v>965</v>
      </c>
      <c r="C959" t="s">
        <v>2510</v>
      </c>
      <c r="D959" t="s">
        <v>2510</v>
      </c>
      <c r="E959" t="str">
        <f>IFERROR(VLOOKUP(B959,Signal_detection!$A$1:$C$22,2,FALSE),"")</f>
        <v/>
      </c>
      <c r="F959" t="str">
        <f>IFERROR(VLOOKUP(B959,Signal_detection!$A$1:$C$22,3,FALSE),"")</f>
        <v/>
      </c>
      <c r="G959" t="s">
        <v>125</v>
      </c>
    </row>
    <row r="960" spans="1:7" x14ac:dyDescent="0.3">
      <c r="A960" s="5">
        <v>18273891</v>
      </c>
      <c r="B960" t="s">
        <v>1180</v>
      </c>
      <c r="C960" t="s">
        <v>2510</v>
      </c>
      <c r="D960" t="s">
        <v>2510</v>
      </c>
      <c r="E960" t="str">
        <f>IFERROR(VLOOKUP(B960,Signal_detection!$A$1:$C$22,2,FALSE),"")</f>
        <v/>
      </c>
      <c r="F960" t="str">
        <f>IFERROR(VLOOKUP(B960,Signal_detection!$A$1:$C$22,3,FALSE),"")</f>
        <v/>
      </c>
      <c r="G960" t="s">
        <v>125</v>
      </c>
    </row>
    <row r="961" spans="1:7" x14ac:dyDescent="0.3">
      <c r="A961" s="5">
        <v>18274552</v>
      </c>
      <c r="B961" t="s">
        <v>843</v>
      </c>
      <c r="C961" t="s">
        <v>2510</v>
      </c>
      <c r="D961" t="s">
        <v>2510</v>
      </c>
      <c r="E961" t="str">
        <f>IFERROR(VLOOKUP(B961,Signal_detection!$A$1:$C$22,2,FALSE),"")</f>
        <v/>
      </c>
      <c r="F961" t="str">
        <f>IFERROR(VLOOKUP(B961,Signal_detection!$A$1:$C$22,3,FALSE),"")</f>
        <v/>
      </c>
      <c r="G961" t="s">
        <v>0</v>
      </c>
    </row>
    <row r="962" spans="1:7" x14ac:dyDescent="0.3">
      <c r="A962" s="5">
        <v>18274971</v>
      </c>
      <c r="B962" t="s">
        <v>1022</v>
      </c>
      <c r="C962" t="s">
        <v>2510</v>
      </c>
      <c r="D962" t="s">
        <v>2510</v>
      </c>
      <c r="E962" t="str">
        <f>IFERROR(VLOOKUP(B962,Signal_detection!$A$1:$C$22,2,FALSE),"")</f>
        <v/>
      </c>
      <c r="F962" t="str">
        <f>IFERROR(VLOOKUP(B962,Signal_detection!$A$1:$C$22,3,FALSE),"")</f>
        <v/>
      </c>
      <c r="G962" t="s">
        <v>0</v>
      </c>
    </row>
    <row r="963" spans="1:7" x14ac:dyDescent="0.3">
      <c r="A963" s="5">
        <v>18283654</v>
      </c>
      <c r="B963" t="s">
        <v>918</v>
      </c>
      <c r="C963" t="s">
        <v>2510</v>
      </c>
      <c r="D963" t="s">
        <v>2510</v>
      </c>
      <c r="E963" t="str">
        <f>IFERROR(VLOOKUP(B963,Signal_detection!$A$1:$C$22,2,FALSE),"")</f>
        <v/>
      </c>
      <c r="F963" t="str">
        <f>IFERROR(VLOOKUP(B963,Signal_detection!$A$1:$C$22,3,FALSE),"")</f>
        <v/>
      </c>
      <c r="G963" t="s">
        <v>125</v>
      </c>
    </row>
    <row r="964" spans="1:7" x14ac:dyDescent="0.3">
      <c r="A964" s="5">
        <v>18283655</v>
      </c>
      <c r="B964" t="s">
        <v>717</v>
      </c>
      <c r="C964" t="s">
        <v>717</v>
      </c>
      <c r="D964" t="s">
        <v>2505</v>
      </c>
      <c r="E964" t="str">
        <f>IFERROR(VLOOKUP(B964,Signal_detection!$A$1:$C$22,2,FALSE),"")</f>
        <v/>
      </c>
      <c r="F964" t="str">
        <f>IFERROR(VLOOKUP(B964,Signal_detection!$A$1:$C$22,3,FALSE),"")</f>
        <v/>
      </c>
      <c r="G964" t="s">
        <v>0</v>
      </c>
    </row>
    <row r="965" spans="1:7" x14ac:dyDescent="0.3">
      <c r="A965" s="5">
        <v>18285226</v>
      </c>
      <c r="B965" t="s">
        <v>586</v>
      </c>
      <c r="C965" t="s">
        <v>2510</v>
      </c>
      <c r="D965" t="s">
        <v>2510</v>
      </c>
      <c r="E965" t="str">
        <f>IFERROR(VLOOKUP(B965,Signal_detection!$A$1:$C$22,2,FALSE),"")</f>
        <v/>
      </c>
      <c r="F965" t="str">
        <f>IFERROR(VLOOKUP(B965,Signal_detection!$A$1:$C$22,3,FALSE),"")</f>
        <v/>
      </c>
      <c r="G965" t="s">
        <v>0</v>
      </c>
    </row>
    <row r="966" spans="1:7" x14ac:dyDescent="0.3">
      <c r="A966" s="5">
        <v>18287040</v>
      </c>
      <c r="B966" t="s">
        <v>1162</v>
      </c>
      <c r="C966" t="s">
        <v>2510</v>
      </c>
      <c r="D966" t="s">
        <v>2510</v>
      </c>
      <c r="E966" t="str">
        <f>IFERROR(VLOOKUP(B966,Signal_detection!$A$1:$C$22,2,FALSE),"")</f>
        <v/>
      </c>
      <c r="F966" t="str">
        <f>IFERROR(VLOOKUP(B966,Signal_detection!$A$1:$C$22,3,FALSE),"")</f>
        <v/>
      </c>
      <c r="G966" t="s">
        <v>125</v>
      </c>
    </row>
    <row r="967" spans="1:7" x14ac:dyDescent="0.3">
      <c r="A967" s="5">
        <v>18287351</v>
      </c>
      <c r="B967" t="s">
        <v>438</v>
      </c>
      <c r="C967" t="s">
        <v>2510</v>
      </c>
      <c r="D967" t="s">
        <v>2510</v>
      </c>
      <c r="E967" t="str">
        <f>IFERROR(VLOOKUP(B967,Signal_detection!$A$1:$C$22,2,FALSE),"")</f>
        <v/>
      </c>
      <c r="F967" t="str">
        <f>IFERROR(VLOOKUP(B967,Signal_detection!$A$1:$C$22,3,FALSE),"")</f>
        <v/>
      </c>
      <c r="G967" t="s">
        <v>0</v>
      </c>
    </row>
    <row r="968" spans="1:7" x14ac:dyDescent="0.3">
      <c r="A968" s="5">
        <v>18287446</v>
      </c>
      <c r="B968" t="s">
        <v>50</v>
      </c>
      <c r="C968" t="s">
        <v>50</v>
      </c>
      <c r="D968" t="s">
        <v>2497</v>
      </c>
      <c r="E968" t="str">
        <f>IFERROR(VLOOKUP(B968,Signal_detection!$A$1:$C$22,2,FALSE),"")</f>
        <v/>
      </c>
      <c r="F968" t="str">
        <f>IFERROR(VLOOKUP(B968,Signal_detection!$A$1:$C$22,3,FALSE),"")</f>
        <v/>
      </c>
      <c r="G968" t="s">
        <v>0</v>
      </c>
    </row>
    <row r="969" spans="1:7" x14ac:dyDescent="0.3">
      <c r="A969" s="5">
        <v>18287736</v>
      </c>
      <c r="B969" t="s">
        <v>54</v>
      </c>
      <c r="C969" t="s">
        <v>2510</v>
      </c>
      <c r="D969" t="s">
        <v>2510</v>
      </c>
      <c r="E969" t="str">
        <f>IFERROR(VLOOKUP(B969,Signal_detection!$A$1:$C$22,2,FALSE),"")</f>
        <v/>
      </c>
      <c r="F969" t="str">
        <f>IFERROR(VLOOKUP(B969,Signal_detection!$A$1:$C$22,3,FALSE),"")</f>
        <v/>
      </c>
      <c r="G969" t="s">
        <v>125</v>
      </c>
    </row>
    <row r="970" spans="1:7" x14ac:dyDescent="0.3">
      <c r="A970" s="5">
        <v>18288336</v>
      </c>
      <c r="B970" t="s">
        <v>463</v>
      </c>
      <c r="C970" t="s">
        <v>2510</v>
      </c>
      <c r="D970" t="s">
        <v>2510</v>
      </c>
      <c r="E970" t="str">
        <f>IFERROR(VLOOKUP(B970,Signal_detection!$A$1:$C$22,2,FALSE),"")</f>
        <v/>
      </c>
      <c r="F970" t="str">
        <f>IFERROR(VLOOKUP(B970,Signal_detection!$A$1:$C$22,3,FALSE),"")</f>
        <v/>
      </c>
      <c r="G970" t="s">
        <v>0</v>
      </c>
    </row>
    <row r="971" spans="1:7" x14ac:dyDescent="0.3">
      <c r="A971" s="5">
        <v>18291160</v>
      </c>
      <c r="B971" t="s">
        <v>714</v>
      </c>
      <c r="C971" t="s">
        <v>2510</v>
      </c>
      <c r="D971" t="s">
        <v>2510</v>
      </c>
      <c r="E971" t="str">
        <f>IFERROR(VLOOKUP(B971,Signal_detection!$A$1:$C$22,2,FALSE),"")</f>
        <v/>
      </c>
      <c r="F971" t="str">
        <f>IFERROR(VLOOKUP(B971,Signal_detection!$A$1:$C$22,3,FALSE),"")</f>
        <v/>
      </c>
      <c r="G971" t="s">
        <v>125</v>
      </c>
    </row>
    <row r="972" spans="1:7" x14ac:dyDescent="0.3">
      <c r="A972" s="5">
        <v>18292572</v>
      </c>
      <c r="B972" t="s">
        <v>409</v>
      </c>
      <c r="C972" t="s">
        <v>2510</v>
      </c>
      <c r="D972" t="s">
        <v>2510</v>
      </c>
      <c r="E972" t="str">
        <f>IFERROR(VLOOKUP(B972,Signal_detection!$A$1:$C$22,2,FALSE),"")</f>
        <v/>
      </c>
      <c r="F972" t="str">
        <f>IFERROR(VLOOKUP(B972,Signal_detection!$A$1:$C$22,3,FALSE),"")</f>
        <v/>
      </c>
      <c r="G972" t="s">
        <v>0</v>
      </c>
    </row>
    <row r="973" spans="1:7" x14ac:dyDescent="0.3">
      <c r="A973" s="5">
        <v>18292703</v>
      </c>
      <c r="B973" t="s">
        <v>351</v>
      </c>
      <c r="C973" t="s">
        <v>2510</v>
      </c>
      <c r="D973" t="s">
        <v>2510</v>
      </c>
      <c r="E973" t="str">
        <f>IFERROR(VLOOKUP(B973,Signal_detection!$A$1:$C$22,2,FALSE),"")</f>
        <v/>
      </c>
      <c r="F973" t="str">
        <f>IFERROR(VLOOKUP(B973,Signal_detection!$A$1:$C$22,3,FALSE),"")</f>
        <v/>
      </c>
      <c r="G973" t="s">
        <v>0</v>
      </c>
    </row>
    <row r="974" spans="1:7" x14ac:dyDescent="0.3">
      <c r="A974" s="5">
        <v>18293034</v>
      </c>
      <c r="B974" t="s">
        <v>1167</v>
      </c>
      <c r="C974" t="s">
        <v>2510</v>
      </c>
      <c r="D974" t="s">
        <v>2510</v>
      </c>
      <c r="E974" t="str">
        <f>IFERROR(VLOOKUP(B974,Signal_detection!$A$1:$C$22,2,FALSE),"")</f>
        <v/>
      </c>
      <c r="F974" t="str">
        <f>IFERROR(VLOOKUP(B974,Signal_detection!$A$1:$C$22,3,FALSE),"")</f>
        <v/>
      </c>
      <c r="G974" t="s">
        <v>125</v>
      </c>
    </row>
    <row r="975" spans="1:7" x14ac:dyDescent="0.3">
      <c r="A975" s="5">
        <v>18298774</v>
      </c>
      <c r="B975" t="s">
        <v>1338</v>
      </c>
      <c r="C975" t="s">
        <v>2510</v>
      </c>
      <c r="D975" t="s">
        <v>2510</v>
      </c>
      <c r="E975" t="str">
        <f>IFERROR(VLOOKUP(B975,Signal_detection!$A$1:$C$22,2,FALSE),"")</f>
        <v/>
      </c>
      <c r="F975" t="str">
        <f>IFERROR(VLOOKUP(B975,Signal_detection!$A$1:$C$22,3,FALSE),"")</f>
        <v/>
      </c>
      <c r="G975" t="s">
        <v>0</v>
      </c>
    </row>
    <row r="976" spans="1:7" x14ac:dyDescent="0.3">
      <c r="A976" s="5">
        <v>18298822</v>
      </c>
      <c r="B976" t="s">
        <v>50</v>
      </c>
      <c r="C976" t="s">
        <v>50</v>
      </c>
      <c r="D976" t="s">
        <v>2497</v>
      </c>
      <c r="E976" t="str">
        <f>IFERROR(VLOOKUP(B976,Signal_detection!$A$1:$C$22,2,FALSE),"")</f>
        <v/>
      </c>
      <c r="F976" t="str">
        <f>IFERROR(VLOOKUP(B976,Signal_detection!$A$1:$C$22,3,FALSE),"")</f>
        <v/>
      </c>
      <c r="G976" t="s">
        <v>0</v>
      </c>
    </row>
    <row r="977" spans="1:7" x14ac:dyDescent="0.3">
      <c r="A977" s="5">
        <v>18299194</v>
      </c>
      <c r="B977" t="s">
        <v>742</v>
      </c>
      <c r="C977" t="s">
        <v>2510</v>
      </c>
      <c r="D977" t="s">
        <v>2510</v>
      </c>
      <c r="E977" t="str">
        <f>IFERROR(VLOOKUP(B977,Signal_detection!$A$1:$C$22,2,FALSE),"")</f>
        <v/>
      </c>
      <c r="F977" t="str">
        <f>IFERROR(VLOOKUP(B977,Signal_detection!$A$1:$C$22,3,FALSE),"")</f>
        <v/>
      </c>
      <c r="G977" t="s">
        <v>125</v>
      </c>
    </row>
    <row r="978" spans="1:7" x14ac:dyDescent="0.3">
      <c r="A978" s="5">
        <v>18302861</v>
      </c>
      <c r="B978" t="s">
        <v>838</v>
      </c>
      <c r="C978" t="s">
        <v>838</v>
      </c>
      <c r="D978" t="s">
        <v>2495</v>
      </c>
      <c r="E978" t="str">
        <f>IFERROR(VLOOKUP(B978,Signal_detection!$A$1:$C$22,2,FALSE),"")</f>
        <v>Probable</v>
      </c>
      <c r="F978" t="str">
        <f>IFERROR(VLOOKUP(B978,Signal_detection!$A$1:$C$22,3,FALSE),"")</f>
        <v>Serious allergy signal</v>
      </c>
      <c r="G978" t="s">
        <v>0</v>
      </c>
    </row>
    <row r="979" spans="1:7" x14ac:dyDescent="0.3">
      <c r="A979" s="5">
        <v>18305553</v>
      </c>
      <c r="B979" t="s">
        <v>1492</v>
      </c>
      <c r="C979" t="s">
        <v>2510</v>
      </c>
      <c r="D979" t="s">
        <v>2510</v>
      </c>
      <c r="E979" t="str">
        <f>IFERROR(VLOOKUP(B979,Signal_detection!$A$1:$C$22,2,FALSE),"")</f>
        <v/>
      </c>
      <c r="F979" t="str">
        <f>IFERROR(VLOOKUP(B979,Signal_detection!$A$1:$C$22,3,FALSE),"")</f>
        <v/>
      </c>
      <c r="G979" t="s">
        <v>0</v>
      </c>
    </row>
    <row r="980" spans="1:7" x14ac:dyDescent="0.3">
      <c r="A980" s="5">
        <v>18305904</v>
      </c>
      <c r="B980" t="s">
        <v>814</v>
      </c>
      <c r="C980" t="s">
        <v>2510</v>
      </c>
      <c r="D980" t="s">
        <v>2510</v>
      </c>
      <c r="E980" t="str">
        <f>IFERROR(VLOOKUP(B980,Signal_detection!$A$1:$C$22,2,FALSE),"")</f>
        <v/>
      </c>
      <c r="F980" t="str">
        <f>IFERROR(VLOOKUP(B980,Signal_detection!$A$1:$C$22,3,FALSE),"")</f>
        <v/>
      </c>
      <c r="G980" t="s">
        <v>0</v>
      </c>
    </row>
    <row r="981" spans="1:7" x14ac:dyDescent="0.3">
      <c r="A981" s="5">
        <v>18310093</v>
      </c>
      <c r="B981" t="s">
        <v>911</v>
      </c>
      <c r="C981" t="s">
        <v>2510</v>
      </c>
      <c r="D981" t="s">
        <v>2510</v>
      </c>
      <c r="E981" t="str">
        <f>IFERROR(VLOOKUP(B981,Signal_detection!$A$1:$C$22,2,FALSE),"")</f>
        <v/>
      </c>
      <c r="F981" t="str">
        <f>IFERROR(VLOOKUP(B981,Signal_detection!$A$1:$C$22,3,FALSE),"")</f>
        <v/>
      </c>
      <c r="G981" t="s">
        <v>125</v>
      </c>
    </row>
    <row r="982" spans="1:7" x14ac:dyDescent="0.3">
      <c r="A982" s="5">
        <v>18310258</v>
      </c>
      <c r="B982" t="s">
        <v>1416</v>
      </c>
      <c r="C982" t="s">
        <v>2510</v>
      </c>
      <c r="D982" t="s">
        <v>2510</v>
      </c>
      <c r="E982" t="str">
        <f>IFERROR(VLOOKUP(B982,Signal_detection!$A$1:$C$22,2,FALSE),"")</f>
        <v/>
      </c>
      <c r="F982" t="str">
        <f>IFERROR(VLOOKUP(B982,Signal_detection!$A$1:$C$22,3,FALSE),"")</f>
        <v/>
      </c>
      <c r="G982" t="s">
        <v>0</v>
      </c>
    </row>
    <row r="983" spans="1:7" x14ac:dyDescent="0.3">
      <c r="A983" s="5">
        <v>18325460</v>
      </c>
      <c r="B983" t="s">
        <v>308</v>
      </c>
      <c r="C983" t="s">
        <v>308</v>
      </c>
      <c r="D983" t="s">
        <v>2497</v>
      </c>
      <c r="E983" t="str">
        <f>IFERROR(VLOOKUP(B983,Signal_detection!$A$1:$C$22,2,FALSE),"")</f>
        <v/>
      </c>
      <c r="F983" t="str">
        <f>IFERROR(VLOOKUP(B983,Signal_detection!$A$1:$C$22,3,FALSE),"")</f>
        <v/>
      </c>
      <c r="G983" t="s">
        <v>125</v>
      </c>
    </row>
    <row r="984" spans="1:7" x14ac:dyDescent="0.3">
      <c r="A984" s="5">
        <v>18328148</v>
      </c>
      <c r="B984" t="s">
        <v>2447</v>
      </c>
      <c r="C984" t="s">
        <v>2510</v>
      </c>
      <c r="D984" t="s">
        <v>2510</v>
      </c>
      <c r="E984" t="str">
        <f>IFERROR(VLOOKUP(B984,Signal_detection!$A$1:$C$22,2,FALSE),"")</f>
        <v/>
      </c>
      <c r="F984" t="str">
        <f>IFERROR(VLOOKUP(B984,Signal_detection!$A$1:$C$22,3,FALSE),"")</f>
        <v/>
      </c>
      <c r="G984" t="s">
        <v>0</v>
      </c>
    </row>
    <row r="985" spans="1:7" x14ac:dyDescent="0.3">
      <c r="A985" s="5">
        <v>18329146</v>
      </c>
      <c r="B985" t="s">
        <v>109</v>
      </c>
      <c r="C985" t="s">
        <v>2510</v>
      </c>
      <c r="D985" t="s">
        <v>2510</v>
      </c>
      <c r="E985" t="str">
        <f>IFERROR(VLOOKUP(B985,Signal_detection!$A$1:$C$22,2,FALSE),"")</f>
        <v/>
      </c>
      <c r="F985" t="str">
        <f>IFERROR(VLOOKUP(B985,Signal_detection!$A$1:$C$22,3,FALSE),"")</f>
        <v/>
      </c>
      <c r="G985" t="s">
        <v>0</v>
      </c>
    </row>
    <row r="986" spans="1:7" x14ac:dyDescent="0.3">
      <c r="A986" s="5">
        <v>18331999</v>
      </c>
      <c r="B986" t="s">
        <v>206</v>
      </c>
      <c r="C986" t="s">
        <v>206</v>
      </c>
      <c r="D986" t="s">
        <v>2496</v>
      </c>
      <c r="E986" t="str">
        <f>IFERROR(VLOOKUP(B986,Signal_detection!$A$1:$C$22,2,FALSE),"")</f>
        <v>Probable</v>
      </c>
      <c r="F986" t="str">
        <f>IFERROR(VLOOKUP(B986,Signal_detection!$A$1:$C$22,3,FALSE),"")</f>
        <v>Infection signal</v>
      </c>
      <c r="G986" t="s">
        <v>0</v>
      </c>
    </row>
    <row r="987" spans="1:7" x14ac:dyDescent="0.3">
      <c r="A987" s="5">
        <v>18333866</v>
      </c>
      <c r="B987" t="s">
        <v>986</v>
      </c>
      <c r="C987" t="s">
        <v>2510</v>
      </c>
      <c r="D987" t="s">
        <v>2510</v>
      </c>
      <c r="E987" t="str">
        <f>IFERROR(VLOOKUP(B987,Signal_detection!$A$1:$C$22,2,FALSE),"")</f>
        <v/>
      </c>
      <c r="F987" t="str">
        <f>IFERROR(VLOOKUP(B987,Signal_detection!$A$1:$C$22,3,FALSE),"")</f>
        <v/>
      </c>
      <c r="G987" t="s">
        <v>0</v>
      </c>
    </row>
    <row r="988" spans="1:7" x14ac:dyDescent="0.3">
      <c r="A988" s="5">
        <v>18334027</v>
      </c>
      <c r="B988" t="s">
        <v>346</v>
      </c>
      <c r="C988" t="s">
        <v>2510</v>
      </c>
      <c r="D988" t="s">
        <v>2510</v>
      </c>
      <c r="E988" t="str">
        <f>IFERROR(VLOOKUP(B988,Signal_detection!$A$1:$C$22,2,FALSE),"")</f>
        <v/>
      </c>
      <c r="F988" t="str">
        <f>IFERROR(VLOOKUP(B988,Signal_detection!$A$1:$C$22,3,FALSE),"")</f>
        <v/>
      </c>
      <c r="G988" t="s">
        <v>0</v>
      </c>
    </row>
    <row r="989" spans="1:7" x14ac:dyDescent="0.3">
      <c r="A989" s="5">
        <v>18338231</v>
      </c>
      <c r="B989" t="s">
        <v>895</v>
      </c>
      <c r="C989" t="s">
        <v>2510</v>
      </c>
      <c r="D989" t="s">
        <v>2510</v>
      </c>
      <c r="E989" t="str">
        <f>IFERROR(VLOOKUP(B989,Signal_detection!$A$1:$C$22,2,FALSE),"")</f>
        <v/>
      </c>
      <c r="F989" t="str">
        <f>IFERROR(VLOOKUP(B989,Signal_detection!$A$1:$C$22,3,FALSE),"")</f>
        <v/>
      </c>
      <c r="G989" t="s">
        <v>0</v>
      </c>
    </row>
    <row r="990" spans="1:7" x14ac:dyDescent="0.3">
      <c r="A990" s="5">
        <v>18341732</v>
      </c>
      <c r="B990" t="s">
        <v>945</v>
      </c>
      <c r="C990" t="s">
        <v>2510</v>
      </c>
      <c r="D990" t="s">
        <v>2510</v>
      </c>
      <c r="E990" t="str">
        <f>IFERROR(VLOOKUP(B990,Signal_detection!$A$1:$C$22,2,FALSE),"")</f>
        <v/>
      </c>
      <c r="F990" t="str">
        <f>IFERROR(VLOOKUP(B990,Signal_detection!$A$1:$C$22,3,FALSE),"")</f>
        <v/>
      </c>
      <c r="G990" t="s">
        <v>0</v>
      </c>
    </row>
    <row r="991" spans="1:7" x14ac:dyDescent="0.3">
      <c r="A991" s="5">
        <v>18343251</v>
      </c>
      <c r="B991" t="s">
        <v>1183</v>
      </c>
      <c r="C991" t="s">
        <v>2510</v>
      </c>
      <c r="D991" t="s">
        <v>2510</v>
      </c>
      <c r="E991" t="str">
        <f>IFERROR(VLOOKUP(B991,Signal_detection!$A$1:$C$22,2,FALSE),"")</f>
        <v/>
      </c>
      <c r="F991" t="str">
        <f>IFERROR(VLOOKUP(B991,Signal_detection!$A$1:$C$22,3,FALSE),"")</f>
        <v/>
      </c>
      <c r="G991" t="s">
        <v>0</v>
      </c>
    </row>
    <row r="992" spans="1:7" x14ac:dyDescent="0.3">
      <c r="A992" s="5">
        <v>18344543</v>
      </c>
      <c r="B992" t="s">
        <v>1070</v>
      </c>
      <c r="C992" t="s">
        <v>2510</v>
      </c>
      <c r="D992" t="s">
        <v>2510</v>
      </c>
      <c r="E992" t="str">
        <f>IFERROR(VLOOKUP(B992,Signal_detection!$A$1:$C$22,2,FALSE),"")</f>
        <v/>
      </c>
      <c r="F992" t="str">
        <f>IFERROR(VLOOKUP(B992,Signal_detection!$A$1:$C$22,3,FALSE),"")</f>
        <v/>
      </c>
      <c r="G992" t="s">
        <v>0</v>
      </c>
    </row>
    <row r="993" spans="1:7" x14ac:dyDescent="0.3">
      <c r="A993" s="5">
        <v>18355609</v>
      </c>
      <c r="B993" t="s">
        <v>604</v>
      </c>
      <c r="C993" t="s">
        <v>2510</v>
      </c>
      <c r="D993" t="s">
        <v>2510</v>
      </c>
      <c r="E993" t="str">
        <f>IFERROR(VLOOKUP(B993,Signal_detection!$A$1:$C$22,2,FALSE),"")</f>
        <v/>
      </c>
      <c r="F993" t="str">
        <f>IFERROR(VLOOKUP(B993,Signal_detection!$A$1:$C$22,3,FALSE),"")</f>
        <v/>
      </c>
      <c r="G993" t="s">
        <v>0</v>
      </c>
    </row>
    <row r="994" spans="1:7" x14ac:dyDescent="0.3">
      <c r="A994" s="5">
        <v>18358014</v>
      </c>
      <c r="B994" t="s">
        <v>260</v>
      </c>
      <c r="C994" t="s">
        <v>2510</v>
      </c>
      <c r="D994" t="s">
        <v>2510</v>
      </c>
      <c r="E994" t="str">
        <f>IFERROR(VLOOKUP(B994,Signal_detection!$A$1:$C$22,2,FALSE),"")</f>
        <v/>
      </c>
      <c r="F994" t="str">
        <f>IFERROR(VLOOKUP(B994,Signal_detection!$A$1:$C$22,3,FALSE),"")</f>
        <v/>
      </c>
      <c r="G994" t="s">
        <v>125</v>
      </c>
    </row>
    <row r="995" spans="1:7" x14ac:dyDescent="0.3">
      <c r="A995" s="5">
        <v>18361017</v>
      </c>
      <c r="B995" t="s">
        <v>682</v>
      </c>
      <c r="C995" t="s">
        <v>682</v>
      </c>
      <c r="D995" t="s">
        <v>2496</v>
      </c>
      <c r="E995" t="str">
        <f>IFERROR(VLOOKUP(B995,Signal_detection!$A$1:$C$22,2,FALSE),"")</f>
        <v>Possible</v>
      </c>
      <c r="F995" t="str">
        <f>IFERROR(VLOOKUP(B995,Signal_detection!$A$1:$C$22,3,FALSE),"")</f>
        <v>Infection-related event</v>
      </c>
      <c r="G995" t="s">
        <v>125</v>
      </c>
    </row>
    <row r="996" spans="1:7" x14ac:dyDescent="0.3">
      <c r="A996" s="5">
        <v>18366499</v>
      </c>
      <c r="B996" t="s">
        <v>1379</v>
      </c>
      <c r="C996" t="s">
        <v>2510</v>
      </c>
      <c r="D996" t="s">
        <v>2510</v>
      </c>
      <c r="E996" t="str">
        <f>IFERROR(VLOOKUP(B996,Signal_detection!$A$1:$C$22,2,FALSE),"")</f>
        <v/>
      </c>
      <c r="F996" t="str">
        <f>IFERROR(VLOOKUP(B996,Signal_detection!$A$1:$C$22,3,FALSE),"")</f>
        <v/>
      </c>
      <c r="G996" t="s">
        <v>0</v>
      </c>
    </row>
    <row r="997" spans="1:7" x14ac:dyDescent="0.3">
      <c r="A997" s="5">
        <v>18369664</v>
      </c>
      <c r="B997" t="s">
        <v>864</v>
      </c>
      <c r="C997" t="s">
        <v>2510</v>
      </c>
      <c r="D997" t="s">
        <v>2510</v>
      </c>
      <c r="E997" t="str">
        <f>IFERROR(VLOOKUP(B997,Signal_detection!$A$1:$C$22,2,FALSE),"")</f>
        <v/>
      </c>
      <c r="F997" t="str">
        <f>IFERROR(VLOOKUP(B997,Signal_detection!$A$1:$C$22,3,FALSE),"")</f>
        <v/>
      </c>
      <c r="G997" t="s">
        <v>0</v>
      </c>
    </row>
    <row r="998" spans="1:7" x14ac:dyDescent="0.3">
      <c r="A998" s="5">
        <v>18372493</v>
      </c>
      <c r="B998" t="s">
        <v>791</v>
      </c>
      <c r="C998" t="s">
        <v>2510</v>
      </c>
      <c r="D998" t="s">
        <v>2510</v>
      </c>
      <c r="E998" t="str">
        <f>IFERROR(VLOOKUP(B998,Signal_detection!$A$1:$C$22,2,FALSE),"")</f>
        <v/>
      </c>
      <c r="F998" t="str">
        <f>IFERROR(VLOOKUP(B998,Signal_detection!$A$1:$C$22,3,FALSE),"")</f>
        <v/>
      </c>
      <c r="G998" t="s">
        <v>0</v>
      </c>
    </row>
    <row r="999" spans="1:7" x14ac:dyDescent="0.3">
      <c r="A999" s="5">
        <v>18375677</v>
      </c>
      <c r="B999" t="s">
        <v>516</v>
      </c>
      <c r="C999" t="s">
        <v>2510</v>
      </c>
      <c r="D999" t="s">
        <v>2510</v>
      </c>
      <c r="E999" t="str">
        <f>IFERROR(VLOOKUP(B999,Signal_detection!$A$1:$C$22,2,FALSE),"")</f>
        <v/>
      </c>
      <c r="F999" t="str">
        <f>IFERROR(VLOOKUP(B999,Signal_detection!$A$1:$C$22,3,FALSE),"")</f>
        <v/>
      </c>
      <c r="G999" t="s">
        <v>125</v>
      </c>
    </row>
    <row r="1000" spans="1:7" x14ac:dyDescent="0.3">
      <c r="A1000" s="5">
        <v>18375989</v>
      </c>
      <c r="B1000" t="s">
        <v>1122</v>
      </c>
      <c r="C1000" t="s">
        <v>2510</v>
      </c>
      <c r="D1000" t="s">
        <v>2510</v>
      </c>
      <c r="E1000" t="str">
        <f>IFERROR(VLOOKUP(B1000,Signal_detection!$A$1:$C$22,2,FALSE),"")</f>
        <v/>
      </c>
      <c r="F1000" t="str">
        <f>IFERROR(VLOOKUP(B1000,Signal_detection!$A$1:$C$22,3,FALSE),"")</f>
        <v/>
      </c>
      <c r="G1000" t="s">
        <v>125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1524B-5A5F-4FAD-9C8D-6DE3E978E748}">
  <dimension ref="A1:C33"/>
  <sheetViews>
    <sheetView zoomScale="110" workbookViewId="0">
      <selection activeCell="B23" sqref="B23"/>
    </sheetView>
  </sheetViews>
  <sheetFormatPr defaultRowHeight="14.4" x14ac:dyDescent="0.3"/>
  <cols>
    <col min="1" max="1" width="42.77734375" customWidth="1"/>
    <col min="2" max="2" width="42.5546875" customWidth="1"/>
    <col min="3" max="3" width="53.109375" customWidth="1"/>
  </cols>
  <sheetData>
    <row r="1" spans="1:3" x14ac:dyDescent="0.3">
      <c r="A1" s="1" t="s">
        <v>2474</v>
      </c>
      <c r="B1" s="1" t="s">
        <v>2492</v>
      </c>
      <c r="C1" s="1" t="s">
        <v>2493</v>
      </c>
    </row>
    <row r="2" spans="1:3" x14ac:dyDescent="0.3">
      <c r="A2" t="s">
        <v>1740</v>
      </c>
      <c r="B2" t="s">
        <v>1740</v>
      </c>
      <c r="C2" t="s">
        <v>2494</v>
      </c>
    </row>
    <row r="3" spans="1:3" x14ac:dyDescent="0.3">
      <c r="A3" t="s">
        <v>404</v>
      </c>
      <c r="B3" t="s">
        <v>404</v>
      </c>
      <c r="C3" t="s">
        <v>2495</v>
      </c>
    </row>
    <row r="4" spans="1:3" x14ac:dyDescent="0.3">
      <c r="A4" t="s">
        <v>206</v>
      </c>
      <c r="B4" t="s">
        <v>206</v>
      </c>
      <c r="C4" t="s">
        <v>2496</v>
      </c>
    </row>
    <row r="5" spans="1:3" x14ac:dyDescent="0.3">
      <c r="A5" t="s">
        <v>192</v>
      </c>
      <c r="B5" t="s">
        <v>192</v>
      </c>
      <c r="C5" t="s">
        <v>2495</v>
      </c>
    </row>
    <row r="6" spans="1:3" x14ac:dyDescent="0.3">
      <c r="A6" t="s">
        <v>50</v>
      </c>
      <c r="B6" t="s">
        <v>50</v>
      </c>
      <c r="C6" t="s">
        <v>2497</v>
      </c>
    </row>
    <row r="7" spans="1:3" x14ac:dyDescent="0.3">
      <c r="A7" t="s">
        <v>126</v>
      </c>
      <c r="B7" t="s">
        <v>126</v>
      </c>
      <c r="C7" t="s">
        <v>2497</v>
      </c>
    </row>
    <row r="8" spans="1:3" x14ac:dyDescent="0.3">
      <c r="A8" t="s">
        <v>274</v>
      </c>
      <c r="B8" t="s">
        <v>274</v>
      </c>
      <c r="C8" t="s">
        <v>2494</v>
      </c>
    </row>
    <row r="9" spans="1:3" x14ac:dyDescent="0.3">
      <c r="A9" t="s">
        <v>102</v>
      </c>
      <c r="B9" t="s">
        <v>102</v>
      </c>
      <c r="C9" t="s">
        <v>2498</v>
      </c>
    </row>
    <row r="10" spans="1:3" x14ac:dyDescent="0.3">
      <c r="A10" t="s">
        <v>838</v>
      </c>
      <c r="B10" t="s">
        <v>838</v>
      </c>
      <c r="C10" t="s">
        <v>2495</v>
      </c>
    </row>
    <row r="11" spans="1:3" x14ac:dyDescent="0.3">
      <c r="A11" t="s">
        <v>159</v>
      </c>
      <c r="B11" t="s">
        <v>159</v>
      </c>
      <c r="C11" t="s">
        <v>2499</v>
      </c>
    </row>
    <row r="12" spans="1:3" x14ac:dyDescent="0.3">
      <c r="A12" t="s">
        <v>244</v>
      </c>
      <c r="B12" t="s">
        <v>244</v>
      </c>
      <c r="C12" t="s">
        <v>2497</v>
      </c>
    </row>
    <row r="13" spans="1:3" x14ac:dyDescent="0.3">
      <c r="A13" t="s">
        <v>278</v>
      </c>
      <c r="B13" t="s">
        <v>278</v>
      </c>
      <c r="C13" t="s">
        <v>2500</v>
      </c>
    </row>
    <row r="14" spans="1:3" x14ac:dyDescent="0.3">
      <c r="A14" t="s">
        <v>708</v>
      </c>
      <c r="B14" t="s">
        <v>708</v>
      </c>
      <c r="C14" t="s">
        <v>2501</v>
      </c>
    </row>
    <row r="15" spans="1:3" x14ac:dyDescent="0.3">
      <c r="A15" t="s">
        <v>896</v>
      </c>
      <c r="B15" t="s">
        <v>896</v>
      </c>
      <c r="C15" t="s">
        <v>2499</v>
      </c>
    </row>
    <row r="16" spans="1:3" x14ac:dyDescent="0.3">
      <c r="A16" t="s">
        <v>217</v>
      </c>
      <c r="B16" t="s">
        <v>217</v>
      </c>
      <c r="C16" t="s">
        <v>2502</v>
      </c>
    </row>
    <row r="17" spans="1:3" x14ac:dyDescent="0.3">
      <c r="A17" t="s">
        <v>459</v>
      </c>
      <c r="B17" t="s">
        <v>459</v>
      </c>
      <c r="C17" t="s">
        <v>2503</v>
      </c>
    </row>
    <row r="18" spans="1:3" x14ac:dyDescent="0.3">
      <c r="A18" t="s">
        <v>378</v>
      </c>
      <c r="B18" t="s">
        <v>378</v>
      </c>
      <c r="C18" t="s">
        <v>2503</v>
      </c>
    </row>
    <row r="19" spans="1:3" x14ac:dyDescent="0.3">
      <c r="A19" t="s">
        <v>1104</v>
      </c>
      <c r="B19" t="s">
        <v>1104</v>
      </c>
      <c r="C19" t="s">
        <v>2497</v>
      </c>
    </row>
    <row r="20" spans="1:3" x14ac:dyDescent="0.3">
      <c r="A20" t="s">
        <v>308</v>
      </c>
      <c r="B20" t="s">
        <v>308</v>
      </c>
      <c r="C20" t="s">
        <v>2497</v>
      </c>
    </row>
    <row r="21" spans="1:3" x14ac:dyDescent="0.3">
      <c r="A21" t="s">
        <v>545</v>
      </c>
      <c r="B21" t="s">
        <v>545</v>
      </c>
      <c r="C21" t="s">
        <v>2504</v>
      </c>
    </row>
    <row r="22" spans="1:3" x14ac:dyDescent="0.3">
      <c r="A22" t="s">
        <v>717</v>
      </c>
      <c r="B22" t="s">
        <v>717</v>
      </c>
      <c r="C22" t="s">
        <v>2505</v>
      </c>
    </row>
    <row r="23" spans="1:3" x14ac:dyDescent="0.3">
      <c r="A23" t="s">
        <v>216</v>
      </c>
      <c r="B23" t="s">
        <v>216</v>
      </c>
      <c r="C23" t="s">
        <v>2495</v>
      </c>
    </row>
    <row r="24" spans="1:3" x14ac:dyDescent="0.3">
      <c r="A24" t="s">
        <v>741</v>
      </c>
      <c r="B24" t="s">
        <v>741</v>
      </c>
      <c r="C24" t="s">
        <v>2505</v>
      </c>
    </row>
    <row r="25" spans="1:3" x14ac:dyDescent="0.3">
      <c r="A25" t="s">
        <v>608</v>
      </c>
      <c r="B25" t="s">
        <v>608</v>
      </c>
      <c r="C25" t="s">
        <v>2504</v>
      </c>
    </row>
    <row r="26" spans="1:3" x14ac:dyDescent="0.3">
      <c r="A26" t="s">
        <v>948</v>
      </c>
      <c r="B26" t="s">
        <v>948</v>
      </c>
      <c r="C26" t="s">
        <v>2504</v>
      </c>
    </row>
    <row r="27" spans="1:3" x14ac:dyDescent="0.3">
      <c r="A27" t="s">
        <v>756</v>
      </c>
      <c r="B27" t="s">
        <v>756</v>
      </c>
      <c r="C27" t="s">
        <v>2506</v>
      </c>
    </row>
    <row r="28" spans="1:3" x14ac:dyDescent="0.3">
      <c r="A28" t="s">
        <v>332</v>
      </c>
      <c r="B28" t="s">
        <v>332</v>
      </c>
      <c r="C28" t="s">
        <v>2507</v>
      </c>
    </row>
    <row r="29" spans="1:3" x14ac:dyDescent="0.3">
      <c r="A29" t="s">
        <v>62</v>
      </c>
      <c r="B29" t="s">
        <v>62</v>
      </c>
      <c r="C29" t="s">
        <v>2508</v>
      </c>
    </row>
    <row r="30" spans="1:3" x14ac:dyDescent="0.3">
      <c r="A30" t="s">
        <v>165</v>
      </c>
      <c r="B30" t="s">
        <v>165</v>
      </c>
      <c r="C30" t="s">
        <v>2496</v>
      </c>
    </row>
    <row r="31" spans="1:3" x14ac:dyDescent="0.3">
      <c r="A31" t="s">
        <v>883</v>
      </c>
      <c r="B31" t="s">
        <v>883</v>
      </c>
      <c r="C31" t="s">
        <v>2509</v>
      </c>
    </row>
    <row r="32" spans="1:3" x14ac:dyDescent="0.3">
      <c r="A32" t="s">
        <v>682</v>
      </c>
      <c r="B32" t="s">
        <v>682</v>
      </c>
      <c r="C32" t="s">
        <v>2496</v>
      </c>
    </row>
    <row r="33" spans="1:3" x14ac:dyDescent="0.3">
      <c r="A33" t="s">
        <v>225</v>
      </c>
      <c r="B33" t="s">
        <v>225</v>
      </c>
      <c r="C33" t="s">
        <v>2500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DB865-EA22-4C65-A39A-2F54EAF06026}">
  <dimension ref="A1:C22"/>
  <sheetViews>
    <sheetView workbookViewId="0">
      <selection sqref="A1:C4"/>
    </sheetView>
  </sheetViews>
  <sheetFormatPr defaultRowHeight="14.4" x14ac:dyDescent="0.3"/>
  <cols>
    <col min="1" max="2" width="17.77734375" customWidth="1"/>
    <col min="3" max="3" width="26.77734375" customWidth="1"/>
  </cols>
  <sheetData>
    <row r="1" spans="1:3" x14ac:dyDescent="0.3">
      <c r="A1" s="6" t="s">
        <v>2516</v>
      </c>
      <c r="B1" s="6" t="s">
        <v>2517</v>
      </c>
      <c r="C1" s="6" t="s">
        <v>2518</v>
      </c>
    </row>
    <row r="2" spans="1:3" x14ac:dyDescent="0.3">
      <c r="A2" s="7" t="s">
        <v>206</v>
      </c>
      <c r="B2" s="7" t="s">
        <v>2512</v>
      </c>
      <c r="C2" s="7" t="s">
        <v>2515</v>
      </c>
    </row>
    <row r="3" spans="1:3" x14ac:dyDescent="0.3">
      <c r="A3" s="7" t="s">
        <v>404</v>
      </c>
      <c r="B3" s="7" t="s">
        <v>2512</v>
      </c>
      <c r="C3" s="7" t="s">
        <v>2519</v>
      </c>
    </row>
    <row r="4" spans="1:3" x14ac:dyDescent="0.3">
      <c r="A4" s="7" t="s">
        <v>192</v>
      </c>
      <c r="B4" s="7" t="s">
        <v>2512</v>
      </c>
      <c r="C4" s="7" t="s">
        <v>2520</v>
      </c>
    </row>
    <row r="5" spans="1:3" x14ac:dyDescent="0.3">
      <c r="A5" s="7" t="s">
        <v>838</v>
      </c>
      <c r="B5" s="7" t="s">
        <v>2512</v>
      </c>
      <c r="C5" s="7" t="s">
        <v>2521</v>
      </c>
    </row>
    <row r="6" spans="1:3" x14ac:dyDescent="0.3">
      <c r="A6" s="7" t="s">
        <v>255</v>
      </c>
      <c r="B6" s="7" t="s">
        <v>2512</v>
      </c>
      <c r="C6" s="7" t="s">
        <v>2515</v>
      </c>
    </row>
    <row r="7" spans="1:3" x14ac:dyDescent="0.3">
      <c r="A7" s="7" t="s">
        <v>244</v>
      </c>
      <c r="B7" s="7" t="s">
        <v>2513</v>
      </c>
      <c r="C7" s="7" t="s">
        <v>2522</v>
      </c>
    </row>
    <row r="8" spans="1:3" x14ac:dyDescent="0.3">
      <c r="A8" s="7" t="s">
        <v>896</v>
      </c>
      <c r="B8" s="7" t="s">
        <v>2513</v>
      </c>
      <c r="C8" s="7" t="s">
        <v>2523</v>
      </c>
    </row>
    <row r="9" spans="1:3" x14ac:dyDescent="0.3">
      <c r="A9" s="7" t="s">
        <v>332</v>
      </c>
      <c r="B9" s="7" t="s">
        <v>2513</v>
      </c>
      <c r="C9" s="7" t="s">
        <v>2524</v>
      </c>
    </row>
    <row r="10" spans="1:3" x14ac:dyDescent="0.3">
      <c r="A10" s="7" t="s">
        <v>159</v>
      </c>
      <c r="B10" s="7" t="s">
        <v>2513</v>
      </c>
      <c r="C10" s="7" t="s">
        <v>2525</v>
      </c>
    </row>
    <row r="11" spans="1:3" x14ac:dyDescent="0.3">
      <c r="A11" s="7" t="s">
        <v>608</v>
      </c>
      <c r="B11" s="7" t="s">
        <v>2512</v>
      </c>
      <c r="C11" s="7" t="s">
        <v>2526</v>
      </c>
    </row>
    <row r="12" spans="1:3" x14ac:dyDescent="0.3">
      <c r="A12" s="7" t="s">
        <v>948</v>
      </c>
      <c r="B12" s="7" t="s">
        <v>2512</v>
      </c>
      <c r="C12" s="7" t="s">
        <v>2526</v>
      </c>
    </row>
    <row r="13" spans="1:3" x14ac:dyDescent="0.3">
      <c r="A13" s="7" t="s">
        <v>225</v>
      </c>
      <c r="B13" s="7" t="s">
        <v>2512</v>
      </c>
      <c r="C13" s="7" t="s">
        <v>2527</v>
      </c>
    </row>
    <row r="14" spans="1:3" x14ac:dyDescent="0.3">
      <c r="A14" s="7" t="s">
        <v>278</v>
      </c>
      <c r="B14" s="7" t="s">
        <v>2512</v>
      </c>
      <c r="C14" s="7" t="s">
        <v>2527</v>
      </c>
    </row>
    <row r="15" spans="1:3" x14ac:dyDescent="0.3">
      <c r="A15" s="7" t="s">
        <v>459</v>
      </c>
      <c r="B15" s="7" t="s">
        <v>2512</v>
      </c>
      <c r="C15" s="7" t="s">
        <v>2528</v>
      </c>
    </row>
    <row r="16" spans="1:3" x14ac:dyDescent="0.3">
      <c r="A16" s="7" t="s">
        <v>378</v>
      </c>
      <c r="B16" s="7" t="s">
        <v>2512</v>
      </c>
      <c r="C16" s="7" t="s">
        <v>2528</v>
      </c>
    </row>
    <row r="17" spans="1:3" x14ac:dyDescent="0.3">
      <c r="A17" s="7" t="s">
        <v>62</v>
      </c>
      <c r="B17" s="7" t="s">
        <v>2513</v>
      </c>
      <c r="C17" s="7" t="s">
        <v>2529</v>
      </c>
    </row>
    <row r="18" spans="1:3" x14ac:dyDescent="0.3">
      <c r="A18" s="7" t="s">
        <v>682</v>
      </c>
      <c r="B18" s="7" t="s">
        <v>2513</v>
      </c>
      <c r="C18" s="7" t="s">
        <v>2530</v>
      </c>
    </row>
    <row r="19" spans="1:3" x14ac:dyDescent="0.3">
      <c r="A19" s="7" t="s">
        <v>216</v>
      </c>
      <c r="B19" s="7" t="s">
        <v>2512</v>
      </c>
      <c r="C19" s="7" t="s">
        <v>2531</v>
      </c>
    </row>
    <row r="20" spans="1:3" x14ac:dyDescent="0.3">
      <c r="A20" s="7" t="s">
        <v>126</v>
      </c>
      <c r="B20" s="7" t="s">
        <v>2532</v>
      </c>
      <c r="C20" s="7" t="s">
        <v>2533</v>
      </c>
    </row>
    <row r="21" spans="1:3" x14ac:dyDescent="0.3">
      <c r="A21" s="7" t="s">
        <v>217</v>
      </c>
      <c r="B21" s="7" t="s">
        <v>2532</v>
      </c>
      <c r="C21" s="7" t="s">
        <v>2534</v>
      </c>
    </row>
    <row r="22" spans="1:3" x14ac:dyDescent="0.3">
      <c r="A22" s="7" t="s">
        <v>1104</v>
      </c>
      <c r="B22" s="7" t="s">
        <v>2532</v>
      </c>
      <c r="C22" s="7" t="s">
        <v>2535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440E-7F91-40B5-A2EA-1011C4945F86}">
  <dimension ref="A1:B6"/>
  <sheetViews>
    <sheetView zoomScale="46" zoomScaleNormal="87" workbookViewId="0">
      <selection sqref="A1:B2"/>
    </sheetView>
  </sheetViews>
  <sheetFormatPr defaultRowHeight="21" x14ac:dyDescent="0.4"/>
  <cols>
    <col min="1" max="1" width="26" style="12" customWidth="1"/>
    <col min="2" max="2" width="98.6640625" style="10" customWidth="1"/>
  </cols>
  <sheetData>
    <row r="1" spans="1:2" s="7" customFormat="1" x14ac:dyDescent="0.3">
      <c r="A1" s="8" t="s">
        <v>2536</v>
      </c>
      <c r="B1" s="9" t="s">
        <v>2537</v>
      </c>
    </row>
    <row r="2" spans="1:2" ht="210" x14ac:dyDescent="0.4">
      <c r="A2" s="11">
        <v>10136674</v>
      </c>
      <c r="B2" s="10" t="s">
        <v>2538</v>
      </c>
    </row>
    <row r="3" spans="1:2" ht="168" x14ac:dyDescent="0.4">
      <c r="A3" s="11">
        <v>10233235</v>
      </c>
      <c r="B3" s="10" t="s">
        <v>2539</v>
      </c>
    </row>
    <row r="4" spans="1:2" ht="252" x14ac:dyDescent="0.4">
      <c r="A4" s="11">
        <v>15924100</v>
      </c>
      <c r="B4" s="10" t="s">
        <v>2540</v>
      </c>
    </row>
    <row r="5" spans="1:2" ht="252" x14ac:dyDescent="0.4">
      <c r="A5" s="11">
        <v>17390121</v>
      </c>
      <c r="B5" s="10" t="s">
        <v>2541</v>
      </c>
    </row>
    <row r="6" spans="1:2" ht="252" x14ac:dyDescent="0.4">
      <c r="A6" s="11">
        <v>17793257</v>
      </c>
      <c r="B6" s="10" t="s">
        <v>2542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B93FA-4985-44D3-86C7-73F701EB0009}">
  <dimension ref="A1"/>
  <sheetViews>
    <sheetView zoomScale="56" workbookViewId="0">
      <selection activeCell="AF14" sqref="AF14"/>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FEDER Dataset</vt:lpstr>
      <vt:lpstr>MedDRA Mapping</vt:lpstr>
      <vt:lpstr>TOP Reported ADR's </vt:lpstr>
      <vt:lpstr>Signal_detection</vt:lpstr>
      <vt:lpstr>Narratives</vt:lpstr>
      <vt:lpstr>Dashboards</vt:lpstr>
      <vt:lpstr>netropenia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Khandale</dc:creator>
  <cp:lastModifiedBy>Sagar Khandale</cp:lastModifiedBy>
  <dcterms:created xsi:type="dcterms:W3CDTF">2026-05-06T12:48:21Z</dcterms:created>
  <dcterms:modified xsi:type="dcterms:W3CDTF">2026-05-12T14:59:27Z</dcterms:modified>
</cp:coreProperties>
</file>